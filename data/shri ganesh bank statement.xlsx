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-105" yWindow="-105" windowWidth="20730" windowHeight="11760" activeTab="2"/>
  </bookViews>
  <sheets>
    <sheet name="Sheet3" sheetId="4" r:id="rId1"/>
    <sheet name="Sheet2" sheetId="5" r:id="rId2"/>
    <sheet name="Table 1" sheetId="1" r:id="rId3"/>
    <sheet name="Sheet1" sheetId="2" r:id="rId4"/>
  </sheets>
  <definedNames>
    <definedName name="_xlnm._FilterDatabase" localSheetId="3" hidden="1">Sheet1!$A$4:$K$849</definedName>
    <definedName name="_xlnm._FilterDatabase" localSheetId="1" hidden="1">Sheet2!$A$1:$E$65</definedName>
    <definedName name="_xlnm._FilterDatabase" localSheetId="2" hidden="1">'Table 1'!$A$3:$Q$1268</definedName>
    <definedName name="_xlnm.Print_Area" localSheetId="2">'Table 1'!$B$1032:$J$1270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1" i="5" l="1"/>
  <c r="B111" i="5"/>
  <c r="C111" i="5"/>
  <c r="E64" i="5" l="1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850" i="2"/>
</calcChain>
</file>

<file path=xl/sharedStrings.xml><?xml version="1.0" encoding="utf-8"?>
<sst xmlns="http://schemas.openxmlformats.org/spreadsheetml/2006/main" count="16062" uniqueCount="4586">
  <si>
    <t>NAME</t>
  </si>
  <si>
    <t>PURPOSE</t>
  </si>
  <si>
    <t>KULDEEP TOMAR</t>
  </si>
  <si>
    <t>CAPITAL</t>
  </si>
  <si>
    <t>SUMITI SINGH</t>
  </si>
  <si>
    <t>In the favour of kuldeep tomar capital</t>
  </si>
  <si>
    <t>Vipin kumar</t>
  </si>
  <si>
    <t>in favour of plot no A20</t>
  </si>
  <si>
    <t>Ashu tyagi</t>
  </si>
  <si>
    <t>Beena devi and Arun ch</t>
  </si>
  <si>
    <t>in favour of plot no A64</t>
  </si>
  <si>
    <t>vinay kumar malik</t>
  </si>
  <si>
    <t>in favour of plon no A110</t>
  </si>
  <si>
    <t>lokindra saroha</t>
  </si>
  <si>
    <t>in favour of plot no A41</t>
  </si>
  <si>
    <t>in favour of plot no A16</t>
  </si>
  <si>
    <t>Pramod kumar</t>
  </si>
  <si>
    <t>Rahul tomar</t>
  </si>
  <si>
    <t>in favour of Rahul tomar capital</t>
  </si>
  <si>
    <t>Partap panwar</t>
  </si>
  <si>
    <t>I F pot no A86</t>
  </si>
  <si>
    <t>yashpal singh</t>
  </si>
  <si>
    <t>I F PLOT no A64</t>
  </si>
  <si>
    <t>Vimlesh</t>
  </si>
  <si>
    <t>I F PLOT NO A20</t>
  </si>
  <si>
    <t>Seema</t>
  </si>
  <si>
    <t>Yogesh tyagi</t>
  </si>
  <si>
    <t>Indu sharma</t>
  </si>
  <si>
    <t>I F PLOT NO A39</t>
  </si>
  <si>
    <t>I F PLOT NO A21</t>
  </si>
  <si>
    <t>I  F PLOT NO A147</t>
  </si>
  <si>
    <t>I F PLOT NO B12</t>
  </si>
  <si>
    <t>I F PLOT NO A19</t>
  </si>
  <si>
    <t>ANSHU PANWAR</t>
  </si>
  <si>
    <t>VIRENDERA SINGH MALIK</t>
  </si>
  <si>
    <t>I F PLOT NO A23</t>
  </si>
  <si>
    <t>I F PLOT NO A19 ( BOUNCE)</t>
  </si>
  <si>
    <t>AMIT TOMAR</t>
  </si>
  <si>
    <t>BANK</t>
  </si>
  <si>
    <t>MANTINENCE CHARG</t>
  </si>
  <si>
    <t>I F PLOT NO A12</t>
  </si>
  <si>
    <t>I F PLOT NO A89</t>
  </si>
  <si>
    <t>BABITA DHAMA</t>
  </si>
  <si>
    <t>I F PLOT NO A40</t>
  </si>
  <si>
    <t>I F PLOT NO A16</t>
  </si>
  <si>
    <t>JAGAT SINGH</t>
  </si>
  <si>
    <t>I F PLOT NO A17</t>
  </si>
  <si>
    <t>I F PLOT NO A42</t>
  </si>
  <si>
    <t>I F PLOT NO A63</t>
  </si>
  <si>
    <t>POOJA SHARMA</t>
  </si>
  <si>
    <t>PARTAP PANWAR</t>
  </si>
  <si>
    <t>I F PLOT NO A86</t>
  </si>
  <si>
    <t>YOGESH SHARMA</t>
  </si>
  <si>
    <t>I F PLOT NO 40</t>
  </si>
  <si>
    <t>I F PLOT NO A15</t>
  </si>
  <si>
    <t>I F PLOT NO B22</t>
  </si>
  <si>
    <t>RAJEEV SHARMA</t>
  </si>
  <si>
    <t>IN THE FAVOUR OF RAHUL TOMAR CAPITAL</t>
  </si>
  <si>
    <t>ARCHANA KUMARI</t>
  </si>
  <si>
    <t>I F PLOT NO A37</t>
  </si>
  <si>
    <t>I F PLOT NO A48</t>
  </si>
  <si>
    <t>I F PLOT NO B14</t>
  </si>
  <si>
    <t>FROM YOGESH TYAGI CAPITAL</t>
  </si>
  <si>
    <t>VIKAS KUMAR</t>
  </si>
  <si>
    <t>I F PLOT NO A 14</t>
  </si>
  <si>
    <t>I F PLOT NO B24</t>
  </si>
  <si>
    <t>JITENDRA KUMAR</t>
  </si>
  <si>
    <t>I F PLOT NO B31</t>
  </si>
  <si>
    <t>ASHOK KUMAR</t>
  </si>
  <si>
    <t>NIMMI CHAUDHARY</t>
  </si>
  <si>
    <t>I F PLOT NO A49</t>
  </si>
  <si>
    <t>I F PLOT NO A49(BOUNCE)</t>
  </si>
  <si>
    <t>SUBHASH CHAND</t>
  </si>
  <si>
    <t>I F PLOT NO A14</t>
  </si>
  <si>
    <t>BRIJESH</t>
  </si>
  <si>
    <t xml:space="preserve">VINAY KUMAR  </t>
  </si>
  <si>
    <t>I F PLOT NO A88</t>
  </si>
  <si>
    <t>SUMIT KUMAR</t>
  </si>
  <si>
    <t>MUKESH KUMAR</t>
  </si>
  <si>
    <t>I F PLOT NO A69</t>
  </si>
  <si>
    <t>I F PLOT NO A60</t>
  </si>
  <si>
    <t>I F PLOT NO A61</t>
  </si>
  <si>
    <t>DEVENDER KUMAR</t>
  </si>
  <si>
    <t>ARVIND KUMAR</t>
  </si>
  <si>
    <t>I F PLOT NO B9</t>
  </si>
  <si>
    <t>I F PLOT NO B30</t>
  </si>
  <si>
    <t>YOGESH TYAGI</t>
  </si>
  <si>
    <t>I F PLOT NO A33</t>
  </si>
  <si>
    <t>I F PLOT NO A38</t>
  </si>
  <si>
    <t>VIKAS TOMAR</t>
  </si>
  <si>
    <t>I F PLOT NO B4</t>
  </si>
  <si>
    <t>I F PLOT NO B5</t>
  </si>
  <si>
    <t>I F PLOT NO B17</t>
  </si>
  <si>
    <t>VIKRANT MALIK</t>
  </si>
  <si>
    <t>I F PLOT NO B6</t>
  </si>
  <si>
    <t>I F PLOT NO A11</t>
  </si>
  <si>
    <t>I F PLOT NO B26</t>
  </si>
  <si>
    <t>I F PLOT NO B38</t>
  </si>
  <si>
    <t>I F PLOT NO A87</t>
  </si>
  <si>
    <t>YOGESH KUMAR</t>
  </si>
  <si>
    <t>SUNIL KUMAR BANSAL</t>
  </si>
  <si>
    <t>I F PLOT NO A30</t>
  </si>
  <si>
    <t>REENA</t>
  </si>
  <si>
    <t>I F PLOT NO B7</t>
  </si>
  <si>
    <t>NARESH KUMAR</t>
  </si>
  <si>
    <t>I F PLOT NO A10</t>
  </si>
  <si>
    <t>ITESH BANSAL</t>
  </si>
  <si>
    <t>I F PLOT NO A144</t>
  </si>
  <si>
    <t>SHELLY</t>
  </si>
  <si>
    <t>VIKRANT KUMAR</t>
  </si>
  <si>
    <t>SUSHILA</t>
  </si>
  <si>
    <t>RAMGOPAL</t>
  </si>
  <si>
    <t>I F PLOT NO B32</t>
  </si>
  <si>
    <t>I F PLOT NO A56</t>
  </si>
  <si>
    <t>I F PLOT NO A29</t>
  </si>
  <si>
    <t>I F PLOT NO B25</t>
  </si>
  <si>
    <t>RAJKUMAR</t>
  </si>
  <si>
    <t>I F PLOT NO B40</t>
  </si>
  <si>
    <t>SUMAN</t>
  </si>
  <si>
    <t>SIKHA</t>
  </si>
  <si>
    <t>ABHINAV</t>
  </si>
  <si>
    <t>BIRPAL SINGH</t>
  </si>
  <si>
    <t>I F PLOT NO B47</t>
  </si>
  <si>
    <t>I F PLOT NO A 15</t>
  </si>
  <si>
    <t>GAURAV KUMAR</t>
  </si>
  <si>
    <t>PRITI PANWAR</t>
  </si>
  <si>
    <t>I F PLOT NO A73</t>
  </si>
  <si>
    <t>INDU SHARMSA</t>
  </si>
  <si>
    <t>SATYABEER</t>
  </si>
  <si>
    <t>NEHA VERMA</t>
  </si>
  <si>
    <t>SHAHROZ</t>
  </si>
  <si>
    <t>I F PLOT NO A74</t>
  </si>
  <si>
    <t>JITENDEE PAL SINGH</t>
  </si>
  <si>
    <t>MEENU ANKIT KUMAR</t>
  </si>
  <si>
    <t>SHIV RAJ SINGH</t>
  </si>
  <si>
    <t>I F PLOT NO A55</t>
  </si>
  <si>
    <t>MANSIH YADAV</t>
  </si>
  <si>
    <t>CHARAN SINGH</t>
  </si>
  <si>
    <t>I F PLOT NO B33</t>
  </si>
  <si>
    <t>JILA NIDH</t>
  </si>
  <si>
    <t>FOR APPRUVAL FILE</t>
  </si>
  <si>
    <t>JONY KUMAR</t>
  </si>
  <si>
    <t>I F PLOT NO A54</t>
  </si>
  <si>
    <t>I F PLOT NO A84</t>
  </si>
  <si>
    <t>OMINDRA KUMAR</t>
  </si>
  <si>
    <t>HANUMAN BRICK FIELD</t>
  </si>
  <si>
    <t>FOR BRICKS</t>
  </si>
  <si>
    <t>RAVI KUMAR</t>
  </si>
  <si>
    <t>I F PLOT NO A142</t>
  </si>
  <si>
    <t>RAHUL CHAUDHARY</t>
  </si>
  <si>
    <t>I F PLOT NO B46</t>
  </si>
  <si>
    <t>I F PLOT NO B41</t>
  </si>
  <si>
    <t>SATYAVEER SINGH</t>
  </si>
  <si>
    <t>SATPAL SINGH</t>
  </si>
  <si>
    <t>I F PLOT NO A92</t>
  </si>
  <si>
    <t>I F PLOT NO A72</t>
  </si>
  <si>
    <t>I F PLOT NO A68</t>
  </si>
  <si>
    <t>10-Sep-
2021</t>
  </si>
  <si>
    <t>CLG/SATP AL SINGH/157 160/PNB/0
9.09.2021</t>
  </si>
  <si>
    <t>NA</t>
  </si>
  <si>
    <t>6515322.9
0</t>
  </si>
  <si>
    <t>CLG/NISH ANT SAROHA/1 33505/AXI/
09.09.2021</t>
  </si>
  <si>
    <t>6715322.9
0</t>
  </si>
  <si>
    <t>CLG/SHIV RAJ SINGH/170 661/SBI/08
.09.2021</t>
  </si>
  <si>
    <t>6890322.9
0</t>
  </si>
  <si>
    <t>CLG/BRIJ BIR SINGH/038 439/INB/05
.09.2021</t>
  </si>
  <si>
    <t>6990322.9
0</t>
  </si>
  <si>
    <t>CLG/REEN A WO SUNIL/170 365/PNB/0
8.09.2021</t>
  </si>
  <si>
    <t>7390322.9
0</t>
  </si>
  <si>
    <t>CLG/CHE QUE/5945 61/KDN/09
.09.2021</t>
  </si>
  <si>
    <t>7690322.9
0</t>
  </si>
  <si>
    <t>REJECT:1 70365:DR AWERS SIGNATU RE DIFFERS</t>
  </si>
  <si>
    <t>7290322.9
0</t>
  </si>
  <si>
    <t>REJECT:1 57159:DR AWERS SIGNATU RE REQUIRE D</t>
  </si>
  <si>
    <t>7090322.9
0</t>
  </si>
  <si>
    <t>UPI/12535 2395566/P
ayment from Ph/895804
6933@axl/ Pu</t>
  </si>
  <si>
    <t>7100322.9
0</t>
  </si>
  <si>
    <t>11-Sep-
2021</t>
  </si>
  <si>
    <t>13-Sep-
2021</t>
  </si>
  <si>
    <t>MMT/IMPS
/12541227
7580/Vikas
- A15/VIKAS
KUM/Kotak M</t>
  </si>
  <si>
    <t>7250322.9
0</t>
  </si>
  <si>
    <t>12-Sep-
2021</t>
  </si>
  <si>
    <t>UPI/12552 4279579/P
ayment from Ph/895804
6933@axl/ Pu</t>
  </si>
  <si>
    <t>7260322.9
0</t>
  </si>
  <si>
    <t>UPI/12554 0673329/N A/9045820
563@payt/ State Bank Of</t>
  </si>
  <si>
    <t>7295322.9
0</t>
  </si>
  <si>
    <t>MMT/IMPS
/12551752 8912/ARVI
ND    /Axis Bank</t>
  </si>
  <si>
    <t>7315322.9
0</t>
  </si>
  <si>
    <t>MMT/IMPS
/12551785
4128/a/AR VIND
/Bank of Baroda</t>
  </si>
  <si>
    <t>7340322.9
0</t>
  </si>
  <si>
    <t>MMT/IMPS
/12551745
2805/a/AR VIND
/Bank of Baroda</t>
  </si>
  <si>
    <t>7360322.9
0</t>
  </si>
  <si>
    <t>UPI/12566 4519000/N A/8057056
088@payt/ Axis Bank Ltd.</t>
  </si>
  <si>
    <t>7400322.9
0</t>
  </si>
  <si>
    <t>UPI/12565 6972739/P
ayment from Ph/976046
4545@ybl/ St</t>
  </si>
  <si>
    <t>7495322.9
0</t>
  </si>
  <si>
    <t>14-Sep-
2021</t>
  </si>
  <si>
    <t>BIL/INFT/0 002077372
34/NA/</t>
  </si>
  <si>
    <t>7570322.9
0</t>
  </si>
  <si>
    <t>INF/INFT/0 249853317
91/amaruja la
/amarujala</t>
  </si>
  <si>
    <t>7278822.9
0</t>
  </si>
  <si>
    <t>UPI/12571 6219276/P
ayment from Ph/945752
8439@ybl/ St</t>
  </si>
  <si>
    <t>7338822.9
0</t>
  </si>
  <si>
    <t>NEFT- PUNBH21 257681304
-REENA WO SUNIL KUMAR-- 043121</t>
  </si>
  <si>
    <t>7738822.9
0</t>
  </si>
  <si>
    <t>CLG/CHA RAN SINGH/187 973/PNB/0
9.09.2021</t>
  </si>
  <si>
    <t>8521422.9
0</t>
  </si>
  <si>
    <t>CLG/SATV EER SINGH/504 523/SBI/13
.09.2021</t>
  </si>
  <si>
    <t>8821422.9
0</t>
  </si>
  <si>
    <t>15-Sep-
2021</t>
  </si>
  <si>
    <t>CLG/SURA J/683521/I ND/11.09.2 021</t>
  </si>
  <si>
    <t>8911422.9
0</t>
  </si>
  <si>
    <t>UPI/12587 3400885/P
ayment from Ph/989797
6974@ybl/ Un</t>
  </si>
  <si>
    <t>8961422.9
0</t>
  </si>
  <si>
    <t>UPI/12586 9104359/U
PI/ksandee p60489@o
/Axis Bank Ltd</t>
  </si>
  <si>
    <t>9011422.9
0</t>
  </si>
  <si>
    <t>UPI/12586 9115329/U
PI/ksandee p60489@o
/Axis Bank Ltd</t>
  </si>
  <si>
    <t>9051422.9
0</t>
  </si>
  <si>
    <t>CLG/SSUR AJMUKHI SAINI/6835 20/IND/13.
09.2021</t>
  </si>
  <si>
    <t>9551422.9
0</t>
  </si>
  <si>
    <t>CLG/SURA JMUKHI SAINI/6835 18/IND/13.
09.2021</t>
  </si>
  <si>
    <t>10011422.
90</t>
  </si>
  <si>
    <t>CLG/SATE NDRA KUMAR/95 1265/YES/
12.09.2021</t>
  </si>
  <si>
    <t>10392422.
90</t>
  </si>
  <si>
    <t>CLG/MAHI PAL SINGH/607 133/SBI/10
.09.2021</t>
  </si>
  <si>
    <t>10692422.
90</t>
  </si>
  <si>
    <t>CLG/ANU RADHA/00 0004/BOB/
21.08.2021</t>
  </si>
  <si>
    <t>10778422.
90</t>
  </si>
  <si>
    <t>CLG/CHE QUE/5610 76/SBI/10.
09.2021</t>
  </si>
  <si>
    <t>10828422.
90</t>
  </si>
  <si>
    <t>UPI/12581 0624342/P
ayment from Ph/976046
4545@ybl/ St</t>
  </si>
  <si>
    <t>10923422.
90</t>
  </si>
  <si>
    <t>16-Sep-
2021</t>
  </si>
  <si>
    <t>CLG/SATP AL SINGH/157 162/PNB/1
2.09.2021</t>
  </si>
  <si>
    <t>11123422.
90</t>
  </si>
  <si>
    <t>RTGS/ICIC R4202109 160051918
5/PUNB05
22810/sum iti Ch</t>
  </si>
  <si>
    <t>1000000.0
0</t>
  </si>
  <si>
    <t>10123422.
90</t>
  </si>
  <si>
    <t>CLG/RAJA N KR/014359
/UBI/15.09. 2021</t>
  </si>
  <si>
    <t>10423422.
90</t>
  </si>
  <si>
    <t>CLG/SAVI TA MALIK AND/1688 65/SBI/13.
09.2021</t>
  </si>
  <si>
    <t>11063422.
90</t>
  </si>
  <si>
    <t>CLG/SHEL LY SHELLY/6 04241/SBI/
14.09.2021</t>
  </si>
  <si>
    <t>11463422.
90</t>
  </si>
  <si>
    <t>CLG/BRIJ PAL/62578 6/PNB/14.0
9.2021</t>
  </si>
  <si>
    <t>11613422.
90</t>
  </si>
  <si>
    <t>NEFT- SBIN32125 9834819- RAVIRAJ-
/ATTN/NE FT- 000000323</t>
  </si>
  <si>
    <t>11813422.
90</t>
  </si>
  <si>
    <t>NEFT- AXMB2125 98416923- RAVI KUMAR 201014361
/PTC--9</t>
  </si>
  <si>
    <t>12144422.
90</t>
  </si>
  <si>
    <t>UPI/12597 4940807/M
anish yadav/robi nyadav123 45/Punj</t>
  </si>
  <si>
    <t>12144522.
90</t>
  </si>
  <si>
    <t>REJECT:1 4359:OTH ER REASONS</t>
  </si>
  <si>
    <t>11844522.
90</t>
  </si>
  <si>
    <t>UPI/12597 5145834/m
anish yadav/robi nyadav123 45/Punj</t>
  </si>
  <si>
    <t>11864422.
90</t>
  </si>
  <si>
    <t>UPI/12598 8010687/U
PI/ksandee p60489@o
/Axis Bank Ltd</t>
  </si>
  <si>
    <t>11914422.
90</t>
  </si>
  <si>
    <t>UPI/12598 8019852/U
PI/ksandee p60489@o
/Axis Bank Ltd</t>
  </si>
  <si>
    <t>11954422.
90</t>
  </si>
  <si>
    <t>INF/INFT/0 250060070
01/retenent ry
/kuldeepici ci</t>
  </si>
  <si>
    <t>11654422.
90</t>
  </si>
  <si>
    <t>17-Sep-
2021</t>
  </si>
  <si>
    <t>UPI/12603 6638688/P
ayment from Ph/976046
4545@ybl/ St</t>
  </si>
  <si>
    <t>11659422.
90</t>
  </si>
  <si>
    <t>RTGS/ICIC R4202109 170052274
2/UTIB000
1100/kavya ele</t>
  </si>
  <si>
    <t>10659422.
90</t>
  </si>
  <si>
    <t>RTGS/ICIC R4202109 170052297
2/UTIB000
1100/kavya ele</t>
  </si>
  <si>
    <t>10159422.
90</t>
  </si>
  <si>
    <t>CLG/RAJA N KR SO SUSHIL/01 4359/UBI/1
5.09.2021</t>
  </si>
  <si>
    <t>10459422.
90</t>
  </si>
  <si>
    <t>UPI/12601 6710576/U
PI/ksandee p60489@o
/Axis Bank Ltd</t>
  </si>
  <si>
    <t>10209422.
90</t>
  </si>
  <si>
    <t>UPI/12601 6726734/U
PI/ksandee p60489@o
/Axis Bank Ltd</t>
  </si>
  <si>
    <t>10249422.
90</t>
  </si>
  <si>
    <t>18-Sep-
2021</t>
  </si>
  <si>
    <t>INF/INFT/0 250180907
21/dialpipe private/day alpipes</t>
  </si>
  <si>
    <t>10049422.
90</t>
  </si>
  <si>
    <t>MMT/IMPS
/12611139
0651/reune ntry/sumiti
/PUNB052</t>
  </si>
  <si>
    <t>9949422.9
0</t>
  </si>
  <si>
    <t>Sr No</t>
  </si>
  <si>
    <t>Value Date</t>
  </si>
  <si>
    <t>Transactio n Date</t>
  </si>
  <si>
    <t>Cheque Number</t>
  </si>
  <si>
    <t>Transactio n Remarks</t>
  </si>
  <si>
    <t>Debit Amount</t>
  </si>
  <si>
    <t>Credit Amount</t>
  </si>
  <si>
    <t>Balance(IN R)</t>
  </si>
  <si>
    <t>TRFR FROM:KU LDEEP TOMAR</t>
  </si>
  <si>
    <t>Loose Cheque Leaf charges</t>
  </si>
  <si>
    <t>SGST</t>
  </si>
  <si>
    <t>CGST</t>
  </si>
  <si>
    <t>TRFR TO: KULDEEP TOMAR</t>
  </si>
  <si>
    <t>TRFR TO:UMES H KUMAR</t>
  </si>
  <si>
    <t>TRFR FROM:YO GESH TYAGI</t>
  </si>
  <si>
    <t>UPI/12061 6626660/U PI/hs76481 02@oksbi/ State Bank Of</t>
  </si>
  <si>
    <t>REJECT:7 46341:DR AWERS SIGNATU RE DIFFERS</t>
  </si>
  <si>
    <t>UPI/12080 6813133/U PI/hs76481 02@oksbi/ State Bank Of</t>
  </si>
  <si>
    <t>CLG/SHIV AM KUMAR/P NB</t>
  </si>
  <si>
    <t>CLG/DHA RAM PAL SINGH SO RAM/PNB</t>
  </si>
  <si>
    <t>NEFT- N2142115 86517051- PARTAP PANWAR- A 86 SHAMLI PL</t>
  </si>
  <si>
    <t>TRFR FROM: ARCHANA KUMARI</t>
  </si>
  <si>
    <t>REJECT:3 14920:DR AWERS SIGNATU RE DIFFERS</t>
  </si>
  <si>
    <t>NEFT- N2312116 06341979- PARTAP PANWAR- B 30 PLOT PURC</t>
  </si>
  <si>
    <t>NEFT- N2382116 13498815- NARESH KUMAR- TOKEN AMOUNT FO</t>
  </si>
  <si>
    <t>REJECT:1 70363:DR AWERS SIGNATU RE DIFFERS</t>
  </si>
  <si>
    <t>REJECT:1 70362:DR AWERS SIGNATU RE DIFFERS</t>
  </si>
  <si>
    <t>NEFT- N2422116 16526775- VIKRANT KUMAR- PLOT B6- 501001</t>
  </si>
  <si>
    <t>NEFT- AXMB2125 03800221- VIKRANT MALIK 8046/PTC- FROM</t>
  </si>
  <si>
    <t>REJECT:1 87962:ALT ERATNS/C ORRECTN S ON INSTRMN TS PRO</t>
  </si>
  <si>
    <t>CLG/HAN UMAN BRICK FIELD/BO B</t>
  </si>
  <si>
    <t>I F PLOT NO A67</t>
  </si>
  <si>
    <t>I F PLOT NO A80</t>
  </si>
  <si>
    <t>NISHANT SAROHA</t>
  </si>
  <si>
    <t>SHIVRAJ SINGH</t>
  </si>
  <si>
    <t>I F PLOT NO B34</t>
  </si>
  <si>
    <t>BRIJBIR SINGH</t>
  </si>
  <si>
    <t>I F PLOT NO A95</t>
  </si>
  <si>
    <t>I F PLOT NO A83</t>
  </si>
  <si>
    <t>AJAY</t>
  </si>
  <si>
    <t>RAHUL KUMAR</t>
  </si>
  <si>
    <t>I F PLOT NO A98</t>
  </si>
  <si>
    <t>I F PLOT NO B35</t>
  </si>
  <si>
    <t xml:space="preserve">ARVIND   </t>
  </si>
  <si>
    <t>ARVIND</t>
  </si>
  <si>
    <t>AMAR UJALA</t>
  </si>
  <si>
    <t>FOR ADD IN NEWS PAPER</t>
  </si>
  <si>
    <t>SATVEER SINGH</t>
  </si>
  <si>
    <t>I F PLOT NO A71</t>
  </si>
  <si>
    <t>SURAJ</t>
  </si>
  <si>
    <t>SURAJMUKHI SAINI</t>
  </si>
  <si>
    <t>SATENDRA KUMAR</t>
  </si>
  <si>
    <t>MAHIPAL SINGH</t>
  </si>
  <si>
    <t>I F PLOT NO A81</t>
  </si>
  <si>
    <t>ANURADHA</t>
  </si>
  <si>
    <t>I F PLOT NO B18</t>
  </si>
  <si>
    <t>I F PLOT NO A53</t>
  </si>
  <si>
    <t>FROM KULDEEP TOMAR CAPITAL</t>
  </si>
  <si>
    <t>RAJAN KUMAR</t>
  </si>
  <si>
    <t>I F PLOT NO A97</t>
  </si>
  <si>
    <t>SAVITA MALIK</t>
  </si>
  <si>
    <t>SHELLY SHELLY</t>
  </si>
  <si>
    <t>BRIJPAL</t>
  </si>
  <si>
    <t>RAVIRAJ</t>
  </si>
  <si>
    <t>MANISH YADAV</t>
  </si>
  <si>
    <t>KAVYA</t>
  </si>
  <si>
    <t>FOR ELECTRICITY</t>
  </si>
  <si>
    <t>DAYAL SPUN PIPES (P)LTD.</t>
  </si>
  <si>
    <t>FOR SIVEG PIPE</t>
  </si>
  <si>
    <t>SHALAU DIN</t>
  </si>
  <si>
    <t>FARMER PAYMENT</t>
  </si>
  <si>
    <t>INUSH ALI</t>
  </si>
  <si>
    <t>KASAM ALI</t>
  </si>
  <si>
    <t>UMESH KUMAR</t>
  </si>
  <si>
    <t>ROAD FARMER PAYMENT</t>
  </si>
  <si>
    <t xml:space="preserve">DHARAMPAL </t>
  </si>
  <si>
    <t>SHIVAM KUMAR</t>
  </si>
  <si>
    <t>LOKESH</t>
  </si>
  <si>
    <t>RAKHI TOMAR</t>
  </si>
  <si>
    <t>SATENDRA KASYAP</t>
  </si>
  <si>
    <t>PRIYANKA</t>
  </si>
  <si>
    <t>MONIKA CHOUDHARY</t>
  </si>
  <si>
    <t>SHIKHA</t>
  </si>
  <si>
    <t>ASHU TYAGI</t>
  </si>
  <si>
    <t>HARI SARAN</t>
  </si>
  <si>
    <t>ARUN CHAUDHARY</t>
  </si>
  <si>
    <t>BITTU</t>
  </si>
  <si>
    <t>IN THE FAVOUR OF YOGESH TYAGI CAPITAL</t>
  </si>
  <si>
    <t>DEEPA RANI</t>
  </si>
  <si>
    <t>AVINASH TYAGI</t>
  </si>
  <si>
    <t>ABINAV AGRWAL</t>
  </si>
  <si>
    <t>SANDEEP</t>
  </si>
  <si>
    <t>RAJ KUMAR</t>
  </si>
  <si>
    <t>SHIV KUMAR SAROHA</t>
  </si>
  <si>
    <t>LOKINDRA SAROHA</t>
  </si>
  <si>
    <t>RAJEEV KUMAR</t>
  </si>
  <si>
    <t>SHIV ONKAR SHARMA</t>
  </si>
  <si>
    <t>SHYAM SINGH CHOUHAN</t>
  </si>
  <si>
    <t>ANUJ KUMAR</t>
  </si>
  <si>
    <t>AKASH CHOUDHARY</t>
  </si>
  <si>
    <t>MANISH TOMAR</t>
  </si>
  <si>
    <t>20-Sep-
2021</t>
  </si>
  <si>
    <t>UPI/12635 4243214/U
PI/ksandee p60489@o
/Axis Bank Ltd</t>
  </si>
  <si>
    <t>9989422.9
0</t>
  </si>
  <si>
    <t>RTGS/ICIC R4202109 200051981
8/PUNB05
22810/sum iti Ch</t>
  </si>
  <si>
    <t>9689422.9
0</t>
  </si>
  <si>
    <t>BIL/INFT/0 002119661
53/NA/</t>
  </si>
  <si>
    <t>9789422.9
0</t>
  </si>
  <si>
    <t>CLG/SUBH ASH SINGH/052 687/CAB/1
5.09.2021</t>
  </si>
  <si>
    <t>9889422.9
0</t>
  </si>
  <si>
    <t>CLG/RAJE EV KUMAR/84 6524/SBI/1
6.09.2021</t>
  </si>
  <si>
    <t>10289422.
90</t>
  </si>
  <si>
    <t>CLG/NARE SH KUMAR/00 0007/HDF/
16.09.2021</t>
  </si>
  <si>
    <t>10639422.
90</t>
  </si>
  <si>
    <t>UPI/12634 9222067/P
ayment from Ph/905888
5052@ybl/ St</t>
  </si>
  <si>
    <t>10679422.
90</t>
  </si>
  <si>
    <t>UPI/12630 0666568/P
ayment from Ph/905888
5052@ybl/ St</t>
  </si>
  <si>
    <t>10739422.
90</t>
  </si>
  <si>
    <t>RTGS/ICIC R4202109 200053055
4/PUNB00
42400/eee dd4</t>
  </si>
  <si>
    <t>9896670.9
0</t>
  </si>
  <si>
    <t>RTGS/ICIC R4202109 200053127
2/PUNB00
42400/Vidy ut vi</t>
  </si>
  <si>
    <t>9290284.9
0</t>
  </si>
  <si>
    <t>22-Sep-
2021</t>
  </si>
  <si>
    <t>CLG/YOG ESH SHARMA/4 67812/SBI/
20.09.2021</t>
  </si>
  <si>
    <t>9380284.9
0</t>
  </si>
  <si>
    <t>CLG/AASH U TYAGI/770 756/PNB/2
0.09.2021</t>
  </si>
  <si>
    <t>9480284.9
0</t>
  </si>
  <si>
    <t>CLG/AASH U TYAGI/770 755/PNB/2
0.09.2021</t>
  </si>
  <si>
    <t>9580284.9
0</t>
  </si>
  <si>
    <t>CLG/NISH ANT SAROHA/1 33506/AXI/
20.09.2021</t>
  </si>
  <si>
    <t>9680284.9
0</t>
  </si>
  <si>
    <t>AASHU TYAGI</t>
  </si>
  <si>
    <t>I F PLOT NO A46</t>
  </si>
  <si>
    <t>SUBHASH SINGH</t>
  </si>
  <si>
    <t>MUKESH TOMAR</t>
  </si>
  <si>
    <t>I F PLOT NO A47</t>
  </si>
  <si>
    <t>I F PLOT NO A96</t>
  </si>
  <si>
    <t>SAGAR</t>
  </si>
  <si>
    <t>CLG/SUSH IL KUMAR/00 3021/UBI/2
0.09.2021</t>
  </si>
  <si>
    <t>10080284.
90</t>
  </si>
  <si>
    <t>23-Sep-
2021</t>
  </si>
  <si>
    <t>NEFT- SBIN42126 6024969- SHIV ONKAR SHARMA-
/ATTN/CH Q5</t>
  </si>
  <si>
    <t>10260284.
90</t>
  </si>
  <si>
    <t>UPI/12660 5345083/P
ayment from Ph/766266
@ibl/State</t>
  </si>
  <si>
    <t>10265284.
90</t>
  </si>
  <si>
    <t>UPI/12664 2615832/P
ayment from Ph/703746
9385@ybl/ St</t>
  </si>
  <si>
    <t>10270284.
90</t>
  </si>
  <si>
    <t>24-Sep-
2021</t>
  </si>
  <si>
    <t>UPI/12675 0840732/P
ayment from Ph/905888
5052@ybl/ St</t>
  </si>
  <si>
    <t>10362784.
90</t>
  </si>
  <si>
    <t>INF/INFT/0 250661659
01/dyalpipe pamamtp/d ayalpipes</t>
  </si>
  <si>
    <t>10162784.
90</t>
  </si>
  <si>
    <t>27-Sep-
2021</t>
  </si>
  <si>
    <t>CLG/SAR OJ AND VAIBHAV KUMAR/07 4209/SBI/2
3.09.2021</t>
  </si>
  <si>
    <t>10882784.
90</t>
  </si>
  <si>
    <t>11182784.
90</t>
  </si>
  <si>
    <t>28-Sep-
2021</t>
  </si>
  <si>
    <t>CLG/PRAD EEP KUMAR/00 0009/HDF/
24.09.2021</t>
  </si>
  <si>
    <t>11361284.
90</t>
  </si>
  <si>
    <t>MMT/IMPS
/12711386
5148/renen entry/harsa ran
/SBIN00</t>
  </si>
  <si>
    <t>11261284.
90</t>
  </si>
  <si>
    <t>29-Sep-
2021</t>
  </si>
  <si>
    <t>NEFT- IDIBH2127 2459151- MR SATANDR KUMAR S O BHULLA</t>
  </si>
  <si>
    <t>11421284.
90</t>
  </si>
  <si>
    <t>MMT/IMPS
/12721401
5961/loking tyallavar/ty aldilsad/P</t>
  </si>
  <si>
    <t>11321284.
90</t>
  </si>
  <si>
    <t>30-Sep-
2021</t>
  </si>
  <si>
    <t>NEFT- SBIN42127 3421694- SHIV ONKAR SHARMA-
/URGENT/ SH</t>
  </si>
  <si>
    <t>11441284.
90</t>
  </si>
  <si>
    <t>UPI/12738 1242457/P
ayment from Ph/945752
8439@ybl/ St</t>
  </si>
  <si>
    <t>11531284.
90</t>
  </si>
  <si>
    <t>RTGS/ICIC R4202109 300051231
2/UBIN056
0430/teare mex</t>
  </si>
  <si>
    <t>10531284.
90</t>
  </si>
  <si>
    <t>MMT/IMPS
/12731709
5536/cema nt/bharatce me/BDBL0 00119</t>
  </si>
  <si>
    <t>10451284.
90</t>
  </si>
  <si>
    <t>01-Oct-
2021</t>
  </si>
  <si>
    <t>UPI/12743 8874352/P
ayment from Ph/945752
8439@ybl/ St</t>
  </si>
  <si>
    <t>10541284.
90</t>
  </si>
  <si>
    <t>MMT/IMPS
/12741335
4487/julfith ekedarla/z ulfekar  /P</t>
  </si>
  <si>
    <t>10341284.
90</t>
  </si>
  <si>
    <t>MMT/IMPS
/12741454
4995/Zulfik arthekeda/ zulfekar  /P</t>
  </si>
  <si>
    <t>RTGS- BDBLR520 211001000
04008-MR BRIJBIR SINGH- 5020</t>
  </si>
  <si>
    <t>10841284.
90</t>
  </si>
  <si>
    <t>SUSHIL KUMAR</t>
  </si>
  <si>
    <t>ANMOL</t>
  </si>
  <si>
    <t>I F PLOT NO A145</t>
  </si>
  <si>
    <t>ANNO</t>
  </si>
  <si>
    <t>I F PLOT NO B28</t>
  </si>
  <si>
    <t>DYALPIPE</t>
  </si>
  <si>
    <t>SIVIR LINE PIPE</t>
  </si>
  <si>
    <t>SAROJ AND VAIBHAVKUMAR</t>
  </si>
  <si>
    <t>I F PLOT NO A64</t>
  </si>
  <si>
    <t>PRADEEP KUMAR</t>
  </si>
  <si>
    <t>I F PLOT NO B12 REFUND</t>
  </si>
  <si>
    <t>SATANDRA KUMAR</t>
  </si>
  <si>
    <t>DILSHAD</t>
  </si>
  <si>
    <t>02-Oct-
2021</t>
  </si>
  <si>
    <t>04-Oct-
2021</t>
  </si>
  <si>
    <t>UPI/12752 1828304/P
ayment from Ph/945752
8439@ybl/ St</t>
  </si>
  <si>
    <t>10901284.
90</t>
  </si>
  <si>
    <t>03-Oct-
2021</t>
  </si>
  <si>
    <t>BIL/INFT/0 002227263
97/NA/</t>
  </si>
  <si>
    <t>11001284.
90</t>
  </si>
  <si>
    <t>07-Oct-
2021</t>
  </si>
  <si>
    <t>UPI/12801 2748830/U
PI/renurpfk cg@oksb/ State Bank Of</t>
  </si>
  <si>
    <t>11101283.
90</t>
  </si>
  <si>
    <t>UPI/12801 2759521/U
PI/renurpfk cg@oksb/ State Bank Of</t>
  </si>
  <si>
    <t>11101284.
90</t>
  </si>
  <si>
    <t>UPI/12803 7506481/P
ayment from Ph/harvir76 @ybl/Stat</t>
  </si>
  <si>
    <t>11158284.
90</t>
  </si>
  <si>
    <t>UPI/12805 7346822/P
ayment from Ph/harvir75 @ybl/Stat</t>
  </si>
  <si>
    <t>11181284.
90</t>
  </si>
  <si>
    <t>UPI/12809 6545021/N A/9568531
984@payt/ State Bank Of</t>
  </si>
  <si>
    <t>11211284.
90</t>
  </si>
  <si>
    <t>MMT/IMPS
/12801689 7132/MOB LT0710160 849/RAJE NDER S/S</t>
  </si>
  <si>
    <t>11211285.
90</t>
  </si>
  <si>
    <t>UPI/12807 1279179/U
PI/digpalsi ngh1988/B ank of Barod</t>
  </si>
  <si>
    <t>11261285.
90</t>
  </si>
  <si>
    <t>UPI/12807 1311229/U
PI/digpalsi ngh1988/B ank of Barod</t>
  </si>
  <si>
    <t>11310285.
90</t>
  </si>
  <si>
    <t>08-Oct-
2021</t>
  </si>
  <si>
    <t>RTGS/ICIC R4202110 080050888
2/PUNB00
26610/inus h ali</t>
  </si>
  <si>
    <t>10310285.
90</t>
  </si>
  <si>
    <t>RTGS/ICIC R4202110 080050926
8/PUNB00
26610/inus h ali</t>
  </si>
  <si>
    <t>9310285.9
0</t>
  </si>
  <si>
    <t>RTGS/ICIC R4202110 080050972
2/PUNB00
26610/kas am alo</t>
  </si>
  <si>
    <t>8310285.9
0</t>
  </si>
  <si>
    <t>RTGS/ICIC R4202110 080050980
9/PUNB00
26610/kas am alo</t>
  </si>
  <si>
    <t>7310285.9
0</t>
  </si>
  <si>
    <t>RTGS/ICIC R4202110 080050998
9/PUNB00
26610/shal au di</t>
  </si>
  <si>
    <t>6310285.9
0</t>
  </si>
  <si>
    <t>RTGS/ICIC R4202110 080051018
4/PUNB00
26610/shal au di</t>
  </si>
  <si>
    <t>5310285.9
0</t>
  </si>
  <si>
    <t>RTGS/ICIC R4202110 080051028
6/PUNB00
26610/kas am alo</t>
  </si>
  <si>
    <t>4310285.9
0</t>
  </si>
  <si>
    <t>UPI/12811 2216871/U
PI/riskyjaat rohit@/Stat e Bank Of</t>
  </si>
  <si>
    <t>4359285.9
0</t>
  </si>
  <si>
    <t>UPI/12818 5083833/U
PI/ravibaliy an8979/Pu njab Nation</t>
  </si>
  <si>
    <t>4369285.9
0</t>
  </si>
  <si>
    <t>UPI/12818 5099567/U
PI/ravibaliy an8979/Pu njab Nation</t>
  </si>
  <si>
    <t>4389285.9
0</t>
  </si>
  <si>
    <t>UPI/12818 5114125/U
PI/ravibaliy an8979/Pu njab Nation</t>
  </si>
  <si>
    <t>4409285.9
0</t>
  </si>
  <si>
    <t>UPI/12818 5127647/U
PI/ravibaliy an8979/Pu njab Nation</t>
  </si>
  <si>
    <t>4434285.9
0</t>
  </si>
  <si>
    <t>UPI/12818 5138077/U
PI/ravibaliy an8979/Pu njab Nation</t>
  </si>
  <si>
    <t>4454285.9
0</t>
  </si>
  <si>
    <t>UPI/12818 5148422/U
PI/ravibaliy an8979/Pu njab Nation</t>
  </si>
  <si>
    <t>4458285.9
0</t>
  </si>
  <si>
    <t>MMT/IMPS
/12811258 9559/MOB LT0810125 787/ROHIT KUMA/S</t>
  </si>
  <si>
    <t>4483285.9
0</t>
  </si>
  <si>
    <t>RTGS/ICIC R4202110 080052071
2/PUNB00
26610/kas am alo</t>
  </si>
  <si>
    <t>3483285.9
0</t>
  </si>
  <si>
    <t>RTGS/ICIC R4202110 080052140
0/PUNB00
26610/kas am alo</t>
  </si>
  <si>
    <t>2483285.9
0</t>
  </si>
  <si>
    <t>09-Oct-
2021</t>
  </si>
  <si>
    <t>11-Oct-
2021</t>
  </si>
  <si>
    <t>MMT/IMPS
/12821541
3320/brek/ hanumanB RI/BARB0 SHAMLI</t>
  </si>
  <si>
    <t>2383285.9
0</t>
  </si>
  <si>
    <t>INF/INFT/0 251901372
81/lokingty al
/avniECOin dus</t>
  </si>
  <si>
    <t>1883285.9
0</t>
  </si>
  <si>
    <t>MMT/IMPS
/12821654
0185/gsbro ad/reliableI N/PUNB00 704</t>
  </si>
  <si>
    <t>1803285.9
0</t>
  </si>
  <si>
    <t>MMT/IMPS
/12821656
1393/salar y/avinashD G
/PUNB047 160</t>
  </si>
  <si>
    <t>1773285.9
0</t>
  </si>
  <si>
    <t>MMT/IMPS
/12821657
2875/salar y/avinashD G
/PUNB047 160</t>
  </si>
  <si>
    <t>MMT/IMPS
/12821661
5810/salar y/goravDG
/CNRB000 232</t>
  </si>
  <si>
    <t>MMT/IMPS
/12821661
9451/salar y/alokTYA GId/SBIN0 01660</t>
  </si>
  <si>
    <t>1743285.9
0</t>
  </si>
  <si>
    <t>MMT/IMPS
/12821662
3583/salar y/vinayMA LIK/SBIN0 00761</t>
  </si>
  <si>
    <t>1713285.9
0</t>
  </si>
  <si>
    <t>MMT/IMPS
/12821662
8886/salar y/sagarMA LIK/CNRB 000218</t>
  </si>
  <si>
    <t>1683285.9
0</t>
  </si>
  <si>
    <t>INF/INFT/0 251906066
21/salary
/yogrshTY AGId</t>
  </si>
  <si>
    <t>1653285.9
0</t>
  </si>
  <si>
    <t>INF/INFT/0 251906132
61/salary
/aashu</t>
  </si>
  <si>
    <t>1623285.9
0</t>
  </si>
  <si>
    <t>MMT/IMPS
/12821663
9248/salar y/rahulCHA UD/HDFC0 00435</t>
  </si>
  <si>
    <t>1593285.9
0</t>
  </si>
  <si>
    <t>MMT/IMPS
/12821767
3262/salar y/ARUNbhi DG
/SBIN0016 60</t>
  </si>
  <si>
    <t>1563285.9
0</t>
  </si>
  <si>
    <t>MMT/IMPS
/12821771
2878/salar y/avinashT YA/PUNB0 47160</t>
  </si>
  <si>
    <t>1533285.9
0</t>
  </si>
  <si>
    <t>MMT/IMPS
/12821771
6670/salar y/AMITgdT OMA/PUN B000420</t>
  </si>
  <si>
    <t>1503285.9
0</t>
  </si>
  <si>
    <t>10-Oct-
2021</t>
  </si>
  <si>
    <t>MMT/IMPS
/12831518
9910/Gsbr oad/reliabl eIN/PUNB 00704</t>
  </si>
  <si>
    <t>1468285.9
0</t>
  </si>
  <si>
    <t>MMT/IMPS
/12831524
0425/gsbro ad/yamuna naga/HDF C00025</t>
  </si>
  <si>
    <t>1368285.9
0</t>
  </si>
  <si>
    <t>MMT/IMPS
/12841021
9523/salar y/mohiKU MARd/IOB A000356</t>
  </si>
  <si>
    <t>1338285.9
0</t>
  </si>
  <si>
    <t>MMT/IMPS
/12841765
9414/gsbro ad/CHAPR ANAtr/PUN B07517</t>
  </si>
  <si>
    <t>1300285.9
0</t>
  </si>
  <si>
    <t>MMT/IMPS
/12841908
4468/gsbro ad/reliableI N/PUNB00 704</t>
  </si>
  <si>
    <t>1220285.9
0</t>
  </si>
  <si>
    <t>12-Oct-
2021</t>
  </si>
  <si>
    <t>MMT/IMPS
/12851675
1451/gsbro ad/yamuna naga/HDF C00025</t>
  </si>
  <si>
    <t>1188285.9
0</t>
  </si>
  <si>
    <t>MMT/IMPS
/12851676
3367/gsbro ad/CHAPR ANAtr/PUN B07517</t>
  </si>
  <si>
    <t>1121285.9
0</t>
  </si>
  <si>
    <t>MMT/IMPS
/12851676
9652/gsbro ad/reliableI N/PUNB00 704</t>
  </si>
  <si>
    <t>1036285.9
0</t>
  </si>
  <si>
    <t>13-Oct-
2021</t>
  </si>
  <si>
    <t>CLG/SATP AL SINGH/157 165/PNB/0
8.10.2021</t>
  </si>
  <si>
    <t>1136285.9
0</t>
  </si>
  <si>
    <t>CLG/SATP AL SINGH/157 164/PNB/0
7.10.2021</t>
  </si>
  <si>
    <t>1236285.9
0</t>
  </si>
  <si>
    <t>MMT/IMPS
/12861441
2431/dilsad lokingtya/ty aldilsad/P</t>
  </si>
  <si>
    <t>1138285.9
0</t>
  </si>
  <si>
    <t>MMT/IMPS
/12861442
2037/breka s/ASHAra mBRI/PUN B037190</t>
  </si>
  <si>
    <t>1076785.9
0</t>
  </si>
  <si>
    <t>MMT/IMPS
/12861547
4916/gsbro ad/CHAPR ANAtr/PUN B07517</t>
  </si>
  <si>
    <t>CLG/ANN O KUMARI/0 00003/KM B/03.10.20 21</t>
  </si>
  <si>
    <t>1371139.9
0</t>
  </si>
  <si>
    <t>CLG/ANN O KUMARI/0 00002/KM B/03.10.20 21</t>
  </si>
  <si>
    <t>1693800.9
0</t>
  </si>
  <si>
    <t>FOR CEMENT</t>
  </si>
  <si>
    <t>JULFIKAR</t>
  </si>
  <si>
    <t>DIGPAL SINGH</t>
  </si>
  <si>
    <t>ROHIT KUMAR</t>
  </si>
  <si>
    <t>FOR LOKING TAYAL</t>
  </si>
  <si>
    <t>GSB MEX</t>
  </si>
  <si>
    <t>SALARY</t>
  </si>
  <si>
    <t xml:space="preserve">GAURAV  </t>
  </si>
  <si>
    <t>ALOK TYAGI</t>
  </si>
  <si>
    <t>SAGAR MALIK</t>
  </si>
  <si>
    <t>MOHIT KUMAR</t>
  </si>
  <si>
    <t>I F PLOT NO A25</t>
  </si>
  <si>
    <t>ASHA RAM BRICK FIELD</t>
  </si>
  <si>
    <t>ANNO KUMARI</t>
  </si>
  <si>
    <t>CHAPRANA TRADERS</t>
  </si>
  <si>
    <t>REIJABLE INFRA TECH</t>
  </si>
  <si>
    <t>VANSH INDUSTRIESH</t>
  </si>
  <si>
    <t>BHARAT GROUP</t>
  </si>
  <si>
    <t xml:space="preserve">FOR TRANSFARMER </t>
  </si>
  <si>
    <t>RENU</t>
  </si>
  <si>
    <t>HARVIR</t>
  </si>
  <si>
    <t>RAJESH KUMAR</t>
  </si>
  <si>
    <t>RAJENDER SINGH</t>
  </si>
  <si>
    <t>LOKING TAYAL LAVER</t>
  </si>
  <si>
    <t>PEAREMEX TRNSFORMERS</t>
  </si>
  <si>
    <t>14-Oct-
2021</t>
  </si>
  <si>
    <t>MMT/IMPS
/12871178
9446/cema nt/bharatce me/BDBL0 00119</t>
  </si>
  <si>
    <t>1664800.9
0</t>
  </si>
  <si>
    <t>MMT/IMPS
/12871317
4615/gsbro ad/yamuna naga/HDF C00025</t>
  </si>
  <si>
    <t>1630800.9
0</t>
  </si>
  <si>
    <t>CLG/MUK ESH KUMAR/12 4720/IDB/0
5.10.2021</t>
  </si>
  <si>
    <t>2030800.9
0</t>
  </si>
  <si>
    <t>MMT/IMPS
/12871672
2979/gsbro ad/CHAPR ANAtr/PUN B07517</t>
  </si>
  <si>
    <t>1995800.9
0</t>
  </si>
  <si>
    <t>MMT/IMPS
/12871672
9009/gsbro ad/reliableI N/PUNB00 704</t>
  </si>
  <si>
    <t>1915800.9
0</t>
  </si>
  <si>
    <t>RTGS/ICIC R4202110 140052944
7/BDBL000
1199/Bhar at gr</t>
  </si>
  <si>
    <t>1680800.9
0</t>
  </si>
  <si>
    <t>UPI/12871 8048774/s
hri ganesh/rav ikumar827 363/State</t>
  </si>
  <si>
    <t>1710800.9
0</t>
  </si>
  <si>
    <t>UPI/12871 8032497/s
hri ganesh/rav ikumar827 363/State</t>
  </si>
  <si>
    <t>1740800.9
0</t>
  </si>
  <si>
    <t>INF/INFT/0 252346358
01/salary
/kuldeepici ci</t>
  </si>
  <si>
    <t>1640800.9
0</t>
  </si>
  <si>
    <t>MMT/IMPS
/12871803
8152/salar y/sumiti
/PUNB052 281</t>
  </si>
  <si>
    <t>1540800.9
0</t>
  </si>
  <si>
    <t>UPI/12871 9361873/S
heri ganesh/rav ikumar827 363/Stat</t>
  </si>
  <si>
    <t>1580800.9
0</t>
  </si>
  <si>
    <t>NEFT- N2872116 75607472- RAHUL KUMAR- TRF FOR HOUSE CO</t>
  </si>
  <si>
    <t>15-Oct-
2021</t>
  </si>
  <si>
    <t>MMT/IMPS
/12881732
0027/gsbro ad/CHAPR ANAtr/PUN B07517</t>
  </si>
  <si>
    <t>1560800.9
0</t>
  </si>
  <si>
    <t>NEFT- N2882116 75954059- RAHUL KUMAR- NEFT TO KULDEEP-</t>
  </si>
  <si>
    <t>16-Oct-
2021</t>
  </si>
  <si>
    <t>UPI/12891 2110016/s
hri ganesh/rav ikumar827 363/State</t>
  </si>
  <si>
    <t>UPI/12891 2143541/s
hri ganesh/rav ikumar827 363/State</t>
  </si>
  <si>
    <t>1770800.9
0</t>
  </si>
  <si>
    <t>UPI/12891 2137302/s
hri ganesh/rav ikumar827 363/State</t>
  </si>
  <si>
    <t>1810800.9
0</t>
  </si>
  <si>
    <t>MMT/IMPS
/12891433
3393/gsbro ad/CHAPR ANAtr/PUN B07517</t>
  </si>
  <si>
    <t>1737800.9
0</t>
  </si>
  <si>
    <t>MMT/IMPS
/12891656
6852/invert er/JainBan dhu/BDBL0 001</t>
  </si>
  <si>
    <t>1710300.9
0</t>
  </si>
  <si>
    <t>MMT/IMPS
/12891904
6450/salar y/PRAVIN DRAk/PUN B002661</t>
  </si>
  <si>
    <t>1680300.9
0</t>
  </si>
  <si>
    <t>18-Oct-
2021</t>
  </si>
  <si>
    <t>MMT/IMPS
/12911395
7297/gsbro ad/reliableI N/PUNB00 704</t>
  </si>
  <si>
    <t>1605300.9
0</t>
  </si>
  <si>
    <t>MMT/IMPS
/12911305
5480/ceme nt/bharatce me/BDBL0 00119</t>
  </si>
  <si>
    <t>1555300.9
0</t>
  </si>
  <si>
    <t>MMT/IMPS
/12911307
5104/home rent/vijayP ALho/PUN B0745</t>
  </si>
  <si>
    <t>1530300.9
0</t>
  </si>
  <si>
    <t>CLG/AMIT YADAV/00 0032/HDF/
13.10.2021</t>
  </si>
  <si>
    <t>1830300.9
0</t>
  </si>
  <si>
    <t>19-Oct-
2021</t>
  </si>
  <si>
    <t>MMT/IMPS
/12921276
2161/gsbro ad/CHAPR ANAtr/PUN B07517</t>
  </si>
  <si>
    <t>MMT/IMPS
/12921909
9808/solarli ght/UNATIt rade/PUNB 07</t>
  </si>
  <si>
    <t>1537550.9
0</t>
  </si>
  <si>
    <t>22-Oct-
2021</t>
  </si>
  <si>
    <t>1637550.9
0</t>
  </si>
  <si>
    <t>25-Oct-
2021</t>
  </si>
  <si>
    <t>CLG/SURE NDER ISNGH/998 644/SBI/21
.10.2021</t>
  </si>
  <si>
    <t>1787550.9
0</t>
  </si>
  <si>
    <t>CLG/YASH PAL SINGH/760 335/SBI/20
.10.2021</t>
  </si>
  <si>
    <t>1937550.9
0</t>
  </si>
  <si>
    <t>27-Oct-
2021</t>
  </si>
  <si>
    <t>MMT/IMPS
/13001250
5667/ceme nt/bharatce me/BDBL0 00119</t>
  </si>
  <si>
    <t>1857550.9
0</t>
  </si>
  <si>
    <t>28-Oct-
2021</t>
  </si>
  <si>
    <t>CLG/PRA MOD KUMARI/1 57229/PNB
/22.10.202 1</t>
  </si>
  <si>
    <t>2057550.9
0</t>
  </si>
  <si>
    <t>MMT/IMPS
/13011478
2160/officla var/mainpa l   /UBIN05</t>
  </si>
  <si>
    <t>2022550.9
0</t>
  </si>
  <si>
    <t>CLG/ANIT A SHMRA/90 9537/SBI/2
0.10.2021</t>
  </si>
  <si>
    <t>2322550.9
0</t>
  </si>
  <si>
    <t>MMT/IMPS
/13011622
6864/refrig erator/Ank urElect/IDI B</t>
  </si>
  <si>
    <t>2310350.9
0</t>
  </si>
  <si>
    <t>INF/INFT/0 253361585
51/lockingti les
/avniECOin dus</t>
  </si>
  <si>
    <t>1810350.9
0</t>
  </si>
  <si>
    <t>FOR GSB MEX</t>
  </si>
  <si>
    <t>IN FAVOUR OF KULDEEP TOMAR CAPITAL</t>
  </si>
  <si>
    <t>JAIN BANDHU</t>
  </si>
  <si>
    <t xml:space="preserve">FOR INVERTER </t>
  </si>
  <si>
    <t>PRAVINDRA KUMAR</t>
  </si>
  <si>
    <t>VIJAY PAL</t>
  </si>
  <si>
    <t>FOR HOUSE RENT</t>
  </si>
  <si>
    <t>FOR SOLAR LIGHTS</t>
  </si>
  <si>
    <t>I F PLOT NO A111</t>
  </si>
  <si>
    <t>SURENDRA KUMAR</t>
  </si>
  <si>
    <t>YASHPAL SINGH</t>
  </si>
  <si>
    <t>I F PLOT NO A27</t>
  </si>
  <si>
    <t>PRAMOD KUMARI</t>
  </si>
  <si>
    <t>MAINPAL</t>
  </si>
  <si>
    <t>ANITA SHMRA</t>
  </si>
  <si>
    <t>ANKUR ELECTRONICS</t>
  </si>
  <si>
    <t>FOR WASHING MACHINE</t>
  </si>
  <si>
    <t>AVNI ECO INDUSTRIES</t>
  </si>
  <si>
    <t>HARPAL SINGH</t>
  </si>
  <si>
    <t>AMIT YADAV</t>
  </si>
  <si>
    <t>SHIVANSHI GARG</t>
  </si>
  <si>
    <t>I F PLOT NO A34</t>
  </si>
  <si>
    <t>MUKESH KUMAR SHARMA</t>
  </si>
  <si>
    <t>SUSPENSE ENTRY</t>
  </si>
  <si>
    <t>EEE DD4</t>
  </si>
  <si>
    <t>VIDYUT VI</t>
  </si>
  <si>
    <t>UNATI TRADERS</t>
  </si>
  <si>
    <t>FOR STAMP PURCHASE</t>
  </si>
  <si>
    <t>MINESH</t>
  </si>
  <si>
    <t>LABOUR THEKEDAR</t>
  </si>
  <si>
    <t>I F PLOT NO A51</t>
  </si>
  <si>
    <t>NANDKISHOR</t>
  </si>
  <si>
    <t>FABRICATER</t>
  </si>
  <si>
    <t>VARUN KUMAR</t>
  </si>
  <si>
    <t>ARJUN SINGH</t>
  </si>
  <si>
    <t>JS CONSTRUCTOR</t>
  </si>
  <si>
    <t xml:space="preserve">LABOUR  </t>
  </si>
  <si>
    <t>LABOUR</t>
  </si>
  <si>
    <t>FOR OFFICE LABOUR</t>
  </si>
  <si>
    <t>FROM PLOT NO B3</t>
  </si>
  <si>
    <t>FROM PLOT NO A17</t>
  </si>
  <si>
    <t>SHIVANA</t>
  </si>
  <si>
    <t>FOR LABOUR</t>
  </si>
  <si>
    <t>FROM PLOT NO A80</t>
  </si>
  <si>
    <t>FROM FARMER PAYMENT</t>
  </si>
  <si>
    <t>VINAY KUMAR MALIK</t>
  </si>
  <si>
    <t>A J S TEXTILES</t>
  </si>
  <si>
    <t>BLANKETS</t>
  </si>
  <si>
    <t>MANISH SAGAR</t>
  </si>
  <si>
    <t>BRIJPAL SINGH</t>
  </si>
  <si>
    <t>I F PLOT NO A1</t>
  </si>
  <si>
    <t>FROM PLOT NO A11</t>
  </si>
  <si>
    <t>ANURADHA SHARMA</t>
  </si>
  <si>
    <t>MITTAL ONLINE SERVICES</t>
  </si>
  <si>
    <t>FOR TALLY PRIME SILVER</t>
  </si>
  <si>
    <t>I F POLT NO A42</t>
  </si>
  <si>
    <t>Bank Charges</t>
  </si>
  <si>
    <t>GST on Bank Charges</t>
  </si>
  <si>
    <t>I F PLOT NO B3</t>
  </si>
  <si>
    <t>RTGS- BARBR520 201012008
95688- DEEPA RANI WO SUNIL CH</t>
  </si>
  <si>
    <t>1100000.0
0</t>
  </si>
  <si>
    <t>RTGS:ICIC R5202107 170084093
4/PUNB00
26610/KAS AM ALI</t>
  </si>
  <si>
    <t>FROM PLOT NO A30</t>
  </si>
  <si>
    <t>PRAVEEN KUMAR</t>
  </si>
  <si>
    <t>FROM PLOT NO A29</t>
  </si>
  <si>
    <t xml:space="preserve">FOR SEVER PIPE </t>
  </si>
  <si>
    <t>DEEPAK VARMA</t>
  </si>
  <si>
    <t>FROM PLOT MO A29</t>
  </si>
  <si>
    <t>RAVI MALIK</t>
  </si>
  <si>
    <t>I F SHOP NO S1</t>
  </si>
  <si>
    <t>I F SHOP NO S2</t>
  </si>
  <si>
    <t>FROM LOKING TAYAL</t>
  </si>
  <si>
    <t>I F PLOT NO A5</t>
  </si>
  <si>
    <t>I F PLOT NO B15</t>
  </si>
  <si>
    <t>FROM PLOT NO A63</t>
  </si>
  <si>
    <t>I F SHOP NO S12</t>
  </si>
  <si>
    <t>I F PLOT NO B20</t>
  </si>
  <si>
    <t>SANDEEP MALIK</t>
  </si>
  <si>
    <t>PARVEER SINGH</t>
  </si>
  <si>
    <t>SANDEEP KUMAR</t>
  </si>
  <si>
    <t>INDU SHARMA</t>
  </si>
  <si>
    <t xml:space="preserve"> </t>
  </si>
  <si>
    <t>FROM PLOT NO A37</t>
  </si>
  <si>
    <t>MAHARAJ SINGH</t>
  </si>
  <si>
    <t>IN FAVOUR OF YOGESH TYAGI CAPITAL</t>
  </si>
  <si>
    <t>MAHENDRA SINGH</t>
  </si>
  <si>
    <t>I F PLOT NO A77</t>
  </si>
  <si>
    <t>I F PLOT NO B29</t>
  </si>
  <si>
    <t>FROM PLOT NO B22</t>
  </si>
  <si>
    <t>HARVIR SINGH</t>
  </si>
  <si>
    <t>IN FABOUR OF YOGESH TYAGI CAPITAL</t>
  </si>
  <si>
    <t>RETURN ENTRY</t>
  </si>
  <si>
    <t>BANK CHARGES</t>
  </si>
  <si>
    <t>MANJIT SINGH</t>
  </si>
  <si>
    <t>RAJNISH CHAUHAN</t>
  </si>
  <si>
    <t>I F PLOT NO B42</t>
  </si>
  <si>
    <t>ABHI SHEKH</t>
  </si>
  <si>
    <t>SHREE SHYAM JI AUTOMOTIVE LLP</t>
  </si>
  <si>
    <t>ADVANCE</t>
  </si>
  <si>
    <t>I F PLOT NO B2</t>
  </si>
  <si>
    <t>VINAY KUMAR</t>
  </si>
  <si>
    <t>KRISHAN PAL</t>
  </si>
  <si>
    <t>JYOTI DEVI</t>
  </si>
  <si>
    <t>I F PLOT A76</t>
  </si>
  <si>
    <t>DHARMBEER YADAV</t>
  </si>
  <si>
    <t>MAHABIR</t>
  </si>
  <si>
    <t>FROM PLOT NO A39</t>
  </si>
  <si>
    <t>ELECTRICITY PAYMENT</t>
  </si>
  <si>
    <t>I F PLOT NO A141</t>
  </si>
  <si>
    <t>APPEKSHA</t>
  </si>
  <si>
    <t>I F PLOT NO A134</t>
  </si>
  <si>
    <t xml:space="preserve">ANITA  </t>
  </si>
  <si>
    <t>I F PLOT NO B10</t>
  </si>
  <si>
    <t>I F PLOT NI B33</t>
  </si>
  <si>
    <t>RETURN</t>
  </si>
  <si>
    <t>I F PLOT NO A65</t>
  </si>
  <si>
    <t>VIKAS RATHI</t>
  </si>
  <si>
    <t>I F PLOT NO A135</t>
  </si>
  <si>
    <t>I F PLOT NO B37</t>
  </si>
  <si>
    <t>PANKAJ KUMAR</t>
  </si>
  <si>
    <t>I F PLOT NO A131</t>
  </si>
  <si>
    <t>SURAT SINGH</t>
  </si>
  <si>
    <t>SEEMA RANA</t>
  </si>
  <si>
    <t>ANKIT MALIK</t>
  </si>
  <si>
    <t>AMIT KUMAR</t>
  </si>
  <si>
    <t>CEMENT</t>
  </si>
  <si>
    <t>REFUND</t>
  </si>
  <si>
    <t>BEHALF OF FARMER</t>
  </si>
  <si>
    <t>REFUND(20/10/20)</t>
  </si>
  <si>
    <t>REFUND(17/9/20)/LONE</t>
  </si>
  <si>
    <t>BOUNCE(26/7/21)</t>
  </si>
  <si>
    <t>REFUND(16/7/21)</t>
  </si>
  <si>
    <t>REFUND(11/8/21)300000</t>
  </si>
  <si>
    <t xml:space="preserve">BOUNCE </t>
  </si>
  <si>
    <t>BOUNCE</t>
  </si>
  <si>
    <t>REFUND(18/11/21)</t>
  </si>
  <si>
    <t>REFUND(19/8/21)</t>
  </si>
  <si>
    <t>REFUND(3/9/21)</t>
  </si>
  <si>
    <t>REFUND (2/9/21)</t>
  </si>
  <si>
    <t>R</t>
  </si>
  <si>
    <t>REFUND(</t>
  </si>
  <si>
    <t>FROM PLOT NO A97</t>
  </si>
  <si>
    <t>REFUND(16/9/21</t>
  </si>
  <si>
    <t>REFUND(16/9/21,</t>
  </si>
  <si>
    <t>REFUND(25/7/21,27/7/21)</t>
  </si>
  <si>
    <t>REFUND(11/1/22)</t>
  </si>
  <si>
    <t>REFUND(19/1/22)</t>
  </si>
  <si>
    <t>REFUND(27/7/21)</t>
  </si>
  <si>
    <t>REFUND(12/9/21)</t>
  </si>
  <si>
    <t>REFUND(22/10/21</t>
  </si>
  <si>
    <t>REFUND ADVANCE(20/10/20)</t>
  </si>
  <si>
    <t>BIL/INFT/0 020777860
45/Entry loan Shri/</t>
  </si>
  <si>
    <t>ANKIT SHARMA</t>
  </si>
  <si>
    <t>I F PLOT NOA95</t>
  </si>
  <si>
    <t>FROM PLOT NOA95</t>
  </si>
  <si>
    <t>PAWAN KUMAR</t>
  </si>
  <si>
    <t>YOGESH ENTERPRISES</t>
  </si>
  <si>
    <t>FOR MONEY COUNTING MACHIN</t>
  </si>
  <si>
    <t>KONCEPT AUTOMOBILES PVT LTD</t>
  </si>
  <si>
    <t>SALINDER SINGH</t>
  </si>
  <si>
    <t>KRISHAN PAL SHORAN</t>
  </si>
  <si>
    <t>I F PLOT NO A3</t>
  </si>
  <si>
    <t>I F PLOT NO A4</t>
  </si>
  <si>
    <t xml:space="preserve">VINAY KUMAR GUPTA </t>
  </si>
  <si>
    <t>AJAY BINDAL</t>
  </si>
  <si>
    <t>I F PLOT NO A130</t>
  </si>
  <si>
    <t>SHRI GANESH ASSOCIATES</t>
  </si>
  <si>
    <t>DINESH KUMAR</t>
  </si>
  <si>
    <t>REGISTRY</t>
  </si>
  <si>
    <t>FROM PLOT NO A135</t>
  </si>
  <si>
    <t>MAMTA DEVI</t>
  </si>
  <si>
    <t>JITENDRA GIRI</t>
  </si>
  <si>
    <t>VIJENDRA SINGH</t>
  </si>
  <si>
    <t>FROM PLOT NO A1</t>
  </si>
  <si>
    <t>BALAJI ASSOCIATES</t>
  </si>
  <si>
    <t>ARUN KUMAR</t>
  </si>
  <si>
    <t>SHAURYA SHARMA</t>
  </si>
  <si>
    <t>IN F PLOT NO A46</t>
  </si>
  <si>
    <t>IN F PLOT NO A47</t>
  </si>
  <si>
    <t>VINOD KUMAR</t>
  </si>
  <si>
    <t>I F PLOT NO A78</t>
  </si>
  <si>
    <t>RAHUL HUDDA</t>
  </si>
  <si>
    <t>JITENDRA SINGH</t>
  </si>
  <si>
    <t>DIPANSHU GOEL</t>
  </si>
  <si>
    <t>I F PLOT A23</t>
  </si>
  <si>
    <t>ASHWANI SHARMA</t>
  </si>
  <si>
    <t>I F PLOT NO A26</t>
  </si>
  <si>
    <t>MANOJ SHARMA</t>
  </si>
  <si>
    <t>SUDHIR SINGH</t>
  </si>
  <si>
    <t>I F PLOT NO A2O</t>
  </si>
  <si>
    <t>I F OF YOGESH TYAGI CAPITAL</t>
  </si>
  <si>
    <t>RAHUL TOMAR</t>
  </si>
  <si>
    <t>ANITA</t>
  </si>
  <si>
    <t>I F OF PLOT NO A147</t>
  </si>
  <si>
    <t>SIYANAND SHARMA</t>
  </si>
  <si>
    <t>FROM PLOT NO A38</t>
  </si>
  <si>
    <t>FROM PLOT NO A147</t>
  </si>
  <si>
    <t>FROM PLOT A60</t>
  </si>
  <si>
    <t>MANOJ KUMAR</t>
  </si>
  <si>
    <t>I F OF PLOT NO A23</t>
  </si>
  <si>
    <t>CLG/CHE QUE/9418 04/SUP/17.
08.2021</t>
  </si>
  <si>
    <t xml:space="preserve">I F OF PLOT NO A144 </t>
  </si>
  <si>
    <t>SEALF</t>
  </si>
  <si>
    <t>AJAY KUMAR</t>
  </si>
  <si>
    <t>-</t>
  </si>
  <si>
    <t>03/05/2022</t>
  </si>
  <si>
    <t xml:space="preserve">03/05/2022 05:26:40 PM </t>
  </si>
  <si>
    <t>INF/NEFT/027396783121/HDFC0004358/574574612.RAHUL/rahulCHAUDHARYd</t>
  </si>
  <si>
    <t>04/05/2022</t>
  </si>
  <si>
    <t xml:space="preserve">04/05/2022 11:09:48 AM </t>
  </si>
  <si>
    <t>MMT/IMPS/212411834433/574574612.RAHUL/MANISHsaga/PUNB0072900</t>
  </si>
  <si>
    <t>05/05/2022</t>
  </si>
  <si>
    <t xml:space="preserve">05/05/2022 03:39:58 PM </t>
  </si>
  <si>
    <t>MMT/IMPS/212515633079/574574612.RAHUL/SHCILestam/HDFC0001267</t>
  </si>
  <si>
    <t xml:space="preserve">05/05/2022 03:41:58 PM </t>
  </si>
  <si>
    <t>MMT/IMPS/212515640318/574574612.RAHUL/AMITyadav /HDFC0000655</t>
  </si>
  <si>
    <t>06/05/2022</t>
  </si>
  <si>
    <t xml:space="preserve">06/05/2022 03:51:29 PM </t>
  </si>
  <si>
    <t>CLG/RAJEEV/846544/SBI/27.04.2022</t>
  </si>
  <si>
    <t xml:space="preserve">06/05/2022 06:54:54 PM </t>
  </si>
  <si>
    <t>MMT/IMPS/212618937636/574574612.RAHUL/dipanshuGO/SBIN0012526</t>
  </si>
  <si>
    <t>12/05/2022</t>
  </si>
  <si>
    <t xml:space="preserve">12/05/2022 11:09:06 AM </t>
  </si>
  <si>
    <t>INF/INFT/027548016551/Balajiassociate/BalajiAssociate</t>
  </si>
  <si>
    <t xml:space="preserve">12/05/2022 11:11:19 AM </t>
  </si>
  <si>
    <t>INF/INFT/027548059231/Balajiassociate/BalajiAssociate</t>
  </si>
  <si>
    <t xml:space="preserve">12/05/2022 11:14:55 AM </t>
  </si>
  <si>
    <t>INF/INFT/027548124691/Balajiassociate/BalajiAssociate</t>
  </si>
  <si>
    <t xml:space="preserve">12/05/2022 11:17:00 AM </t>
  </si>
  <si>
    <t>INF/INFT/027548149041/Balajiassociate/BalajiAssociate</t>
  </si>
  <si>
    <t>17/05/2022</t>
  </si>
  <si>
    <t xml:space="preserve">17/05/2022 02:37:56 PM </t>
  </si>
  <si>
    <t>RTGS-PUNBR52022051712636802-KASAM ALI  SO RUSTAM-02662010019640-PUNB0026610</t>
  </si>
  <si>
    <t xml:space="preserve">17/05/2022 07:29:38 PM </t>
  </si>
  <si>
    <t>INF/NEFT/027622302141/SBIN0006199/574574612.RAHUL/AJAYshingb35DG</t>
  </si>
  <si>
    <t>18/05/2022</t>
  </si>
  <si>
    <t xml:space="preserve">18/05/2022 11:36:52 AM </t>
  </si>
  <si>
    <t>NEFT-SBIN322138978061-VINAY KUMAR-/ATTN/PAYMENT-00000030455776844-SBIN0014581</t>
  </si>
  <si>
    <t xml:space="preserve">18/05/2022 05:54:02 PM </t>
  </si>
  <si>
    <t>INF/NEFT/027636335831/PUNB0072900/574574612.RAHUL/MANISHsagarDG</t>
  </si>
  <si>
    <t>19/05/2022</t>
  </si>
  <si>
    <t xml:space="preserve">19/05/2022 10:23:11 AM </t>
  </si>
  <si>
    <t>CLG/INUSH ALI/437449/PNB/18.05.2022</t>
  </si>
  <si>
    <t xml:space="preserve">19/05/2022 10:23:15 AM </t>
  </si>
  <si>
    <t>CLG/YAGYU DUTT/646947/SBI/09.05.2022</t>
  </si>
  <si>
    <t xml:space="preserve">19/05/2022 10:23:18 AM </t>
  </si>
  <si>
    <t>CLG/SHALAU DIN/491721/PNB/18.05.2022</t>
  </si>
  <si>
    <t xml:space="preserve">19/05/2022 10:26:23 AM </t>
  </si>
  <si>
    <t>BIL/INFT/000401469545/Shri Ganesh ass/ AASHU TYAGI</t>
  </si>
  <si>
    <t xml:space="preserve">19/05/2022 11:36:19 AM </t>
  </si>
  <si>
    <t>INF/INFT/027647368571/577683445.YOGES/BALAJI ASSOCIAT</t>
  </si>
  <si>
    <t xml:space="preserve">19/05/2022 11:46:37 AM </t>
  </si>
  <si>
    <t>BIL/INFT/000401537154/Shri ganesh ass/ YOGESH  TYAGI</t>
  </si>
  <si>
    <t xml:space="preserve">19/05/2022 11:54:13 AM </t>
  </si>
  <si>
    <t>UPI/213919615901/Payment from Ph/9927830484@ybl/State Bank Of I/YBL3460d7bd902c</t>
  </si>
  <si>
    <t xml:space="preserve">19/05/2022 12:06:59 PM </t>
  </si>
  <si>
    <t>RTGS-PUNBR52022051912717148-DHARAM PAL SINGH S/O RAM SINGH-1822000100304399-PUN</t>
  </si>
  <si>
    <t xml:space="preserve">19/05/2022 12:26:19 PM </t>
  </si>
  <si>
    <t>RTGS-PUNBR52022051912720768-MUNESH WO RAJBIR-02662191008876-PUNB0026610</t>
  </si>
  <si>
    <t xml:space="preserve">19/05/2022 12:50:14 PM </t>
  </si>
  <si>
    <t>RTGS-SBINR52022051984416345-MAHIPAL SINGH-11733642503-SBIN0007434</t>
  </si>
  <si>
    <t xml:space="preserve">19/05/2022 01:08:37 PM </t>
  </si>
  <si>
    <t>TRFR FROM:ARCHANA KUMARI</t>
  </si>
  <si>
    <t xml:space="preserve">19/05/2022 01:44:44 PM </t>
  </si>
  <si>
    <t>TRFR FROM:NIDHI ELECTRONIC</t>
  </si>
  <si>
    <t xml:space="preserve">19/05/2022 01:46:05 PM </t>
  </si>
  <si>
    <t>RTGS-PUNBR52022051912728067-SUNITA-0175000105054460-PUNB0017500</t>
  </si>
  <si>
    <t>23/05/2022</t>
  </si>
  <si>
    <t xml:space="preserve">23/05/2022 12:50:42 PM </t>
  </si>
  <si>
    <t>RTGS/ICICR42022052300514959/PUNB0026610/SUKHBEERI</t>
  </si>
  <si>
    <t>26/05/2022</t>
  </si>
  <si>
    <t xml:space="preserve">26/05/2022 08:08:26 AM </t>
  </si>
  <si>
    <t>CLG/CHARAN SINGH/481909/SBI/19.05.2022</t>
  </si>
  <si>
    <t>27/05/2022</t>
  </si>
  <si>
    <t xml:space="preserve">27/05/2022 07:59:58 AM </t>
  </si>
  <si>
    <t>CLG/HIMANSHU GUPTA/021432/UBI/23.05.2022</t>
  </si>
  <si>
    <t>28/05/2022</t>
  </si>
  <si>
    <t xml:space="preserve">28/05/2022 05:53:35 PM </t>
  </si>
  <si>
    <t>MMT/IMPS/214817006565/refunda15/BittuDGA15/YESB0000182</t>
  </si>
  <si>
    <t xml:space="preserve">28/05/2022 05:54:52 PM </t>
  </si>
  <si>
    <t>MMT/IMPS/214817011736/refunda15/SushilaDGA/IBKL0000338</t>
  </si>
  <si>
    <t xml:space="preserve">28/05/2022 05:57:15 PM </t>
  </si>
  <si>
    <t>RTGS/ICICR42022052800517146/KKBK0007466/VIKASH KUMAR</t>
  </si>
  <si>
    <t>03/06/2022</t>
  </si>
  <si>
    <t xml:space="preserve">03/06/2022 01:46:24 PM </t>
  </si>
  <si>
    <t>NEFT-PUNBH22154426338-KASAM ALI  SO RUSTAM--02662010019640-PUNB0026610</t>
  </si>
  <si>
    <t>04/06/2022</t>
  </si>
  <si>
    <t xml:space="preserve">04/06/2022 06:04:08 PM </t>
  </si>
  <si>
    <t>INF/NEFT/027909424821/SBIN0016609/alokTYAGIdg</t>
  </si>
  <si>
    <t xml:space="preserve">04/06/2022 06:06:31 PM </t>
  </si>
  <si>
    <t>INF/NEFT/027909449161/PUNB0072900/SALARY         /MANISHsagarDG</t>
  </si>
  <si>
    <t>05/06/2022</t>
  </si>
  <si>
    <t xml:space="preserve">05/06/2022 01:38:59 PM </t>
  </si>
  <si>
    <t>INF/INFT/027916681611/ADVANCE        /BalajiAssociate</t>
  </si>
  <si>
    <t>06/06/2022</t>
  </si>
  <si>
    <t xml:space="preserve">06/06/2022 02:47:28 PM </t>
  </si>
  <si>
    <t>RTGS/ICICR42022060600525179/PUNB0403900/PRITI PANWAR</t>
  </si>
  <si>
    <t>07/06/2022</t>
  </si>
  <si>
    <t xml:space="preserve">07/06/2022 01:52:48 PM </t>
  </si>
  <si>
    <t>INF/INFT/027950270561/LON            /BalajiAssociate</t>
  </si>
  <si>
    <t xml:space="preserve">07/06/2022 02:00:23 PM </t>
  </si>
  <si>
    <t>INF/NEFT/027950455361/HDFC0000655/AMITyadav</t>
  </si>
  <si>
    <t xml:space="preserve">07/06/2022 09:29:19 PM </t>
  </si>
  <si>
    <t>MMT/IMPS/215821075056/INDERKALIakeshD/PUNB0030310</t>
  </si>
  <si>
    <t xml:space="preserve">07/06/2022 09:33:04 PM </t>
  </si>
  <si>
    <t>RTGS/ICICR42022060700548198/SBIN0007619/SHIV rajSINGH</t>
  </si>
  <si>
    <t xml:space="preserve">07/06/2022 09:35:06 PM </t>
  </si>
  <si>
    <t>INF/NEFT/027959444131/PUNB0047310/ANITAa53DG</t>
  </si>
  <si>
    <t xml:space="preserve">07/06/2022 09:37:39 PM </t>
  </si>
  <si>
    <t>INF/NEFT/027959457101/HDFC0001022/PAWANkumarsingh</t>
  </si>
  <si>
    <t>08/06/2022</t>
  </si>
  <si>
    <t xml:space="preserve">08/06/2022 01:22:52 PM </t>
  </si>
  <si>
    <t>INF/INFT/027969746271/LON            /BalajiAssociate</t>
  </si>
  <si>
    <t xml:space="preserve">08/06/2022 02:05:21 PM </t>
  </si>
  <si>
    <t>TRFR FROM: SUMAN LATA</t>
  </si>
  <si>
    <t>09/06/2022</t>
  </si>
  <si>
    <t xml:space="preserve">09/06/2022 02:37:04 PM </t>
  </si>
  <si>
    <t>INF/INFT/027990565711/REFUND         /archanaKUMARIa3</t>
  </si>
  <si>
    <t xml:space="preserve">09/06/2022 07:37:29 PM </t>
  </si>
  <si>
    <t>INF/NEFT/027996877711/AIRP0000001/REFUND         /SURATsinghDGB9</t>
  </si>
  <si>
    <t xml:space="preserve">09/06/2022 09:25:27 PM </t>
  </si>
  <si>
    <t>INF/NEFT/027998527131/UTIB0000095/BOOKING        /UTTAMtoyotaCAR</t>
  </si>
  <si>
    <t>10/06/2022</t>
  </si>
  <si>
    <t xml:space="preserve">10/06/2022 10:52:06 AM </t>
  </si>
  <si>
    <t>UPI/216124446309/Pay to account/9058142230@sbi/State Bank Of I/SBIB64C86D4C22D4</t>
  </si>
  <si>
    <t xml:space="preserve">10/06/2022 12:42:09 PM </t>
  </si>
  <si>
    <t>NEFT-PUNBH22161559556-PARTAP PANWAR--4039000100179862-PUNB0403900</t>
  </si>
  <si>
    <t>UTTAM TOYOTA</t>
  </si>
  <si>
    <t>BOOKING CAR</t>
  </si>
  <si>
    <t>FROM PLOT NO B10</t>
  </si>
  <si>
    <t xml:space="preserve">SUNIL   </t>
  </si>
  <si>
    <t>MUNESH</t>
  </si>
  <si>
    <t>SELF</t>
  </si>
  <si>
    <t>I F OF PLOT A80</t>
  </si>
  <si>
    <t>SHCIL E STAM</t>
  </si>
  <si>
    <t>STAMP DUTY</t>
  </si>
  <si>
    <t>AJAY SINGH</t>
  </si>
  <si>
    <t>FROM PLOT NO B35</t>
  </si>
  <si>
    <t>SALARY ADVANCE</t>
  </si>
  <si>
    <t>YAGYU DUTT</t>
  </si>
  <si>
    <t>DHARAM PAL SINGH</t>
  </si>
  <si>
    <t>REFUND ENTRY</t>
  </si>
  <si>
    <t>NIDHI ELECTRONIC</t>
  </si>
  <si>
    <t>SUNITA</t>
  </si>
  <si>
    <t>SUKHBEERI</t>
  </si>
  <si>
    <t>HIMANSHU GUPTA</t>
  </si>
  <si>
    <t>IN F O PLOT NO A14</t>
  </si>
  <si>
    <t>FROM PLOT NO A15</t>
  </si>
  <si>
    <t>VIKASH KUMAR</t>
  </si>
  <si>
    <t>INDERKALI</t>
  </si>
  <si>
    <t xml:space="preserve">ANITA </t>
  </si>
  <si>
    <t>SUMAN LATA</t>
  </si>
  <si>
    <t>I N OF PLOT NO A60</t>
  </si>
  <si>
    <t>I F OF PLOT NO A51</t>
  </si>
  <si>
    <t>SATBEER</t>
  </si>
  <si>
    <t>I F OF PLOT B35</t>
  </si>
  <si>
    <t>I F OF PLOT NO A50</t>
  </si>
  <si>
    <t>FOR CAR BOOKING</t>
  </si>
  <si>
    <t>FROM PLOT NO A23</t>
  </si>
  <si>
    <t>FROM PLOT NO A73</t>
  </si>
  <si>
    <t>FROM PLOT NO A56</t>
  </si>
  <si>
    <t>I F PLOT NO A137</t>
  </si>
  <si>
    <t>11/06/2022</t>
  </si>
  <si>
    <t xml:space="preserve">11/06/2022 04:03:25 PM </t>
  </si>
  <si>
    <t>UPI/216247734026/NA/75359591@paytm/State Bank Of I/PTMadd424e1ebb4462788cfaedc3</t>
  </si>
  <si>
    <t xml:space="preserve">11/06/2022 04:18:03 PM </t>
  </si>
  <si>
    <t>UPI/216223753775/Payment from Ph/choudhary585@yb/Punjab National/YBL7cbf480242c</t>
  </si>
  <si>
    <t xml:space="preserve">11/06/2022 04:34:57 PM </t>
  </si>
  <si>
    <t>INF/INFT/028016451261/ADVANCE        /BalajiAssociate</t>
  </si>
  <si>
    <t xml:space="preserve">11/06/2022 05:05:12 PM </t>
  </si>
  <si>
    <t>INF/INFT/028016721491/BalajiAssociate</t>
  </si>
  <si>
    <t xml:space="preserve">11/06/2022 05:14:18 PM </t>
  </si>
  <si>
    <t>INF/INFT/028016809861/NIDHIelectronic</t>
  </si>
  <si>
    <t>12/06/2022</t>
  </si>
  <si>
    <t xml:space="preserve">12/06/2022 07:51:28 AM </t>
  </si>
  <si>
    <t>UPI/216325121283/Pay to account/9058142230@sbi/State Bank Of I/SBIEBB20B08C7134</t>
  </si>
  <si>
    <t xml:space="preserve">12/06/2022 05:06:07 PM </t>
  </si>
  <si>
    <t>INF/NEFT/028021808911/HDFC0004358/rahulCHAUDHARYd</t>
  </si>
  <si>
    <t xml:space="preserve">12/06/2022 05:09:28 PM </t>
  </si>
  <si>
    <t>INF/NEFT/028021820721/CNRB0002323/goravDG</t>
  </si>
  <si>
    <t>13/06/2022</t>
  </si>
  <si>
    <t xml:space="preserve">13/06/2022 12:01:29 PM </t>
  </si>
  <si>
    <t>NEFT-KKBKH22164657938-UTTARANCHAL AUTOMOBILES PRIVATE LIM-PAYMENT-0148208000002</t>
  </si>
  <si>
    <t xml:space="preserve">13/06/2022 04:00:25 PM </t>
  </si>
  <si>
    <t>INF/INFT/028030274161/LON            /BalajiAssociate</t>
  </si>
  <si>
    <t xml:space="preserve">13/06/2022 04:06:04 PM </t>
  </si>
  <si>
    <t>INF/INFT/028030365841/LON            /BalajiAssociate</t>
  </si>
  <si>
    <t xml:space="preserve">13/06/2022 04:08:29 PM </t>
  </si>
  <si>
    <t>INF/INFT/028030434561/LON            /BalajiAssociate</t>
  </si>
  <si>
    <t xml:space="preserve">13/06/2022 06:28:14 PM </t>
  </si>
  <si>
    <t>UPI/216418424393/difrance gardan/ddnpal@oksbi/State Bank Of I/SBI0b8d92f5d95949</t>
  </si>
  <si>
    <t>14/06/2022</t>
  </si>
  <si>
    <t xml:space="preserve">14/06/2022 01:28:00 PM </t>
  </si>
  <si>
    <t>UPI/216510714540/Payment from Ph/9760008035@axl/Axis Bank Ltd./AXLf3a9531ef2804</t>
  </si>
  <si>
    <t xml:space="preserve">14/06/2022 01:54:26 PM </t>
  </si>
  <si>
    <t>MMT/IMPS/216513631622/VIKASHVERM/Axis Bank</t>
  </si>
  <si>
    <t xml:space="preserve">14/06/2022 02:37:57 PM </t>
  </si>
  <si>
    <t>NEFT-PUNBH22165527854-INDERKALI WO JAYPRAKASH--03032191018011-PUNB0030310</t>
  </si>
  <si>
    <t xml:space="preserve">14/06/2022 02:44:54 PM </t>
  </si>
  <si>
    <t>UPI/216571300916/Payment from Ph/codemike@ybl/State Bank Of I/YBLac351ac31dca47</t>
  </si>
  <si>
    <t xml:space="preserve">14/06/2022 04:23:31 PM </t>
  </si>
  <si>
    <t>RTGS/ICICR42022061400534031/HDFC0001913/POOJA SHARMA</t>
  </si>
  <si>
    <t>15/06/2022</t>
  </si>
  <si>
    <t xml:space="preserve">15/06/2022 08:01:02 AM </t>
  </si>
  <si>
    <t>CLG/AVINASH TYAGI/878597/PNB/11.06.2022</t>
  </si>
  <si>
    <t>CLG/INUSH ALI/437450/PNB/11.06.2022</t>
  </si>
  <si>
    <t>16/06/2022</t>
  </si>
  <si>
    <t xml:space="preserve">16/06/2022 02:51:39 PM </t>
  </si>
  <si>
    <t>RTGS/ICICR42022061600523279/SBIN0001074/SATVEER SINGH</t>
  </si>
  <si>
    <t>18/06/2022</t>
  </si>
  <si>
    <t xml:space="preserve">18/06/2022 08:06:48 AM </t>
  </si>
  <si>
    <t>CLG/RAJEEV KUMAR/820390/SBI/17.06.2022</t>
  </si>
  <si>
    <t xml:space="preserve">18/06/2022 02:28:21 PM </t>
  </si>
  <si>
    <t>CLG/DN PAUL/786506/SBI/16.06.2022</t>
  </si>
  <si>
    <t>21/06/2022</t>
  </si>
  <si>
    <t xml:space="preserve">21/06/2022 09:41:50 PM </t>
  </si>
  <si>
    <t>INF/INFT/028163262981/LOAN           /BalajiAssociate</t>
  </si>
  <si>
    <t>22/06/2022</t>
  </si>
  <si>
    <t xml:space="preserve">22/06/2022 11:59:19 AM </t>
  </si>
  <si>
    <t>RTGS/ICICR42022062200510278/SBIN0004215/OMINDRA KUMAR</t>
  </si>
  <si>
    <t>23/06/2022</t>
  </si>
  <si>
    <t xml:space="preserve">23/06/2022 11:33:46 AM </t>
  </si>
  <si>
    <t>INF/INFT/028189330081/Balajiassociate/BalajiAssociate</t>
  </si>
  <si>
    <t xml:space="preserve">23/06/2022 06:27:34 PM </t>
  </si>
  <si>
    <t>INF/INFT/028196917971/Balajiassociate/BalajiAssociate</t>
  </si>
  <si>
    <t>24/06/2022</t>
  </si>
  <si>
    <t xml:space="preserve">24/06/2022 09:32:26 AM </t>
  </si>
  <si>
    <t>CLG/SHALAU DIN/491728/PNB/22.06.2022</t>
  </si>
  <si>
    <t>CLG/INUSH ALI/437457/PNB/22.06.2022</t>
  </si>
  <si>
    <t>VIKASH VARMA</t>
  </si>
  <si>
    <t>I F OF PLOT NO A81</t>
  </si>
  <si>
    <t>FROM PLOT NO A16</t>
  </si>
  <si>
    <t>I F OF PLOT NO A24</t>
  </si>
  <si>
    <t>FROM PLOT A71</t>
  </si>
  <si>
    <t>I F OF PLOT NO B47</t>
  </si>
  <si>
    <t>DN PAUL</t>
  </si>
  <si>
    <t>I F OF PLOT NO A79</t>
  </si>
  <si>
    <t>FROM PLOT NO A87</t>
  </si>
  <si>
    <t>SANJEEV KUMAR</t>
  </si>
  <si>
    <t>TOYOTA FORTUNER</t>
  </si>
  <si>
    <t>27/06/2022</t>
  </si>
  <si>
    <t xml:space="preserve">27/06/2022 11:41:30 AM </t>
  </si>
  <si>
    <t>TRFR FROM: SUMAN  LATA</t>
  </si>
  <si>
    <t xml:space="preserve">27/06/2022 12:00:25 PM </t>
  </si>
  <si>
    <t>RTGS/ICICR42022062700512826/SBIN0007619/SHIV rajSINGH</t>
  </si>
  <si>
    <t>28/06/2022</t>
  </si>
  <si>
    <t xml:space="preserve">28/06/2022 06:15:13 PM </t>
  </si>
  <si>
    <t>NEFT-N179222014728920-AMIT YADAV-AMOUNT TRANSFER-06551930006525-HDFC0000001</t>
  </si>
  <si>
    <t xml:space="preserve">28/06/2022 08:16:02 PM </t>
  </si>
  <si>
    <t>BIL/INFT/000431143789/Shri ganesh ass/ YOGESH  TYAGI</t>
  </si>
  <si>
    <t>29/06/2022</t>
  </si>
  <si>
    <t xml:space="preserve">29/06/2022 08:18:55 AM </t>
  </si>
  <si>
    <t>CLG/INUSH ALI/437456/PNB/20.06.2022</t>
  </si>
  <si>
    <t xml:space="preserve">29/06/2022 08:18:58 AM </t>
  </si>
  <si>
    <t>CLG/SURENDER SINGH/998648/SBI/27.06.2022</t>
  </si>
  <si>
    <t>CLG/SAAKSHI DHAMA/649751/PNB/27.06.2022</t>
  </si>
  <si>
    <t xml:space="preserve">29/06/2022 11:02:04 AM </t>
  </si>
  <si>
    <t xml:space="preserve">29/06/2022 04:21:10 PM </t>
  </si>
  <si>
    <t>000905</t>
  </si>
  <si>
    <t>RTGS:ICICR52022062900342234/UTIB0000095/UTTAM TOYOTA</t>
  </si>
  <si>
    <t>30/06/2022</t>
  </si>
  <si>
    <t xml:space="preserve">30/06/2022 09:08:21 AM </t>
  </si>
  <si>
    <t>RTGS-HDFCR52022063078889773-AMIT YADAV-06551930006525  -HDFC0000240</t>
  </si>
  <si>
    <t xml:space="preserve">30/06/2022 10:59:22 AM </t>
  </si>
  <si>
    <t>RTGS-HDFCR52022063078909587-AMIT YADAV-06551930006525  -HDFC0000240</t>
  </si>
  <si>
    <t>01/07/2022</t>
  </si>
  <si>
    <t xml:space="preserve">01/07/2022 12:48:49 PM </t>
  </si>
  <si>
    <t>CLG/AASHU TYAGI/770762/PNB/26.06.2022</t>
  </si>
  <si>
    <t xml:space="preserve">02/07/2022 06:09:58 PM </t>
  </si>
  <si>
    <t>REJECT:770762:OTHER REASONS - CONNECTIVITY FAILURE</t>
  </si>
  <si>
    <t>04/07/2022</t>
  </si>
  <si>
    <t xml:space="preserve">04/07/2022 01:28:48 PM </t>
  </si>
  <si>
    <t xml:space="preserve">04/07/2022 02:32:50 PM </t>
  </si>
  <si>
    <t>MMT/IMPS/218514231674/REFUND PAYMENT/MUKESHtoma/SBIN0002292</t>
  </si>
  <si>
    <t xml:space="preserve">04/07/2022 06:04:50 PM </t>
  </si>
  <si>
    <t>MMT/IMPS/218518655155/VIKASHVERM/Axis Bank</t>
  </si>
  <si>
    <t xml:space="preserve">04/07/2022 08:24:14 PM </t>
  </si>
  <si>
    <t>INF/NEFT/028365913291/HDFC0000655/SALARY         /AMITyadav</t>
  </si>
  <si>
    <t xml:space="preserve">04/07/2022 08:25:54 PM </t>
  </si>
  <si>
    <t>INF/NEFT/028365948061/PUNB0072900/SALARY         /MANISHsagarDG</t>
  </si>
  <si>
    <t>05/07/2022</t>
  </si>
  <si>
    <t xml:space="preserve">05/07/2022 05:59:25 PM </t>
  </si>
  <si>
    <t>MMT/IMPS/218617408845/SALARY/rahulCHAUD/HDFC0004358</t>
  </si>
  <si>
    <t>06/07/2022</t>
  </si>
  <si>
    <t xml:space="preserve">06/07/2022 01:35:40 PM </t>
  </si>
  <si>
    <t>CLG/SAPNA SANGAL/008204/UBI/30.06.2022</t>
  </si>
  <si>
    <t xml:space="preserve">06/07/2022 06:54:51 PM </t>
  </si>
  <si>
    <t>BIL/INFT/000438889866/Shri ganesh ass/ YOGESH  TYAGI</t>
  </si>
  <si>
    <t xml:space="preserve">06/07/2022 07:10:39 PM </t>
  </si>
  <si>
    <t>BIL/INFT/000438902681/NA/ AASHU TYAGI</t>
  </si>
  <si>
    <t xml:space="preserve">06/07/2022 07:33:23 PM </t>
  </si>
  <si>
    <t>RTGS/ICICR42022070600542871/UTIB0000095/UTTAM TOYOTA</t>
  </si>
  <si>
    <t xml:space="preserve">06/07/2022 07:35:27 PM </t>
  </si>
  <si>
    <t>RTGS/ICICR42022070600542944/UTIB0000095/UTTAM TOYOTA</t>
  </si>
  <si>
    <t>07/07/2022</t>
  </si>
  <si>
    <t xml:space="preserve">07/07/2022 01:40:39 PM </t>
  </si>
  <si>
    <t>RTGS-PUNBR52022070714300991-KASAM ALI  SO RUSTAM-02662010019640-PUNB0026610</t>
  </si>
  <si>
    <t xml:space="preserve">07/07/2022 04:14:51 PM </t>
  </si>
  <si>
    <t>RTGS/ICICR42022070700529880/UTIB0000095/UTTAM TOYOTA</t>
  </si>
  <si>
    <t xml:space="preserve">07/07/2022 06:57:23 PM </t>
  </si>
  <si>
    <t>INF/INFT/028426574241/REFUND         /BALAJI ASSOCIAT</t>
  </si>
  <si>
    <t xml:space="preserve">07/07/2022 07:16:27 PM </t>
  </si>
  <si>
    <t>RTGS/ICICR42022070700542034/HDFC0004216/NARESH KUMAR</t>
  </si>
  <si>
    <t xml:space="preserve">07/07/2022 07:20:59 PM </t>
  </si>
  <si>
    <t>RTGS/ICICR42022070700542198/SBIN0020075/ANURADHASHARMA</t>
  </si>
  <si>
    <t>08/07/2022</t>
  </si>
  <si>
    <t xml:space="preserve">08/07/2022 01:20:28 PM </t>
  </si>
  <si>
    <t>INF/INFT/028439849161/REFUND         /BALAJI ASSOCIAT</t>
  </si>
  <si>
    <t xml:space="preserve">08/07/2022 01:22:17 PM </t>
  </si>
  <si>
    <t>BIL/ONL/000440342474/TVS Insura/CAR BOOKING</t>
  </si>
  <si>
    <t>SURENDRA SINGH</t>
  </si>
  <si>
    <t>SAAKSHI SINGH</t>
  </si>
  <si>
    <t>SAPNA SANGAL</t>
  </si>
  <si>
    <t>CAR BOOKING</t>
  </si>
  <si>
    <t>I F OF PLOT NO A56</t>
  </si>
  <si>
    <t>I F OF PLOT NO A12</t>
  </si>
  <si>
    <t>FROM PLOT NO  A10</t>
  </si>
  <si>
    <t>FROM CAR BOOKING</t>
  </si>
  <si>
    <t>I F OF PLOT NO A25</t>
  </si>
  <si>
    <t>11/07/2022</t>
  </si>
  <si>
    <t xml:space="preserve">11/07/2022 11:38:57 AM </t>
  </si>
  <si>
    <t>INF/INFT/028466968731/refund         /BALAJI ASSOCIAT</t>
  </si>
  <si>
    <t xml:space="preserve">11/07/2022 11:42:47 AM </t>
  </si>
  <si>
    <t>INF/INFT/028467018851/refund         /yogrshTYAGIdg</t>
  </si>
  <si>
    <t xml:space="preserve">11/07/2022 12:51:18 PM </t>
  </si>
  <si>
    <t>INF/INFT/028467993111/refund         /kuldeepicici</t>
  </si>
  <si>
    <t xml:space="preserve">11/07/2022 01:01:48 PM </t>
  </si>
  <si>
    <t>INF/INFT/028468179411/refund         /BALAJI ASSOCIAT</t>
  </si>
  <si>
    <t xml:space="preserve">11/07/2022 01:18:22 PM </t>
  </si>
  <si>
    <t>INF/INFT/028468424441/refund         /yogrshTYAGIdg</t>
  </si>
  <si>
    <t xml:space="preserve">11/07/2022 03:44:06 PM </t>
  </si>
  <si>
    <t>INF/INFT/028470915721/refund         /BALAJI ASSOCIAT</t>
  </si>
  <si>
    <t xml:space="preserve">11/07/2022 03:45:42 PM </t>
  </si>
  <si>
    <t>INF/INFT/028470973141/ADVANCE        /kuldeepicici</t>
  </si>
  <si>
    <t xml:space="preserve">11/07/2022 03:55:43 PM </t>
  </si>
  <si>
    <t>INF/INFT/028471232061/ADVANCE        /RAULnermalDG</t>
  </si>
  <si>
    <t xml:space="preserve">11/07/2022 05:08:59 PM </t>
  </si>
  <si>
    <t>INF/INFT/028473115211/ADVANCE        /yogrshTYAGIdg</t>
  </si>
  <si>
    <t>12/07/2022</t>
  </si>
  <si>
    <t xml:space="preserve">12/07/2022 12:46:50 PM </t>
  </si>
  <si>
    <t>BIL/INFT/000443223103/Family/ MOHIT KUMAR</t>
  </si>
  <si>
    <t xml:space="preserve">12/07/2022 12:50:12 PM </t>
  </si>
  <si>
    <t>BIL/INFT/000443225920/NA/ MOHIT KUMAR</t>
  </si>
  <si>
    <t xml:space="preserve">12/07/2022 02:34:33 PM </t>
  </si>
  <si>
    <t>INF/INFT/028490337371/advance        /BalajiAssociate</t>
  </si>
  <si>
    <t>13/07/2022</t>
  </si>
  <si>
    <t xml:space="preserve">13/07/2022 09:23:16 PM </t>
  </si>
  <si>
    <t>MMT/IMPS/219421474672/REFUND PAYMENT/SATYABEERs/SBIN0001708</t>
  </si>
  <si>
    <t>14/07/2022</t>
  </si>
  <si>
    <t xml:space="preserve">14/07/2022 07:56:50 AM </t>
  </si>
  <si>
    <t>CLG/SHALAU DIN/136431/PNB/12.07.2022</t>
  </si>
  <si>
    <t xml:space="preserve">14/07/2022 02:32:30 PM </t>
  </si>
  <si>
    <t>MMT/IMPS/219514479092/RAVIKUMAR2/Axis Bank</t>
  </si>
  <si>
    <t>16/07/2022</t>
  </si>
  <si>
    <t xml:space="preserve">16/07/2022 09:38:33 AM </t>
  </si>
  <si>
    <t>CLG/SHALAU DIN/136432/PNB/13.07.2022</t>
  </si>
  <si>
    <t>FROM PLOT NO A51</t>
  </si>
  <si>
    <t>I F OF PLOT NO A142</t>
  </si>
  <si>
    <t>20/07/2022</t>
  </si>
  <si>
    <t xml:space="preserve">20/07/2022 04:25:29 PM </t>
  </si>
  <si>
    <t>MMT/IMPS/220116561683/SALARY/AMITyadav /HDFC0000655</t>
  </si>
  <si>
    <t>21/07/2022</t>
  </si>
  <si>
    <t xml:space="preserve">21/07/2022 05:11:37 PM </t>
  </si>
  <si>
    <t>MMT/IMPS/220217619785/SALARY/MANISHsaga/PUNB0072900</t>
  </si>
  <si>
    <t>22/07/2022</t>
  </si>
  <si>
    <t xml:space="preserve">22/07/2022 12:57:17 PM </t>
  </si>
  <si>
    <t>INF/INFT/028658991421/refund         /yogrshTYAGIdg</t>
  </si>
  <si>
    <t>30/07/2022</t>
  </si>
  <si>
    <t xml:space="preserve">30/07/2022 11:57:48 AM </t>
  </si>
  <si>
    <t>MMT/IMPS/221111118780/SALARY/ARUNbhiDG /SBIN0016608</t>
  </si>
  <si>
    <t>02/08/2022</t>
  </si>
  <si>
    <t xml:space="preserve">02/08/2022 02:10:08 PM </t>
  </si>
  <si>
    <t>CLG/ANUJ SO/987553/PNB/28.07.2022</t>
  </si>
  <si>
    <t>06/08/2022</t>
  </si>
  <si>
    <t xml:space="preserve">06/08/2022 04:05:44 PM </t>
  </si>
  <si>
    <t>RTGS/ICICR42022080600525608/SBIN0000733/JITENDRAKUMAR</t>
  </si>
  <si>
    <t>I F OF PLOT NO A49</t>
  </si>
  <si>
    <t>refund(7/6/22)</t>
  </si>
  <si>
    <t>refund(18/2/22</t>
  </si>
  <si>
    <t>refund(13/6/22)</t>
  </si>
  <si>
    <t>refund(22/3/22)</t>
  </si>
  <si>
    <t>refund22/2/22</t>
  </si>
  <si>
    <t>09/08/2022</t>
  </si>
  <si>
    <t xml:space="preserve">09/08/2022 08:24:44 PM </t>
  </si>
  <si>
    <t>MMT/IMPS/222120242881/SALARY/rahulCHAUD/HDFC0004358</t>
  </si>
  <si>
    <t xml:space="preserve">09/08/2022 08:26:43 PM </t>
  </si>
  <si>
    <t>MMT/IMPS/222120248730/SALARY/goravDG   /CNRB0002323</t>
  </si>
  <si>
    <t>REFUND(6/8/22)</t>
  </si>
  <si>
    <t>FROM PLOT NO A42</t>
  </si>
  <si>
    <t>REFUND GORHNI</t>
  </si>
  <si>
    <t>I F OF PLOT NO A74</t>
  </si>
  <si>
    <t>PARTAP SAINI</t>
  </si>
  <si>
    <t>FROM PLOT NO A55 AND B34</t>
  </si>
  <si>
    <t xml:space="preserve">11/08/2022 03:02:32 PM </t>
  </si>
  <si>
    <t>CLG/VINOD KUAMR/664368/SBI/09.08.2022</t>
  </si>
  <si>
    <t>16/08/2022</t>
  </si>
  <si>
    <t xml:space="preserve">16/08/2022 11:50:22 AM </t>
  </si>
  <si>
    <t>RTGS-CNRBR52022081688012315-PHOOL SINGH-87772200074760-CNRB0019448</t>
  </si>
  <si>
    <t>17/08/2022</t>
  </si>
  <si>
    <t xml:space="preserve">17/08/2022 05:43:27 PM </t>
  </si>
  <si>
    <t>INF/INFT/029025663441/ADVANCE        /BalajiAssociate</t>
  </si>
  <si>
    <t>22/08/2022</t>
  </si>
  <si>
    <t xml:space="preserve">22/08/2022 08:19:01 AM </t>
  </si>
  <si>
    <t>CLG/SIYANAND SHARMA/292129/SBI/17.08.2022</t>
  </si>
  <si>
    <t>24/08/2022</t>
  </si>
  <si>
    <t xml:space="preserve">24/08/2022 02:10:44 PM </t>
  </si>
  <si>
    <t>RTGS-SBINR52022082400854564-PAL SINGH-11687533989-SBIN0006396</t>
  </si>
  <si>
    <t xml:space="preserve">24/08/2022 03:01:12 PM </t>
  </si>
  <si>
    <t>CLG/PRADEEP VERMA/199512/SBI/22.08.2022</t>
  </si>
  <si>
    <t>CLG/PALSINGH/819614/SBI/22.08.2022</t>
  </si>
  <si>
    <t xml:space="preserve">24/08/2022 05:23:57 PM </t>
  </si>
  <si>
    <t>REJECT:819614:DRAWERS SIGNATURE DIFFERS</t>
  </si>
  <si>
    <t>26/08/2022</t>
  </si>
  <si>
    <t xml:space="preserve">26/08/2022 03:27:47 PM </t>
  </si>
  <si>
    <t>RTGS/ICICR42022082600528823/PUNB0SUPGB5/SHYAM SINGH CHAUHAN</t>
  </si>
  <si>
    <t>27/08/2022</t>
  </si>
  <si>
    <t xml:space="preserve">27/08/2022 07:28:53 PM </t>
  </si>
  <si>
    <t>MMT/IMPS/223919208336/REFUND/SATVEERsin/SBIN0001074</t>
  </si>
  <si>
    <t>28/08/2022</t>
  </si>
  <si>
    <t xml:space="preserve">28/08/2022 11:25:38 AM </t>
  </si>
  <si>
    <t>RTGS/ICICR42022082800501132/PUNB0403900/PRITI PANWAR</t>
  </si>
  <si>
    <t>PHOOL SINGH</t>
  </si>
  <si>
    <t>PAL SINGH</t>
  </si>
  <si>
    <t>FROM SHOP NO S12</t>
  </si>
  <si>
    <t>I F OF PLOT NO A55</t>
  </si>
  <si>
    <t>I F OF PLOT NO A29</t>
  </si>
  <si>
    <t>I F OF PLOT NO A70</t>
  </si>
  <si>
    <t>30/08/2022</t>
  </si>
  <si>
    <t xml:space="preserve">30/08/2022 05:21:10 PM </t>
  </si>
  <si>
    <t>CLG/SHALAU DIN/136436/PNB/27.08.2022</t>
  </si>
  <si>
    <t>02/09/2022</t>
  </si>
  <si>
    <t xml:space="preserve">02/09/2022 10:58:18 AM </t>
  </si>
  <si>
    <t>MMT/IMPS/224510090679/SALARY/MANISHsaga/PUNB0072900</t>
  </si>
  <si>
    <t xml:space="preserve">02/09/2022 11:00:13 AM </t>
  </si>
  <si>
    <t>MMT/IMPS/224511098100/SALARY/AMITyadav /HDFC0000655</t>
  </si>
  <si>
    <t xml:space="preserve">02/09/2022 12:08:57 PM </t>
  </si>
  <si>
    <t>INF/INFT/029187340511/ADVANCE        /D G ASSOCIATES</t>
  </si>
  <si>
    <t xml:space="preserve">02/09/2022 12:24:25 PM </t>
  </si>
  <si>
    <t>RTGS/ICICR42022090200511663/PUNB0026610/kasam alo</t>
  </si>
  <si>
    <t xml:space="preserve">02/09/2022 12:30:29 PM </t>
  </si>
  <si>
    <t>RTGS/ICICR42022090200512134/PUNB0026610/kasam alo</t>
  </si>
  <si>
    <t xml:space="preserve">02/09/2022 12:57:43 PM </t>
  </si>
  <si>
    <t>RTGS/ICICR42022090200514279/SBIN0000003/ANUJ KUMAR</t>
  </si>
  <si>
    <t xml:space="preserve">02/09/2022 01:00:29 PM </t>
  </si>
  <si>
    <t>RTGS/ICICR42022090200514502/UBIN0918458/RAVI MALIK</t>
  </si>
  <si>
    <t>PRADEEP VERMA</t>
  </si>
  <si>
    <t>FROM FARMAR PAYMENTS</t>
  </si>
  <si>
    <t>D G ASSOCIATS</t>
  </si>
  <si>
    <t>LOAN</t>
  </si>
  <si>
    <t>FARMAR PAYMENT</t>
  </si>
  <si>
    <t>FROM PLOT NO B32</t>
  </si>
  <si>
    <t>UPI/13181 8893079/fr om anmol pawa/varu nkmr2915 @ok/S</t>
  </si>
  <si>
    <t>UPI/13210 9384884/fr om anmol/varu nkmr2915 @ok/State</t>
  </si>
  <si>
    <t>REJECT:1 33512:KIN DLY CONTACT DRAWER/ DRAWEE BANK &amp;</t>
  </si>
  <si>
    <t>NEFT- N3282117 24135455- PARTAP PANWAR- A 106 PLOT PAY</t>
  </si>
  <si>
    <t>CLG/Mr SUNIL KUMAR BANSAL/B NB</t>
  </si>
  <si>
    <t>CLG/DEEP AK VARMA/C AB</t>
  </si>
  <si>
    <t>REJECT:4 91718:KIN DLY CONTACT DRAWER/ DRAWEE BANK &amp;</t>
  </si>
  <si>
    <t>REJECT:1 33514:FUN DS INSUFFICI ENT</t>
  </si>
  <si>
    <t>RTN CHG- 133514/FU NDS INSUFFICI ENT/20.01. 22</t>
  </si>
  <si>
    <t>NEFT- SBIN52204 0168099- MR  SUB INSP RAJNISH CISF N</t>
  </si>
  <si>
    <t>CLG/ANTI A/678711/ PNB/18.02. 2022</t>
  </si>
  <si>
    <t>REJECT:3 8450:OTH ER REASONS</t>
  </si>
  <si>
    <t>REJECT:7 09622:KIN DLY CONTACT DRAWER/ DRAWEE BANK &amp;</t>
  </si>
  <si>
    <t>REJECT:6: FUNDS INSUFFICI ENT</t>
  </si>
  <si>
    <t>RTN CHG- 6/FUNDS INSUFFICI ENT/16.03. 22</t>
  </si>
  <si>
    <t>NEFT- N0812218 82854099- PARTAP PANWAR- PLOT A86 PMT 3</t>
  </si>
  <si>
    <t>CLG/ANN O KUMARI/0 00004/KM B/20.03.20 22</t>
  </si>
  <si>
    <t>REJECT:5 11962:FUN DS INSUFFICI ENT</t>
  </si>
  <si>
    <t>RTN CHG- 511962/FU NDS INSUFFICI ENT/07.04. 22</t>
  </si>
  <si>
    <t>MMT/IMPS
/20991673
6507/salar y/sagarMA LIK/CNRB 000218</t>
  </si>
  <si>
    <t>TRFR FROM: UMESH KUMAR</t>
  </si>
  <si>
    <r>
      <rPr>
        <sz val="10"/>
        <rFont val="Arial"/>
        <family val="2"/>
      </rPr>
      <t>17-Sep-
2020</t>
    </r>
  </si>
  <si>
    <r>
      <rPr>
        <sz val="10"/>
        <rFont val="Arial"/>
        <family val="2"/>
      </rPr>
      <t>18-Sep-
2020</t>
    </r>
  </si>
  <si>
    <r>
      <rPr>
        <sz val="10"/>
        <rFont val="Arial"/>
        <family val="2"/>
      </rPr>
      <t>12-Oct-
2020</t>
    </r>
  </si>
  <si>
    <r>
      <rPr>
        <sz val="10"/>
        <rFont val="Arial"/>
        <family val="2"/>
      </rPr>
      <t>20-Oct-
2020</t>
    </r>
  </si>
  <si>
    <r>
      <rPr>
        <sz val="10"/>
        <rFont val="Arial"/>
        <family val="2"/>
      </rPr>
      <t>15-Jul-
2021</t>
    </r>
  </si>
  <si>
    <r>
      <rPr>
        <sz val="10"/>
        <rFont val="Arial"/>
        <family val="2"/>
      </rPr>
      <t>UPI/11966 5042869/P
ayment from Ph/921906
9955@ybl/I C</t>
    </r>
  </si>
  <si>
    <r>
      <rPr>
        <sz val="10"/>
        <rFont val="Arial"/>
        <family val="2"/>
      </rPr>
      <t>16-Jul-
2021</t>
    </r>
  </si>
  <si>
    <r>
      <rPr>
        <sz val="10"/>
        <rFont val="Arial"/>
        <family val="2"/>
      </rPr>
      <t>RTGS- PUNBR52 021071612
935900- SUMITI SINGH- 522821910</t>
    </r>
  </si>
  <si>
    <r>
      <rPr>
        <sz val="10"/>
        <rFont val="Arial"/>
        <family val="2"/>
      </rPr>
      <t>1109862.5
0</t>
    </r>
  </si>
  <si>
    <r>
      <rPr>
        <sz val="10"/>
        <rFont val="Arial"/>
        <family val="2"/>
      </rPr>
      <t>UPI/11971 5361379/U
PI/xfunda.c haudhar/P unjab Nation</t>
    </r>
  </si>
  <si>
    <r>
      <rPr>
        <sz val="10"/>
        <rFont val="Arial"/>
        <family val="2"/>
      </rPr>
      <t>1134862.5
0</t>
    </r>
  </si>
  <si>
    <r>
      <rPr>
        <sz val="10"/>
        <rFont val="Arial"/>
        <family val="2"/>
      </rPr>
      <t>UPI/11971 5347776/U
PI/xfunda.c haudhar/P unjab Nation</t>
    </r>
  </si>
  <si>
    <r>
      <rPr>
        <sz val="10"/>
        <rFont val="Arial"/>
        <family val="2"/>
      </rPr>
      <t>1149862.5
0</t>
    </r>
  </si>
  <si>
    <r>
      <rPr>
        <sz val="10"/>
        <rFont val="Arial"/>
        <family val="2"/>
      </rPr>
      <t>BIL/INFT/0 001615382
09/Investm ent/</t>
    </r>
  </si>
  <si>
    <r>
      <rPr>
        <sz val="10"/>
        <rFont val="Arial"/>
        <family val="2"/>
      </rPr>
      <t>1199862.5
0</t>
    </r>
  </si>
  <si>
    <r>
      <rPr>
        <sz val="10"/>
        <rFont val="Arial"/>
        <family val="2"/>
      </rPr>
      <t>BIL/INFT/0 001615387
44/Investm ent/</t>
    </r>
  </si>
  <si>
    <r>
      <rPr>
        <sz val="10"/>
        <rFont val="Arial"/>
        <family val="2"/>
      </rPr>
      <t>1299862.5
0</t>
    </r>
  </si>
  <si>
    <r>
      <rPr>
        <sz val="10"/>
        <rFont val="Arial"/>
        <family val="2"/>
      </rPr>
      <t>BIL/INFT/0 001615391
99/NA/</t>
    </r>
  </si>
  <si>
    <r>
      <rPr>
        <sz val="10"/>
        <rFont val="Arial"/>
        <family val="2"/>
      </rPr>
      <t>1299872.5
0</t>
    </r>
  </si>
  <si>
    <r>
      <rPr>
        <sz val="10"/>
        <rFont val="Arial"/>
        <family val="2"/>
      </rPr>
      <t>BIL/INFT/0 001615466
96/NA/</t>
    </r>
  </si>
  <si>
    <r>
      <rPr>
        <sz val="10"/>
        <rFont val="Arial"/>
        <family val="2"/>
      </rPr>
      <t>1699872.5
0</t>
    </r>
  </si>
  <si>
    <r>
      <rPr>
        <sz val="10"/>
        <rFont val="Arial"/>
        <family val="2"/>
      </rPr>
      <t>RTGS- SBINR520 210716331
84714- BEENA DEVI AND ARUN CH</t>
    </r>
  </si>
  <si>
    <r>
      <rPr>
        <sz val="10"/>
        <rFont val="Arial"/>
        <family val="2"/>
      </rPr>
      <t>1999872.5
0</t>
    </r>
  </si>
  <si>
    <r>
      <rPr>
        <sz val="10"/>
        <rFont val="Arial"/>
        <family val="2"/>
      </rPr>
      <t>RTGS:ICIC R5202107 160082108
5/PUNB00
26610/SHA LAU DIN</t>
    </r>
  </si>
  <si>
    <r>
      <rPr>
        <sz val="10"/>
        <rFont val="Arial"/>
        <family val="2"/>
      </rPr>
      <t>RTGS- PUNBR52 021071612
941588- VINAY KUMAR MALIK SU</t>
    </r>
  </si>
  <si>
    <r>
      <rPr>
        <sz val="10"/>
        <rFont val="Arial"/>
        <family val="2"/>
      </rPr>
      <t>1349872.5
0</t>
    </r>
  </si>
  <si>
    <r>
      <rPr>
        <sz val="10"/>
        <rFont val="Arial"/>
        <family val="2"/>
      </rPr>
      <t>UPI/11974 2474517/P
ayment from Ph/708777
1520@ybl/ St</t>
    </r>
  </si>
  <si>
    <r>
      <rPr>
        <sz val="10"/>
        <rFont val="Arial"/>
        <family val="2"/>
      </rPr>
      <t>1449872.5
0</t>
    </r>
  </si>
  <si>
    <r>
      <rPr>
        <sz val="10"/>
        <rFont val="Arial"/>
        <family val="2"/>
      </rPr>
      <t>RTGS- SBINR520 210716331
92259- PRAMOD KUMAR- 384391473</t>
    </r>
  </si>
  <si>
    <r>
      <rPr>
        <sz val="10"/>
        <rFont val="Arial"/>
        <family val="2"/>
      </rPr>
      <t>2549872.5
0</t>
    </r>
  </si>
  <si>
    <r>
      <rPr>
        <sz val="10"/>
        <rFont val="Arial"/>
        <family val="2"/>
      </rPr>
      <t>MMT/IMPS
/11971647 4441/1099
8457
/Indusind Bank</t>
    </r>
  </si>
  <si>
    <r>
      <rPr>
        <sz val="10"/>
        <rFont val="Arial"/>
        <family val="2"/>
      </rPr>
      <t>2699872.5
0</t>
    </r>
  </si>
  <si>
    <r>
      <rPr>
        <sz val="10"/>
        <rFont val="Arial"/>
        <family val="2"/>
      </rPr>
      <t>NEFT- PUNBH21 197707058
-PARTAP PANWAR-- 403900010
0179</t>
    </r>
  </si>
  <si>
    <r>
      <rPr>
        <sz val="10"/>
        <rFont val="Arial"/>
        <family val="2"/>
      </rPr>
      <t>2799872.5
0</t>
    </r>
  </si>
  <si>
    <r>
      <rPr>
        <sz val="10"/>
        <rFont val="Arial"/>
        <family val="2"/>
      </rPr>
      <t>17-Jul-
2021</t>
    </r>
  </si>
  <si>
    <r>
      <rPr>
        <sz val="10"/>
        <rFont val="Arial"/>
        <family val="2"/>
      </rPr>
      <t>RTGS:ICIC R5202107 170084123
1/PUNB00
26610/INU SH ALI</t>
    </r>
  </si>
  <si>
    <r>
      <rPr>
        <sz val="10"/>
        <rFont val="Arial"/>
        <family val="2"/>
      </rPr>
      <t>1799872.5
0</t>
    </r>
  </si>
  <si>
    <r>
      <rPr>
        <sz val="10"/>
        <rFont val="Arial"/>
        <family val="2"/>
      </rPr>
      <t>NEFT- PUNBH21 198978968
-PARTAP PANWAR-- 403900010
0179</t>
    </r>
  </si>
  <si>
    <r>
      <rPr>
        <sz val="10"/>
        <rFont val="Arial"/>
        <family val="2"/>
      </rPr>
      <t>19-Jul-
2021</t>
    </r>
  </si>
  <si>
    <r>
      <rPr>
        <sz val="10"/>
        <rFont val="Arial"/>
        <family val="2"/>
      </rPr>
      <t>RTGS:ICIC R5202107 190023510
9/PUNB00
26610/KAS AM ALI</t>
    </r>
  </si>
  <si>
    <r>
      <rPr>
        <sz val="10"/>
        <rFont val="Arial"/>
        <family val="2"/>
      </rPr>
      <t>20-Jul-
2021</t>
    </r>
  </si>
  <si>
    <r>
      <rPr>
        <sz val="10"/>
        <rFont val="Arial"/>
        <family val="2"/>
      </rPr>
      <t>BIL/INFT/0 001643515
07/NA/</t>
    </r>
  </si>
  <si>
    <r>
      <rPr>
        <sz val="10"/>
        <rFont val="Arial"/>
        <family val="2"/>
      </rPr>
      <t>22-Jul-
2021</t>
    </r>
  </si>
  <si>
    <r>
      <rPr>
        <sz val="10"/>
        <rFont val="Arial"/>
        <family val="2"/>
      </rPr>
      <t>NEFT- SBIN42120 3849944- YASHPAL SINGH STAFF-
/ATTN/NE</t>
    </r>
  </si>
  <si>
    <r>
      <rPr>
        <sz val="10"/>
        <rFont val="Arial"/>
        <family val="2"/>
      </rPr>
      <t>MMT/IMPS
/12031311
9741/Kulde ep/VIMLES H   /Bank of B</t>
    </r>
  </si>
  <si>
    <r>
      <rPr>
        <sz val="10"/>
        <rFont val="Arial"/>
        <family val="2"/>
      </rPr>
      <t>MMT/IMPS
/12031380
1522/Kulde ep/SEEMA
/Bank of B</t>
    </r>
  </si>
  <si>
    <r>
      <rPr>
        <sz val="10"/>
        <rFont val="Arial"/>
        <family val="2"/>
      </rPr>
      <t>MMT/IMPS
/12031470 5569/MOB TXN/VIPIN
KUM/Yes Bank L</t>
    </r>
  </si>
  <si>
    <r>
      <rPr>
        <sz val="10"/>
        <rFont val="Arial"/>
        <family val="2"/>
      </rPr>
      <t>23-Jul-
2021</t>
    </r>
  </si>
  <si>
    <r>
      <rPr>
        <sz val="10"/>
        <rFont val="Arial"/>
        <family val="2"/>
      </rPr>
      <t>MMT/IMPS
/12040928 4223/INDU SHARMA/
Axis Bank</t>
    </r>
  </si>
  <si>
    <r>
      <rPr>
        <sz val="10"/>
        <rFont val="Arial"/>
        <family val="2"/>
      </rPr>
      <t>NEFT- AXMB2120 42765455- INDU SHARMA-- 913010035
376305</t>
    </r>
  </si>
  <si>
    <r>
      <rPr>
        <sz val="10"/>
        <rFont val="Arial"/>
        <family val="2"/>
      </rPr>
      <t>1099873.5
0</t>
    </r>
  </si>
  <si>
    <r>
      <rPr>
        <sz val="10"/>
        <rFont val="Arial"/>
        <family val="2"/>
      </rPr>
      <t>MMT/IMPS
/12041437
4165/Kulde ep/VIMLES H   /Bank of B</t>
    </r>
  </si>
  <si>
    <r>
      <rPr>
        <sz val="10"/>
        <rFont val="Arial"/>
        <family val="2"/>
      </rPr>
      <t>1124873.5
0</t>
    </r>
  </si>
  <si>
    <r>
      <rPr>
        <sz val="10"/>
        <rFont val="Arial"/>
        <family val="2"/>
      </rPr>
      <t>MMT/IMPS
/12041550
6169/Kulde ep/SEEMA
/Bank of B</t>
    </r>
  </si>
  <si>
    <r>
      <rPr>
        <sz val="10"/>
        <rFont val="Arial"/>
        <family val="2"/>
      </rPr>
      <t>1149873.5
0</t>
    </r>
  </si>
  <si>
    <r>
      <rPr>
        <sz val="10"/>
        <rFont val="Arial"/>
        <family val="2"/>
      </rPr>
      <t>24-Jul-
2021</t>
    </r>
  </si>
  <si>
    <r>
      <rPr>
        <sz val="10"/>
        <rFont val="Arial"/>
        <family val="2"/>
      </rPr>
      <t>26-Jul-
2021</t>
    </r>
  </si>
  <si>
    <r>
      <rPr>
        <sz val="10"/>
        <rFont val="Arial"/>
        <family val="2"/>
      </rPr>
      <t>RTGS/ICIC R4202107 240050014
5/PUNB01
82200/dhar am pa</t>
    </r>
  </si>
  <si>
    <r>
      <rPr>
        <sz val="10"/>
        <rFont val="Arial"/>
        <family val="2"/>
      </rPr>
      <t>NEFT- AXMB2120 53274455- INDU SHARMA-- 913010035
376305</t>
    </r>
  </si>
  <si>
    <r>
      <rPr>
        <sz val="10"/>
        <rFont val="Arial"/>
        <family val="2"/>
      </rPr>
      <t>UPI/12050 8154910/S
BI/babitadh ama77@o/ State Bank Of</t>
    </r>
  </si>
  <si>
    <r>
      <rPr>
        <sz val="10"/>
        <rFont val="Arial"/>
        <family val="2"/>
      </rPr>
      <t>1049873.5
0</t>
    </r>
  </si>
  <si>
    <r>
      <rPr>
        <sz val="10"/>
        <rFont val="Arial"/>
        <family val="2"/>
      </rPr>
      <t>25-Jul-
2021</t>
    </r>
  </si>
  <si>
    <r>
      <rPr>
        <sz val="10"/>
        <rFont val="Arial"/>
        <family val="2"/>
      </rPr>
      <t>CLG/ANSH U PANWAR SANDEEP KU/746341
/SBI/16.07. 2021</t>
    </r>
  </si>
  <si>
    <r>
      <rPr>
        <sz val="10"/>
        <rFont val="Arial"/>
        <family val="2"/>
      </rPr>
      <t>1199873.5
0</t>
    </r>
  </si>
  <si>
    <r>
      <rPr>
        <sz val="10"/>
        <rFont val="Arial"/>
        <family val="2"/>
      </rPr>
      <t>MMT/IMPS
/12071272
2623/Kulde ep/VIMLES H   /Bank of B</t>
    </r>
  </si>
  <si>
    <r>
      <rPr>
        <sz val="10"/>
        <rFont val="Arial"/>
        <family val="2"/>
      </rPr>
      <t>1224873.5
0</t>
    </r>
  </si>
  <si>
    <r>
      <rPr>
        <sz val="10"/>
        <rFont val="Arial"/>
        <family val="2"/>
      </rPr>
      <t>BIL/INFT/0 001678456
17/Investm ent/</t>
    </r>
  </si>
  <si>
    <r>
      <rPr>
        <sz val="10"/>
        <rFont val="Arial"/>
        <family val="2"/>
      </rPr>
      <t>1249873.5
0</t>
    </r>
  </si>
  <si>
    <r>
      <rPr>
        <sz val="10"/>
        <rFont val="Arial"/>
        <family val="2"/>
      </rPr>
      <t>BIL/INFT/0 001678531
34/Investm ent/</t>
    </r>
  </si>
  <si>
    <r>
      <rPr>
        <sz val="10"/>
        <rFont val="Arial"/>
        <family val="2"/>
      </rPr>
      <t>1274873.5
0</t>
    </r>
  </si>
  <si>
    <r>
      <rPr>
        <sz val="10"/>
        <rFont val="Arial"/>
        <family val="2"/>
      </rPr>
      <t>MMT/IMPS
/12071325
2206/Kulde ep/SEEMA
/Bank of B</t>
    </r>
  </si>
  <si>
    <r>
      <rPr>
        <sz val="10"/>
        <rFont val="Arial"/>
        <family val="2"/>
      </rPr>
      <t>1299873.5
0</t>
    </r>
  </si>
  <si>
    <r>
      <rPr>
        <sz val="10"/>
        <rFont val="Arial"/>
        <family val="2"/>
      </rPr>
      <t>CLG/VIRE NDERA SINGH MALIK/477 598/SBI/20
.07.2021</t>
    </r>
  </si>
  <si>
    <r>
      <rPr>
        <sz val="10"/>
        <rFont val="Arial"/>
        <family val="2"/>
      </rPr>
      <t>1699873.5
0</t>
    </r>
  </si>
  <si>
    <r>
      <rPr>
        <sz val="10"/>
        <rFont val="Arial"/>
        <family val="2"/>
      </rPr>
      <t>1599873.5
0</t>
    </r>
  </si>
  <si>
    <r>
      <rPr>
        <sz val="10"/>
        <rFont val="Arial"/>
        <family val="2"/>
      </rPr>
      <t>27-Jul-
2021</t>
    </r>
  </si>
  <si>
    <r>
      <rPr>
        <sz val="10"/>
        <rFont val="Arial"/>
        <family val="2"/>
      </rPr>
      <t>1649873.5
0</t>
    </r>
  </si>
  <si>
    <r>
      <rPr>
        <sz val="10"/>
        <rFont val="Arial"/>
        <family val="2"/>
      </rPr>
      <t>CLG/AMIT TOMAR/58 3714/PNB/
21.07.2021</t>
    </r>
  </si>
  <si>
    <r>
      <rPr>
        <sz val="10"/>
        <rFont val="Arial"/>
        <family val="2"/>
      </rPr>
      <t>1418873.5
0</t>
    </r>
  </si>
  <si>
    <r>
      <rPr>
        <sz val="10"/>
        <rFont val="Arial"/>
        <family val="2"/>
      </rPr>
      <t>CLG/CHE QUE/1785 90/SBI/22.
07.2021</t>
    </r>
  </si>
  <si>
    <r>
      <rPr>
        <sz val="10"/>
        <rFont val="Arial"/>
        <family val="2"/>
      </rPr>
      <t>2071793.5
0</t>
    </r>
  </si>
  <si>
    <r>
      <rPr>
        <sz val="10"/>
        <rFont val="Arial"/>
        <family val="2"/>
      </rPr>
      <t>MMT/IMPS
/12081672 8019/MOB LT2707160 779/ANSH U PANW/S</t>
    </r>
  </si>
  <si>
    <r>
      <rPr>
        <sz val="10"/>
        <rFont val="Arial"/>
        <family val="2"/>
      </rPr>
      <t>2071794.5
0</t>
    </r>
  </si>
  <si>
    <r>
      <rPr>
        <sz val="10"/>
        <rFont val="Arial"/>
        <family val="2"/>
      </rPr>
      <t>28-Jul-
2021</t>
    </r>
  </si>
  <si>
    <r>
      <rPr>
        <sz val="10"/>
        <rFont val="Arial"/>
        <family val="2"/>
      </rPr>
      <t>CLG/BABI TA DHAMA/76 5860/PNB/
26.07.2021</t>
    </r>
  </si>
  <si>
    <r>
      <rPr>
        <sz val="10"/>
        <rFont val="Arial"/>
        <family val="2"/>
      </rPr>
      <t>2121794.5
0</t>
    </r>
  </si>
  <si>
    <r>
      <rPr>
        <sz val="10"/>
        <rFont val="Arial"/>
        <family val="2"/>
      </rPr>
      <t>UPI/12095 0685538/P
ayment from Ph/790538
8186@ybl/ St</t>
    </r>
  </si>
  <si>
    <r>
      <rPr>
        <sz val="10"/>
        <rFont val="Arial"/>
        <family val="2"/>
      </rPr>
      <t>2131794.5
0</t>
    </r>
  </si>
  <si>
    <r>
      <rPr>
        <sz val="10"/>
        <rFont val="Arial"/>
        <family val="2"/>
      </rPr>
      <t>CLG/MALI K VINAY/261 410/SBI/23
.07.2021</t>
    </r>
  </si>
  <si>
    <r>
      <rPr>
        <sz val="10"/>
        <rFont val="Arial"/>
        <family val="2"/>
      </rPr>
      <t>2781794.5
0</t>
    </r>
  </si>
  <si>
    <r>
      <rPr>
        <sz val="10"/>
        <rFont val="Arial"/>
        <family val="2"/>
      </rPr>
      <t>29-Jul-
2021</t>
    </r>
  </si>
  <si>
    <r>
      <rPr>
        <sz val="10"/>
        <rFont val="Arial"/>
        <family val="2"/>
      </rPr>
      <t>UPI/12105 4244796/P
ayment from Ph/992783
0484@ybl/ St</t>
    </r>
  </si>
  <si>
    <r>
      <rPr>
        <sz val="10"/>
        <rFont val="Arial"/>
        <family val="2"/>
      </rPr>
      <t>2831794.5
0</t>
    </r>
  </si>
  <si>
    <r>
      <rPr>
        <sz val="10"/>
        <rFont val="Arial"/>
        <family val="2"/>
      </rPr>
      <t>30-Jul-
2021</t>
    </r>
  </si>
  <si>
    <r>
      <rPr>
        <sz val="10"/>
        <rFont val="Arial"/>
        <family val="2"/>
      </rPr>
      <t>CLG/JAGA T SINGH/307 273/SBI/27
.07.2021</t>
    </r>
  </si>
  <si>
    <r>
      <rPr>
        <sz val="10"/>
        <rFont val="Arial"/>
        <family val="2"/>
      </rPr>
      <t>3031794.5
0</t>
    </r>
  </si>
  <si>
    <r>
      <rPr>
        <sz val="10"/>
        <rFont val="Arial"/>
        <family val="2"/>
      </rPr>
      <t>CLG/PRA MOD KUMAR/58 6370/SBI/2
7.07.2021</t>
    </r>
  </si>
  <si>
    <r>
      <rPr>
        <sz val="10"/>
        <rFont val="Arial"/>
        <family val="2"/>
      </rPr>
      <t>3231794.5
0</t>
    </r>
  </si>
  <si>
    <r>
      <rPr>
        <sz val="10"/>
        <rFont val="Arial"/>
        <family val="2"/>
      </rPr>
      <t>RTGS/ICIC R4202107 300051793
6/PUNB00
26610/inus h ali</t>
    </r>
  </si>
  <si>
    <r>
      <rPr>
        <sz val="10"/>
        <rFont val="Arial"/>
        <family val="2"/>
      </rPr>
      <t>2231794.5
0</t>
    </r>
  </si>
  <si>
    <r>
      <rPr>
        <sz val="10"/>
        <rFont val="Arial"/>
        <family val="2"/>
      </rPr>
      <t>INF/NEFT/ 024646649
741/PUNB
0026610/fa rmarshalau din/</t>
    </r>
  </si>
  <si>
    <r>
      <rPr>
        <sz val="10"/>
        <rFont val="Arial"/>
        <family val="2"/>
      </rPr>
      <t>1231794.5
0</t>
    </r>
  </si>
  <si>
    <r>
      <rPr>
        <sz val="10"/>
        <rFont val="Arial"/>
        <family val="2"/>
      </rPr>
      <t>CLG/CHE QUE/9364 01/GPO/28
.07.2021</t>
    </r>
  </si>
  <si>
    <r>
      <rPr>
        <sz val="10"/>
        <rFont val="Arial"/>
        <family val="2"/>
      </rPr>
      <t>2111794.5
0</t>
    </r>
  </si>
  <si>
    <r>
      <rPr>
        <sz val="10"/>
        <rFont val="Arial"/>
        <family val="2"/>
      </rPr>
      <t>31-Jul-
2021</t>
    </r>
  </si>
  <si>
    <r>
      <rPr>
        <sz val="10"/>
        <rFont val="Arial"/>
        <family val="2"/>
      </rPr>
      <t>UPI/12121 5454129/A
63/xfunda. chaudhar/I CICI
Bank/IC</t>
    </r>
  </si>
  <si>
    <r>
      <rPr>
        <sz val="10"/>
        <rFont val="Arial"/>
        <family val="2"/>
      </rPr>
      <t>01-Aug-
2021</t>
    </r>
  </si>
  <si>
    <r>
      <rPr>
        <sz val="10"/>
        <rFont val="Arial"/>
        <family val="2"/>
      </rPr>
      <t>02-Aug-
2021</t>
    </r>
  </si>
  <si>
    <r>
      <rPr>
        <sz val="10"/>
        <rFont val="Arial"/>
        <family val="2"/>
      </rPr>
      <t>MMT/IMPS
/12130930 2495/A16/ POOJA SHAR/HDF
C Bank</t>
    </r>
  </si>
  <si>
    <r>
      <rPr>
        <sz val="10"/>
        <rFont val="Arial"/>
        <family val="2"/>
      </rPr>
      <t>2321794.5
0</t>
    </r>
  </si>
  <si>
    <r>
      <rPr>
        <sz val="10"/>
        <rFont val="Arial"/>
        <family val="2"/>
      </rPr>
      <t>MMT/IMPS
/12130930 6220/A16/ POOJA SHAR/HDF
C Bank</t>
    </r>
  </si>
  <si>
    <r>
      <rPr>
        <sz val="10"/>
        <rFont val="Arial"/>
        <family val="2"/>
      </rPr>
      <t>2371794.5
0</t>
    </r>
  </si>
  <si>
    <r>
      <rPr>
        <sz val="10"/>
        <rFont val="Arial"/>
        <family val="2"/>
      </rPr>
      <t>RTGS/ICIC R4202108 010050183
6/PUNB00
26610/kas am alo</t>
    </r>
  </si>
  <si>
    <r>
      <rPr>
        <sz val="10"/>
        <rFont val="Arial"/>
        <family val="2"/>
      </rPr>
      <t>1371794.5
0</t>
    </r>
  </si>
  <si>
    <r>
      <rPr>
        <sz val="10"/>
        <rFont val="Arial"/>
        <family val="2"/>
      </rPr>
      <t>1054044.5
0</t>
    </r>
  </si>
  <si>
    <r>
      <rPr>
        <sz val="10"/>
        <rFont val="Arial"/>
        <family val="2"/>
      </rPr>
      <t>04-Aug-
2021</t>
    </r>
  </si>
  <si>
    <r>
      <rPr>
        <sz val="10"/>
        <rFont val="Arial"/>
        <family val="2"/>
      </rPr>
      <t>CLG/YOG ESH SHARMA/4 67809/SBI/
01.08.2021</t>
    </r>
  </si>
  <si>
    <r>
      <rPr>
        <sz val="10"/>
        <rFont val="Arial"/>
        <family val="2"/>
      </rPr>
      <t>1154044.5
0</t>
    </r>
  </si>
  <si>
    <r>
      <rPr>
        <sz val="10"/>
        <rFont val="Arial"/>
        <family val="2"/>
      </rPr>
      <t>05-Aug-
2021</t>
    </r>
  </si>
  <si>
    <r>
      <rPr>
        <sz val="10"/>
        <rFont val="Arial"/>
        <family val="2"/>
      </rPr>
      <t>RTGS/ICIC R4202108 050051129
4/PUNB00
26610/kas am alo</t>
    </r>
  </si>
  <si>
    <r>
      <rPr>
        <sz val="10"/>
        <rFont val="Arial"/>
        <family val="2"/>
      </rPr>
      <t>UPI/12171 4585272/U
PI/bittux87 @oksbi/Ye s Bank Ltd/S</t>
    </r>
  </si>
  <si>
    <r>
      <rPr>
        <sz val="10"/>
        <rFont val="Arial"/>
        <family val="2"/>
      </rPr>
      <t>UPI/12171 4572033/U
PI/bittux87 @oksbi/Ye s Bank Ltd/S</t>
    </r>
  </si>
  <si>
    <r>
      <rPr>
        <sz val="10"/>
        <rFont val="Arial"/>
        <family val="2"/>
      </rPr>
      <t>UPI/12171 8830776/U
PI/bittux87 @oksbi/Ye s Bank Ltd/S</t>
    </r>
  </si>
  <si>
    <r>
      <rPr>
        <sz val="10"/>
        <rFont val="Arial"/>
        <family val="2"/>
      </rPr>
      <t>UPI/12171 9900230/U
PI/bittux87 @oksbi/Ye s Bank Ltd/S</t>
    </r>
  </si>
  <si>
    <r>
      <rPr>
        <sz val="10"/>
        <rFont val="Arial"/>
        <family val="2"/>
      </rPr>
      <t>UPI/12171 9889782/U
PI/bittux87 @oksbi/Ye s Bank Ltd/S</t>
    </r>
  </si>
  <si>
    <r>
      <rPr>
        <sz val="10"/>
        <rFont val="Arial"/>
        <family val="2"/>
      </rPr>
      <t>06-Aug-
2021</t>
    </r>
  </si>
  <si>
    <r>
      <rPr>
        <sz val="10"/>
        <rFont val="Arial"/>
        <family val="2"/>
      </rPr>
      <t>UPI/12180 9419984/U
PI/bittux87 @oksbi/Ye s Bank Ltd/S</t>
    </r>
  </si>
  <si>
    <r>
      <rPr>
        <sz val="10"/>
        <rFont val="Arial"/>
        <family val="2"/>
      </rPr>
      <t>UPI/12180 9480217/U
PI/bittux87 @oksbi/Ye s Bank Ltd/S</t>
    </r>
  </si>
  <si>
    <r>
      <rPr>
        <sz val="10"/>
        <rFont val="Arial"/>
        <family val="2"/>
      </rPr>
      <t>UPI/12182 4629822/P
ayment from Ph/971975
1001@ybl/I C</t>
    </r>
  </si>
  <si>
    <r>
      <rPr>
        <sz val="10"/>
        <rFont val="Arial"/>
        <family val="2"/>
      </rPr>
      <t>UPI/12187 8856024/P
ayment from Ph/971975
1001@ybl/I C</t>
    </r>
  </si>
  <si>
    <r>
      <rPr>
        <sz val="10"/>
        <rFont val="Arial"/>
        <family val="2"/>
      </rPr>
      <t>07-Aug-
2021</t>
    </r>
  </si>
  <si>
    <r>
      <rPr>
        <sz val="10"/>
        <rFont val="Arial"/>
        <family val="2"/>
      </rPr>
      <t>CLG/RAJE EV SHARMA/0 00032/HDF
/05.08.202 1</t>
    </r>
  </si>
  <si>
    <r>
      <rPr>
        <sz val="10"/>
        <rFont val="Arial"/>
        <family val="2"/>
      </rPr>
      <t>09-Aug-
2021</t>
    </r>
  </si>
  <si>
    <r>
      <rPr>
        <sz val="10"/>
        <rFont val="Arial"/>
        <family val="2"/>
      </rPr>
      <t>UPI/12219 8348885/U
PI/sbavura @okhdfcb/ HDFC BANK LTD</t>
    </r>
  </si>
  <si>
    <r>
      <rPr>
        <sz val="10"/>
        <rFont val="Arial"/>
        <family val="2"/>
      </rPr>
      <t>RTGS/ICIC R4202108 090052632
9/PUNB00
26610/inus h ali</t>
    </r>
  </si>
  <si>
    <r>
      <rPr>
        <sz val="10"/>
        <rFont val="Arial"/>
        <family val="2"/>
      </rPr>
      <t>RTGS/ICIC R4202108 090052658
3/PUNB00
26610/shal au di</t>
    </r>
  </si>
  <si>
    <r>
      <rPr>
        <sz val="10"/>
        <rFont val="Arial"/>
        <family val="2"/>
      </rPr>
      <t>10-Aug-
2021</t>
    </r>
  </si>
  <si>
    <r>
      <rPr>
        <sz val="10"/>
        <rFont val="Arial"/>
        <family val="2"/>
      </rPr>
      <t>MMT/IMPS
/12221586 3507/MOB UA041135 0275/Mr LOKESH/S</t>
    </r>
  </si>
  <si>
    <r>
      <rPr>
        <sz val="10"/>
        <rFont val="Arial"/>
        <family val="2"/>
      </rPr>
      <t>11-Aug-
2021</t>
    </r>
  </si>
  <si>
    <r>
      <rPr>
        <sz val="10"/>
        <rFont val="Arial"/>
        <family val="2"/>
      </rPr>
      <t>CLG/YOG ESH SHARMA PRITHI/46 7810/SBI/0
4.08.2021</t>
    </r>
  </si>
  <si>
    <r>
      <rPr>
        <sz val="10"/>
        <rFont val="Arial"/>
        <family val="2"/>
      </rPr>
      <t>INF/INFT/0 247398506
71/aasutya giretene/aa shu</t>
    </r>
  </si>
  <si>
    <r>
      <rPr>
        <sz val="10"/>
        <rFont val="Arial"/>
        <family val="2"/>
      </rPr>
      <t>12-Aug-
2021</t>
    </r>
  </si>
  <si>
    <r>
      <rPr>
        <sz val="10"/>
        <rFont val="Arial"/>
        <family val="2"/>
      </rPr>
      <t>MMT/IMPS
/12241168
2439/Vikas Kumar/VIK AS
KUM/Kotak</t>
    </r>
  </si>
  <si>
    <r>
      <rPr>
        <sz val="10"/>
        <rFont val="Arial"/>
        <family val="2"/>
      </rPr>
      <t>NEFT- KKBKH212 24651718- VIKAS KUMAR- PAYMENT
-4511758</t>
    </r>
  </si>
  <si>
    <r>
      <rPr>
        <sz val="10"/>
        <rFont val="Arial"/>
        <family val="2"/>
      </rPr>
      <t>13-Aug-
2021</t>
    </r>
  </si>
  <si>
    <r>
      <rPr>
        <sz val="10"/>
        <rFont val="Arial"/>
        <family val="2"/>
      </rPr>
      <t>UPI/12259 1440944/P
ayment from Ph/971975
1001@ybl/I C</t>
    </r>
  </si>
  <si>
    <r>
      <rPr>
        <sz val="10"/>
        <rFont val="Arial"/>
        <family val="2"/>
      </rPr>
      <t>UPI/12250 7006300/P
ayment from Ph/971975
1001@ybl/I C</t>
    </r>
  </si>
  <si>
    <r>
      <rPr>
        <sz val="10"/>
        <rFont val="Arial"/>
        <family val="2"/>
      </rPr>
      <t>RTGS/ICIC R4202108 130052546
3/PUNB00
26610/kas am alo</t>
    </r>
  </si>
  <si>
    <r>
      <rPr>
        <sz val="10"/>
        <rFont val="Arial"/>
        <family val="2"/>
      </rPr>
      <t>14-Aug-
2021</t>
    </r>
  </si>
  <si>
    <r>
      <rPr>
        <sz val="10"/>
        <rFont val="Arial"/>
        <family val="2"/>
      </rPr>
      <t>16-Aug-
2021</t>
    </r>
  </si>
  <si>
    <r>
      <rPr>
        <sz val="10"/>
        <rFont val="Arial"/>
        <family val="2"/>
      </rPr>
      <t>BIL/INFT/0 001842322
63/Investm ent/</t>
    </r>
  </si>
  <si>
    <r>
      <rPr>
        <sz val="10"/>
        <rFont val="Arial"/>
        <family val="2"/>
      </rPr>
      <t>15-Aug-
2021</t>
    </r>
  </si>
  <si>
    <r>
      <rPr>
        <sz val="10"/>
        <rFont val="Arial"/>
        <family val="2"/>
      </rPr>
      <t>UPI/12277 4209395/U
PI/monikac houdhary/S tate Bank Of</t>
    </r>
  </si>
  <si>
    <r>
      <rPr>
        <sz val="10"/>
        <rFont val="Arial"/>
        <family val="2"/>
      </rPr>
      <t>UPI/12277 4236806/U
PI/monikac houdhary/S tate Bank Of</t>
    </r>
  </si>
  <si>
    <r>
      <rPr>
        <sz val="10"/>
        <rFont val="Arial"/>
        <family val="2"/>
      </rPr>
      <t>UPI/12277 4260316/U
PI/monikac houdhary/S tate Bank Of</t>
    </r>
  </si>
  <si>
    <r>
      <rPr>
        <sz val="10"/>
        <rFont val="Arial"/>
        <family val="2"/>
      </rPr>
      <t>CLG/JITEN DRA KUMAR/34 9414/SBI/1
2.08.2021</t>
    </r>
  </si>
  <si>
    <r>
      <rPr>
        <sz val="10"/>
        <rFont val="Arial"/>
        <family val="2"/>
      </rPr>
      <t>CLG/NIMM I CHAUDHA RY/314920
/SBI/12.08. 2021</t>
    </r>
  </si>
  <si>
    <r>
      <rPr>
        <sz val="10"/>
        <rFont val="Arial"/>
        <family val="2"/>
      </rPr>
      <t>18-Aug-
2021</t>
    </r>
  </si>
  <si>
    <r>
      <rPr>
        <sz val="10"/>
        <rFont val="Arial"/>
        <family val="2"/>
      </rPr>
      <t>CLG/SUBH ASH CHAND/65 9229/PNB/
13.08.2021</t>
    </r>
  </si>
  <si>
    <r>
      <rPr>
        <sz val="10"/>
        <rFont val="Arial"/>
        <family val="2"/>
      </rPr>
      <t>CLG/VINA Y KUMR/000 003/BNB/1
5.08.2021</t>
    </r>
  </si>
  <si>
    <r>
      <rPr>
        <sz val="10"/>
        <rFont val="Arial"/>
        <family val="2"/>
      </rPr>
      <t>1507044.5
0</t>
    </r>
  </si>
  <si>
    <r>
      <rPr>
        <sz val="10"/>
        <rFont val="Arial"/>
        <family val="2"/>
      </rPr>
      <t>CLG/SUMI T KUMAR/04 8871/PNB/
14.08.2021</t>
    </r>
  </si>
  <si>
    <r>
      <rPr>
        <sz val="10"/>
        <rFont val="Arial"/>
        <family val="2"/>
      </rPr>
      <t>2007044.5
0</t>
    </r>
  </si>
  <si>
    <r>
      <rPr>
        <sz val="10"/>
        <rFont val="Arial"/>
        <family val="2"/>
      </rPr>
      <t>CLG/MUK ESH KUMAR/88 9154/PNB/
15.08.2021</t>
    </r>
  </si>
  <si>
    <r>
      <rPr>
        <sz val="10"/>
        <rFont val="Arial"/>
        <family val="2"/>
      </rPr>
      <t>2307044.5
0</t>
    </r>
  </si>
  <si>
    <r>
      <rPr>
        <sz val="10"/>
        <rFont val="Arial"/>
        <family val="2"/>
      </rPr>
      <t>19-Aug-
2021</t>
    </r>
  </si>
  <si>
    <r>
      <rPr>
        <sz val="10"/>
        <rFont val="Arial"/>
        <family val="2"/>
      </rPr>
      <t>CLG/DEVE NDER KUMAR/72 0520/PNB/
17.08.2021</t>
    </r>
  </si>
  <si>
    <r>
      <rPr>
        <sz val="10"/>
        <rFont val="Arial"/>
        <family val="2"/>
      </rPr>
      <t>2557044.5
0</t>
    </r>
  </si>
  <si>
    <r>
      <rPr>
        <sz val="10"/>
        <rFont val="Arial"/>
        <family val="2"/>
      </rPr>
      <t>CLG/ARVI ND KUMAR/23 4028/CAB/
17.08.2021</t>
    </r>
  </si>
  <si>
    <r>
      <rPr>
        <sz val="10"/>
        <rFont val="Arial"/>
        <family val="2"/>
      </rPr>
      <t>2721044.5
0</t>
    </r>
  </si>
  <si>
    <r>
      <rPr>
        <sz val="10"/>
        <rFont val="Arial"/>
        <family val="2"/>
      </rPr>
      <t>MMT/IMPS
/12311191 0100/MOB LT1908115 763/SHIKH A GAU/S</t>
    </r>
  </si>
  <si>
    <r>
      <rPr>
        <sz val="10"/>
        <rFont val="Arial"/>
        <family val="2"/>
      </rPr>
      <t>2731044.5
0</t>
    </r>
  </si>
  <si>
    <r>
      <rPr>
        <sz val="10"/>
        <rFont val="Arial"/>
        <family val="2"/>
      </rPr>
      <t>2906044.5
0</t>
    </r>
  </si>
  <si>
    <r>
      <rPr>
        <sz val="10"/>
        <rFont val="Arial"/>
        <family val="2"/>
      </rPr>
      <t>3056044.5
0</t>
    </r>
  </si>
  <si>
    <r>
      <rPr>
        <sz val="10"/>
        <rFont val="Arial"/>
        <family val="2"/>
      </rPr>
      <t>CLG/VIKA S TOMAR/43 4561/PNB/
18.08.2021</t>
    </r>
  </si>
  <si>
    <r>
      <rPr>
        <sz val="10"/>
        <rFont val="Arial"/>
        <family val="2"/>
      </rPr>
      <t>3427044.5
0</t>
    </r>
  </si>
  <si>
    <r>
      <rPr>
        <sz val="10"/>
        <rFont val="Arial"/>
        <family val="2"/>
      </rPr>
      <t>UPI/12316 6054437/P
ayment from Ph/xfunda. chaudhar/I</t>
    </r>
  </si>
  <si>
    <r>
      <rPr>
        <sz val="10"/>
        <rFont val="Arial"/>
        <family val="2"/>
      </rPr>
      <t>3447044.5
0</t>
    </r>
  </si>
  <si>
    <r>
      <rPr>
        <sz val="10"/>
        <rFont val="Arial"/>
        <family val="2"/>
      </rPr>
      <t>UPI/12317 0116625/U
PI/xfunda.c haudhar/IC ICI Bank/IC</t>
    </r>
  </si>
  <si>
    <r>
      <rPr>
        <sz val="10"/>
        <rFont val="Arial"/>
        <family val="2"/>
      </rPr>
      <t>3477044.5
0</t>
    </r>
  </si>
  <si>
    <r>
      <rPr>
        <sz val="10"/>
        <rFont val="Arial"/>
        <family val="2"/>
      </rPr>
      <t>20-Aug-
2021</t>
    </r>
  </si>
  <si>
    <r>
      <rPr>
        <sz val="10"/>
        <rFont val="Arial"/>
        <family val="2"/>
      </rPr>
      <t>RTGS/ICIC R4202108 200050483
4/PUNB00
26610/shal au di</t>
    </r>
  </si>
  <si>
    <r>
      <rPr>
        <sz val="10"/>
        <rFont val="Arial"/>
        <family val="2"/>
      </rPr>
      <t>2477044.5
0</t>
    </r>
  </si>
  <si>
    <r>
      <rPr>
        <sz val="10"/>
        <rFont val="Arial"/>
        <family val="2"/>
      </rPr>
      <t>RTGS/ICIC R4202108 200050491
5/PUNB00
26610/inus h ali</t>
    </r>
  </si>
  <si>
    <r>
      <rPr>
        <sz val="10"/>
        <rFont val="Arial"/>
        <family val="2"/>
      </rPr>
      <t>1477044.5
0</t>
    </r>
  </si>
  <si>
    <r>
      <rPr>
        <sz val="10"/>
        <rFont val="Arial"/>
        <family val="2"/>
      </rPr>
      <t>RTGS/ICIC R4202108 200050500
9/PUNB00
26610/kas am alo</t>
    </r>
  </si>
  <si>
    <r>
      <rPr>
        <sz val="10"/>
        <rFont val="Arial"/>
        <family val="2"/>
      </rPr>
      <t>NEFT- SBIN42123 1747892- MR
RAKHI TOMAR-
/ATTN//INB
-</t>
    </r>
  </si>
  <si>
    <r>
      <rPr>
        <sz val="10"/>
        <rFont val="Arial"/>
        <family val="2"/>
      </rPr>
      <t>23-Aug-
2021</t>
    </r>
  </si>
  <si>
    <r>
      <rPr>
        <sz val="10"/>
        <rFont val="Arial"/>
        <family val="2"/>
      </rPr>
      <t>UPI/12356 6880670/b
ooking/vikr antmalik85 0/HDFC BANK</t>
    </r>
  </si>
  <si>
    <r>
      <rPr>
        <sz val="10"/>
        <rFont val="Arial"/>
        <family val="2"/>
      </rPr>
      <t>BIL/INFT/0 001900856
04/Investm ent/</t>
    </r>
  </si>
  <si>
    <r>
      <rPr>
        <sz val="10"/>
        <rFont val="Arial"/>
        <family val="2"/>
      </rPr>
      <t>UPI/12351 9573288/P
ayment from Ph/945879
0191@ybl/ St</t>
    </r>
  </si>
  <si>
    <r>
      <rPr>
        <sz val="10"/>
        <rFont val="Arial"/>
        <family val="2"/>
      </rPr>
      <t>25-Aug-
2021</t>
    </r>
  </si>
  <si>
    <r>
      <rPr>
        <sz val="10"/>
        <rFont val="Arial"/>
        <family val="2"/>
      </rPr>
      <t>UPI/12372 8651782/P
ayment from Ph/avinash tyagi130/P</t>
    </r>
  </si>
  <si>
    <r>
      <rPr>
        <sz val="10"/>
        <rFont val="Arial"/>
        <family val="2"/>
      </rPr>
      <t>1608044.5
0</t>
    </r>
  </si>
  <si>
    <r>
      <rPr>
        <sz val="10"/>
        <rFont val="Arial"/>
        <family val="2"/>
      </rPr>
      <t>CLG/YOG ESH KUMAR/62 0762/SBI/1
9.08.2021</t>
    </r>
  </si>
  <si>
    <r>
      <rPr>
        <sz val="10"/>
        <rFont val="Arial"/>
        <family val="2"/>
      </rPr>
      <t>2208044.5
0</t>
    </r>
  </si>
  <si>
    <r>
      <rPr>
        <sz val="10"/>
        <rFont val="Arial"/>
        <family val="2"/>
      </rPr>
      <t>26-Aug-
2021</t>
    </r>
  </si>
  <si>
    <r>
      <rPr>
        <sz val="10"/>
        <rFont val="Arial"/>
        <family val="2"/>
      </rPr>
      <t>RTGS/ICIC R4202108 260050669
8/PUNB00
26610/kas am alo</t>
    </r>
  </si>
  <si>
    <r>
      <rPr>
        <sz val="10"/>
        <rFont val="Arial"/>
        <family val="2"/>
      </rPr>
      <t>1208044.5
0</t>
    </r>
  </si>
  <si>
    <r>
      <rPr>
        <sz val="10"/>
        <rFont val="Arial"/>
        <family val="2"/>
      </rPr>
      <t>NEFT- BDBLH212 38023227- MR  SUNIL KUMAR BANSAL-
/24 -</t>
    </r>
  </si>
  <si>
    <r>
      <rPr>
        <sz val="10"/>
        <rFont val="Arial"/>
        <family val="2"/>
      </rPr>
      <t>1258044.5
0</t>
    </r>
  </si>
  <si>
    <r>
      <rPr>
        <sz val="10"/>
        <rFont val="Arial"/>
        <family val="2"/>
      </rPr>
      <t>CLG/REEN A WO/17036 4/PNB/25.0
8.2021</t>
    </r>
  </si>
  <si>
    <r>
      <rPr>
        <sz val="10"/>
        <rFont val="Arial"/>
        <family val="2"/>
      </rPr>
      <t>1308044.5
0</t>
    </r>
  </si>
  <si>
    <r>
      <rPr>
        <sz val="10"/>
        <rFont val="Arial"/>
        <family val="2"/>
      </rPr>
      <t>CLG/REEN A WO/17036 3/PNB/25.0
8.2021</t>
    </r>
  </si>
  <si>
    <r>
      <rPr>
        <sz val="10"/>
        <rFont val="Arial"/>
        <family val="2"/>
      </rPr>
      <t>1438044.5
0</t>
    </r>
  </si>
  <si>
    <r>
      <rPr>
        <sz val="10"/>
        <rFont val="Arial"/>
        <family val="2"/>
      </rPr>
      <t>CLG/REEN A WO/17036 2/PNB/25.0
8.2021</t>
    </r>
  </si>
  <si>
    <r>
      <rPr>
        <sz val="10"/>
        <rFont val="Arial"/>
        <family val="2"/>
      </rPr>
      <t>1558044.5
0</t>
    </r>
  </si>
  <si>
    <r>
      <rPr>
        <sz val="10"/>
        <rFont val="Arial"/>
        <family val="2"/>
      </rPr>
      <t>1478044.5
0</t>
    </r>
  </si>
  <si>
    <r>
      <rPr>
        <sz val="10"/>
        <rFont val="Arial"/>
        <family val="2"/>
      </rPr>
      <t>1358044.5
0</t>
    </r>
  </si>
  <si>
    <r>
      <rPr>
        <sz val="10"/>
        <rFont val="Arial"/>
        <family val="2"/>
      </rPr>
      <t>27-Aug-
2021</t>
    </r>
  </si>
  <si>
    <r>
      <rPr>
        <sz val="10"/>
        <rFont val="Arial"/>
        <family val="2"/>
      </rPr>
      <t>NEFT- P2392101 24429943- ITESH BANSAL-- 218910100
8225-</t>
    </r>
  </si>
  <si>
    <r>
      <rPr>
        <sz val="10"/>
        <rFont val="Arial"/>
        <family val="2"/>
      </rPr>
      <t>1458044.5
0</t>
    </r>
  </si>
  <si>
    <r>
      <rPr>
        <sz val="10"/>
        <rFont val="Arial"/>
        <family val="2"/>
      </rPr>
      <t>NEFT- BDBLH216 00080334- MR  SUNIL KUMAR BANSAL-
/24 -</t>
    </r>
  </si>
  <si>
    <r>
      <rPr>
        <sz val="10"/>
        <rFont val="Arial"/>
        <family val="2"/>
      </rPr>
      <t>28-Aug-
2021</t>
    </r>
  </si>
  <si>
    <r>
      <rPr>
        <sz val="10"/>
        <rFont val="Arial"/>
        <family val="2"/>
      </rPr>
      <t>30-Aug-
2021</t>
    </r>
  </si>
  <si>
    <r>
      <rPr>
        <sz val="10"/>
        <rFont val="Arial"/>
        <family val="2"/>
      </rPr>
      <t>UPI/12409 2219979/P
ayment from Ph/xfunda. chaudhar/I</t>
    </r>
  </si>
  <si>
    <r>
      <rPr>
        <sz val="10"/>
        <rFont val="Arial"/>
        <family val="2"/>
      </rPr>
      <t>1613044.5
0</t>
    </r>
  </si>
  <si>
    <r>
      <rPr>
        <sz val="10"/>
        <rFont val="Arial"/>
        <family val="2"/>
      </rPr>
      <t>CLG/BRIJ ESH/53134 4/CAB/25.0
8.2021</t>
    </r>
  </si>
  <si>
    <r>
      <rPr>
        <sz val="10"/>
        <rFont val="Arial"/>
        <family val="2"/>
      </rPr>
      <t>1663044.5
0</t>
    </r>
  </si>
  <si>
    <r>
      <rPr>
        <sz val="10"/>
        <rFont val="Arial"/>
        <family val="2"/>
      </rPr>
      <t>CLG/SHEL LY/948607
/SBI/26.08. 2021</t>
    </r>
  </si>
  <si>
    <r>
      <rPr>
        <sz val="10"/>
        <rFont val="Arial"/>
        <family val="2"/>
      </rPr>
      <t>1763044.5
0</t>
    </r>
  </si>
  <si>
    <r>
      <rPr>
        <sz val="10"/>
        <rFont val="Arial"/>
        <family val="2"/>
      </rPr>
      <t>1913044.5
0</t>
    </r>
  </si>
  <si>
    <r>
      <rPr>
        <sz val="10"/>
        <rFont val="Arial"/>
        <family val="2"/>
      </rPr>
      <t>CLG/NIMM I CHOUDHA RY/314923
/SBI/26.08. 2021</t>
    </r>
  </si>
  <si>
    <r>
      <rPr>
        <sz val="10"/>
        <rFont val="Arial"/>
        <family val="2"/>
      </rPr>
      <t>2213044.5
0</t>
    </r>
  </si>
  <si>
    <r>
      <rPr>
        <sz val="10"/>
        <rFont val="Arial"/>
        <family val="2"/>
      </rPr>
      <t>31-Aug-
2021</t>
    </r>
  </si>
  <si>
    <r>
      <rPr>
        <sz val="10"/>
        <rFont val="Arial"/>
        <family val="2"/>
      </rPr>
      <t>2343044.5
0</t>
    </r>
  </si>
  <si>
    <r>
      <rPr>
        <sz val="10"/>
        <rFont val="Arial"/>
        <family val="2"/>
      </rPr>
      <t>NEFT- PUNBH21 243404117
-REENA WO SUNIL KUMAR-- 043121</t>
    </r>
  </si>
  <si>
    <r>
      <rPr>
        <sz val="10"/>
        <rFont val="Arial"/>
        <family val="2"/>
      </rPr>
      <t>2463044.5
0</t>
    </r>
  </si>
  <si>
    <r>
      <rPr>
        <sz val="10"/>
        <rFont val="Arial"/>
        <family val="2"/>
      </rPr>
      <t>01-Sep-
2021</t>
    </r>
  </si>
  <si>
    <r>
      <rPr>
        <sz val="10"/>
        <rFont val="Arial"/>
        <family val="2"/>
      </rPr>
      <t>CLG/SUSH ILA/27141 4/IDB/31.0
8.2021</t>
    </r>
  </si>
  <si>
    <r>
      <rPr>
        <sz val="10"/>
        <rFont val="Arial"/>
        <family val="2"/>
      </rPr>
      <t>2563044.5
0</t>
    </r>
  </si>
  <si>
    <r>
      <rPr>
        <sz val="10"/>
        <rFont val="Arial"/>
        <family val="2"/>
      </rPr>
      <t>CLG/RAM GOPAL/04 1732/AXI/2
7.08.2021</t>
    </r>
  </si>
  <si>
    <r>
      <rPr>
        <sz val="10"/>
        <rFont val="Arial"/>
        <family val="2"/>
      </rPr>
      <t>2597044.5
0</t>
    </r>
  </si>
  <si>
    <r>
      <rPr>
        <sz val="10"/>
        <rFont val="Arial"/>
        <family val="2"/>
      </rPr>
      <t>02-Sep-
2021</t>
    </r>
  </si>
  <si>
    <r>
      <rPr>
        <sz val="10"/>
        <rFont val="Arial"/>
        <family val="2"/>
      </rPr>
      <t>UPI/12456 5363822/P
ayment from Ph/976046
4545@ybl/ St</t>
    </r>
  </si>
  <si>
    <r>
      <rPr>
        <sz val="10"/>
        <rFont val="Arial"/>
        <family val="2"/>
      </rPr>
      <t>2597045.5
0</t>
    </r>
  </si>
  <si>
    <r>
      <rPr>
        <sz val="10"/>
        <rFont val="Arial"/>
        <family val="2"/>
      </rPr>
      <t>UPI/12457 1541356/P
ayment from Ph/976046
4545@ybl/ St</t>
    </r>
  </si>
  <si>
    <r>
      <rPr>
        <sz val="10"/>
        <rFont val="Arial"/>
        <family val="2"/>
      </rPr>
      <t>2692045.5
0</t>
    </r>
  </si>
  <si>
    <r>
      <rPr>
        <sz val="10"/>
        <rFont val="Arial"/>
        <family val="2"/>
      </rPr>
      <t>UPI/12458 4366188/U
PI/neha.ari hant1@o/P unjab Nation</t>
    </r>
  </si>
  <si>
    <r>
      <rPr>
        <sz val="10"/>
        <rFont val="Arial"/>
        <family val="2"/>
      </rPr>
      <t>2712045.5
0</t>
    </r>
  </si>
  <si>
    <r>
      <rPr>
        <sz val="10"/>
        <rFont val="Arial"/>
        <family val="2"/>
      </rPr>
      <t>NEFT- BDBLH216 00363305- MR  SUNIL KUMAR BANSAL-
/24 -</t>
    </r>
  </si>
  <si>
    <r>
      <rPr>
        <sz val="10"/>
        <rFont val="Arial"/>
        <family val="2"/>
      </rPr>
      <t>2841545.5
0</t>
    </r>
  </si>
  <si>
    <r>
      <rPr>
        <sz val="10"/>
        <rFont val="Arial"/>
        <family val="2"/>
      </rPr>
      <t>NEFT- P2452101 25314978- ITESH BANSAL-- 218910100
8225-</t>
    </r>
  </si>
  <si>
    <r>
      <rPr>
        <sz val="10"/>
        <rFont val="Arial"/>
        <family val="2"/>
      </rPr>
      <t>3071045.5
0</t>
    </r>
  </si>
  <si>
    <r>
      <rPr>
        <sz val="10"/>
        <rFont val="Arial"/>
        <family val="2"/>
      </rPr>
      <t>UPI/12457 4517178/N A/9456248
524@payt/ Bank of India/</t>
    </r>
  </si>
  <si>
    <r>
      <rPr>
        <sz val="10"/>
        <rFont val="Arial"/>
        <family val="2"/>
      </rPr>
      <t>3081045.5
0</t>
    </r>
  </si>
  <si>
    <r>
      <rPr>
        <sz val="10"/>
        <rFont val="Arial"/>
        <family val="2"/>
      </rPr>
      <t>03-Sep-
2021</t>
    </r>
  </si>
  <si>
    <r>
      <rPr>
        <sz val="10"/>
        <rFont val="Arial"/>
        <family val="2"/>
      </rPr>
      <t>UPI/12465 1207423/U
PI/ksandee p60489@o
/Axis Bank Ltd</t>
    </r>
  </si>
  <si>
    <r>
      <rPr>
        <sz val="10"/>
        <rFont val="Arial"/>
        <family val="2"/>
      </rPr>
      <t>3081046.5
0</t>
    </r>
  </si>
  <si>
    <r>
      <rPr>
        <sz val="10"/>
        <rFont val="Arial"/>
        <family val="2"/>
      </rPr>
      <t>UPI/12467 5372743/P
ayment from Ph/976046
4545@ybl/ St</t>
    </r>
  </si>
  <si>
    <r>
      <rPr>
        <sz val="10"/>
        <rFont val="Arial"/>
        <family val="2"/>
      </rPr>
      <t>3176046.5
0</t>
    </r>
  </si>
  <si>
    <r>
      <rPr>
        <sz val="10"/>
        <rFont val="Arial"/>
        <family val="2"/>
      </rPr>
      <t>UPI/12465 2613955/P
ayment from Ph/895804
6933@axl/ Pu</t>
    </r>
  </si>
  <si>
    <r>
      <rPr>
        <sz val="10"/>
        <rFont val="Arial"/>
        <family val="2"/>
      </rPr>
      <t>3181046.5
0</t>
    </r>
  </si>
  <si>
    <r>
      <rPr>
        <sz val="10"/>
        <rFont val="Arial"/>
        <family val="2"/>
      </rPr>
      <t>NEFT- 000356804
251- RAJKUMA R-
/URGENT/- 536402030
00011</t>
    </r>
  </si>
  <si>
    <r>
      <rPr>
        <sz val="10"/>
        <rFont val="Arial"/>
        <family val="2"/>
      </rPr>
      <t>3191046.5
0</t>
    </r>
  </si>
  <si>
    <r>
      <rPr>
        <sz val="10"/>
        <rFont val="Arial"/>
        <family val="2"/>
      </rPr>
      <t>NEFT- 000196997
758- SUMAN  - VIB NEFT- 309000412
971-RA</t>
    </r>
  </si>
  <si>
    <r>
      <rPr>
        <sz val="10"/>
        <rFont val="Arial"/>
        <family val="2"/>
      </rPr>
      <t>3216046.5
0</t>
    </r>
  </si>
  <si>
    <r>
      <rPr>
        <sz val="10"/>
        <rFont val="Arial"/>
        <family val="2"/>
      </rPr>
      <t>UPI/12465 4718339/U
PI/ksandee p60489@o
/Axis Bank Ltd</t>
    </r>
  </si>
  <si>
    <r>
      <rPr>
        <sz val="10"/>
        <rFont val="Arial"/>
        <family val="2"/>
      </rPr>
      <t>3266046.5
0</t>
    </r>
  </si>
  <si>
    <r>
      <rPr>
        <sz val="10"/>
        <rFont val="Arial"/>
        <family val="2"/>
      </rPr>
      <t>NEFT- SBIN22124 6543792- MR  RAJ KUMAR-
/ATTN//INB
-00</t>
    </r>
  </si>
  <si>
    <r>
      <rPr>
        <sz val="10"/>
        <rFont val="Arial"/>
        <family val="2"/>
      </rPr>
      <t>3431046.5
0</t>
    </r>
  </si>
  <si>
    <r>
      <rPr>
        <sz val="10"/>
        <rFont val="Arial"/>
        <family val="2"/>
      </rPr>
      <t>MMT/IMPS
/12461824
3854/refun db910/sikh a
/PUNB00</t>
    </r>
  </si>
  <si>
    <r>
      <rPr>
        <sz val="10"/>
        <rFont val="Arial"/>
        <family val="2"/>
      </rPr>
      <t>3421046.5
0</t>
    </r>
  </si>
  <si>
    <r>
      <rPr>
        <sz val="10"/>
        <rFont val="Arial"/>
        <family val="2"/>
      </rPr>
      <t>NEFT- PUNBH21 246754828
-RAJ KUMAR RACHNA CHAUDHA RY</t>
    </r>
  </si>
  <si>
    <r>
      <rPr>
        <sz val="10"/>
        <rFont val="Arial"/>
        <family val="2"/>
      </rPr>
      <t>3521046.5
0</t>
    </r>
  </si>
  <si>
    <r>
      <rPr>
        <sz val="10"/>
        <rFont val="Arial"/>
        <family val="2"/>
      </rPr>
      <t>MMT/IMPS
/12461941
3583/retun a29/abhina v
/BKID0007</t>
    </r>
  </si>
  <si>
    <r>
      <rPr>
        <sz val="10"/>
        <rFont val="Arial"/>
        <family val="2"/>
      </rPr>
      <t>3511046.5
0</t>
    </r>
  </si>
  <si>
    <r>
      <rPr>
        <sz val="10"/>
        <rFont val="Arial"/>
        <family val="2"/>
      </rPr>
      <t>04-Sep-
2021</t>
    </r>
  </si>
  <si>
    <r>
      <rPr>
        <sz val="10"/>
        <rFont val="Arial"/>
        <family val="2"/>
      </rPr>
      <t>NEFT- 000197238
310- SUMAN  - VIB NEFT- 309000412
971-RA</t>
    </r>
  </si>
  <si>
    <r>
      <rPr>
        <sz val="10"/>
        <rFont val="Arial"/>
        <family val="2"/>
      </rPr>
      <t>3611046.5
0</t>
    </r>
  </si>
  <si>
    <r>
      <rPr>
        <sz val="10"/>
        <rFont val="Arial"/>
        <family val="2"/>
      </rPr>
      <t>NEFT- PUNBH21 247794411
-RAJ KUMAR RACHNA CHAUDHA RY</t>
    </r>
  </si>
  <si>
    <r>
      <rPr>
        <sz val="10"/>
        <rFont val="Arial"/>
        <family val="2"/>
      </rPr>
      <t>3711046.5
0</t>
    </r>
  </si>
  <si>
    <r>
      <rPr>
        <sz val="10"/>
        <rFont val="Arial"/>
        <family val="2"/>
      </rPr>
      <t>UPI/12471 3580743/U
PI/birpalsin gh804@/St ate Bank Of</t>
    </r>
  </si>
  <si>
    <r>
      <rPr>
        <sz val="10"/>
        <rFont val="Arial"/>
        <family val="2"/>
      </rPr>
      <t>3711047.5
0</t>
    </r>
  </si>
  <si>
    <r>
      <rPr>
        <sz val="10"/>
        <rFont val="Arial"/>
        <family val="2"/>
      </rPr>
      <t>UPI/12471 4597787/U
PI/birpalsin gh804@/St ate Bank Of</t>
    </r>
  </si>
  <si>
    <r>
      <rPr>
        <sz val="10"/>
        <rFont val="Arial"/>
        <family val="2"/>
      </rPr>
      <t>3811046.5
0</t>
    </r>
  </si>
  <si>
    <r>
      <rPr>
        <sz val="10"/>
        <rFont val="Arial"/>
        <family val="2"/>
      </rPr>
      <t>UPI/12477 3530633/U
PI/ksandee p60489@o
/Axis Bank Ltd</t>
    </r>
  </si>
  <si>
    <r>
      <rPr>
        <sz val="10"/>
        <rFont val="Arial"/>
        <family val="2"/>
      </rPr>
      <t>3861046.5
0</t>
    </r>
  </si>
  <si>
    <r>
      <rPr>
        <sz val="10"/>
        <rFont val="Arial"/>
        <family val="2"/>
      </rPr>
      <t>UPI/12474 4639728/P
ayment from Ph/976046
4545@ybl/ St</t>
    </r>
  </si>
  <si>
    <r>
      <rPr>
        <sz val="10"/>
        <rFont val="Arial"/>
        <family val="2"/>
      </rPr>
      <t>3871046.5
0</t>
    </r>
  </si>
  <si>
    <r>
      <rPr>
        <sz val="10"/>
        <rFont val="Arial"/>
        <family val="2"/>
      </rPr>
      <t>UPI/12477 9850073/U
PI/ksandee p60489@o
/Axis Bank Ltd</t>
    </r>
  </si>
  <si>
    <r>
      <rPr>
        <sz val="10"/>
        <rFont val="Arial"/>
        <family val="2"/>
      </rPr>
      <t>3911046.5
0</t>
    </r>
  </si>
  <si>
    <r>
      <rPr>
        <sz val="10"/>
        <rFont val="Arial"/>
        <family val="2"/>
      </rPr>
      <t>06-Sep-
2021</t>
    </r>
  </si>
  <si>
    <r>
      <rPr>
        <sz val="10"/>
        <rFont val="Arial"/>
        <family val="2"/>
      </rPr>
      <t>MMT/IMPS
/12490973
8704/Vikas A15/VIKAS
KUM/Kotak M</t>
    </r>
  </si>
  <si>
    <r>
      <rPr>
        <sz val="10"/>
        <rFont val="Arial"/>
        <family val="2"/>
      </rPr>
      <t>3921046.5
0</t>
    </r>
  </si>
  <si>
    <r>
      <rPr>
        <sz val="10"/>
        <rFont val="Arial"/>
        <family val="2"/>
      </rPr>
      <t>CLG/SEPO Y GAURAV KUMAR/56 3827/SBI/0
2.09.2021</t>
    </r>
  </si>
  <si>
    <r>
      <rPr>
        <sz val="10"/>
        <rFont val="Arial"/>
        <family val="2"/>
      </rPr>
      <t>4021046.5
0</t>
    </r>
  </si>
  <si>
    <r>
      <rPr>
        <sz val="10"/>
        <rFont val="Arial"/>
        <family val="2"/>
      </rPr>
      <t>UPI/12491 9100232/N O REMARKS
/76786064
34@upi/St ate B</t>
    </r>
  </si>
  <si>
    <r>
      <rPr>
        <sz val="10"/>
        <rFont val="Arial"/>
        <family val="2"/>
      </rPr>
      <t>4021047.5
0</t>
    </r>
  </si>
  <si>
    <r>
      <rPr>
        <sz val="10"/>
        <rFont val="Arial"/>
        <family val="2"/>
      </rPr>
      <t>UPI/12491 9117204/Fr
om Satyabeer/ 767860643
4@upi/Sta</t>
    </r>
  </si>
  <si>
    <r>
      <rPr>
        <sz val="10"/>
        <rFont val="Arial"/>
        <family val="2"/>
      </rPr>
      <t>4061046.5
0</t>
    </r>
  </si>
  <si>
    <r>
      <rPr>
        <sz val="10"/>
        <rFont val="Arial"/>
        <family val="2"/>
      </rPr>
      <t>MMT/IMPS
/12492200
7515/for plot number/PR ITI PANW/P</t>
    </r>
  </si>
  <si>
    <r>
      <rPr>
        <sz val="10"/>
        <rFont val="Arial"/>
        <family val="2"/>
      </rPr>
      <t>4062046.5
0</t>
    </r>
  </si>
  <si>
    <r>
      <rPr>
        <sz val="10"/>
        <rFont val="Arial"/>
        <family val="2"/>
      </rPr>
      <t>07-Sep-
2021</t>
    </r>
  </si>
  <si>
    <r>
      <rPr>
        <sz val="10"/>
        <rFont val="Arial"/>
        <family val="2"/>
      </rPr>
      <t>NEFT- AXMB2125 03717341- INDU SHARMA-- 913010035
376305</t>
    </r>
  </si>
  <si>
    <r>
      <rPr>
        <sz val="10"/>
        <rFont val="Arial"/>
        <family val="2"/>
      </rPr>
      <t>4109546.5
0</t>
    </r>
  </si>
  <si>
    <r>
      <rPr>
        <sz val="10"/>
        <rFont val="Arial"/>
        <family val="2"/>
      </rPr>
      <t>UPI/12500 8417568/Fr
om Satyabeer/ 767860643
4@upi/Sta</t>
    </r>
  </si>
  <si>
    <r>
      <rPr>
        <sz val="10"/>
        <rFont val="Arial"/>
        <family val="2"/>
      </rPr>
      <t>4149546.5
0</t>
    </r>
  </si>
  <si>
    <r>
      <rPr>
        <sz val="10"/>
        <rFont val="Arial"/>
        <family val="2"/>
      </rPr>
      <t>UPI/12501 9872198/U
PI/ksandee p60489@o
/Axis Bank Ltd</t>
    </r>
  </si>
  <si>
    <r>
      <rPr>
        <sz val="10"/>
        <rFont val="Arial"/>
        <family val="2"/>
      </rPr>
      <t>4199546.5
0</t>
    </r>
  </si>
  <si>
    <r>
      <rPr>
        <sz val="10"/>
        <rFont val="Arial"/>
        <family val="2"/>
      </rPr>
      <t>CLG/NEHA VERMA/86 0445/PNB/
04.09.2021</t>
    </r>
  </si>
  <si>
    <r>
      <rPr>
        <sz val="10"/>
        <rFont val="Arial"/>
        <family val="2"/>
      </rPr>
      <t>4349546.5
0</t>
    </r>
  </si>
  <si>
    <r>
      <rPr>
        <sz val="10"/>
        <rFont val="Arial"/>
        <family val="2"/>
      </rPr>
      <t>NEFT- KKBKH212 50617321- VIKAS KUMAR- PAYMENT
-4511758</t>
    </r>
  </si>
  <si>
    <r>
      <rPr>
        <sz val="10"/>
        <rFont val="Arial"/>
        <family val="2"/>
      </rPr>
      <t>4499546.5
0</t>
    </r>
  </si>
  <si>
    <r>
      <rPr>
        <sz val="10"/>
        <rFont val="Arial"/>
        <family val="2"/>
      </rPr>
      <t>MMT/IMPS
/12501102
8522/Plot number A
/PRITI PANW/P</t>
    </r>
  </si>
  <si>
    <r>
      <rPr>
        <sz val="10"/>
        <rFont val="Arial"/>
        <family val="2"/>
      </rPr>
      <t>4598546.5
0</t>
    </r>
  </si>
  <si>
    <r>
      <rPr>
        <sz val="10"/>
        <rFont val="Arial"/>
        <family val="2"/>
      </rPr>
      <t>4618546.5
0</t>
    </r>
  </si>
  <si>
    <r>
      <rPr>
        <sz val="10"/>
        <rFont val="Arial"/>
        <family val="2"/>
      </rPr>
      <t>NEFT- PUNBH21 250582042
-PRITI PANWAR-- 403900010
01943</t>
    </r>
  </si>
  <si>
    <r>
      <rPr>
        <sz val="10"/>
        <rFont val="Arial"/>
        <family val="2"/>
      </rPr>
      <t>4818546.5
0</t>
    </r>
  </si>
  <si>
    <r>
      <rPr>
        <sz val="10"/>
        <rFont val="Arial"/>
        <family val="2"/>
      </rPr>
      <t>RTGS- SBINR520 210907410
73639- SHAHROZ
- 316557645
63-SB</t>
    </r>
  </si>
  <si>
    <r>
      <rPr>
        <sz val="10"/>
        <rFont val="Arial"/>
        <family val="2"/>
      </rPr>
      <t>5153522.9
0</t>
    </r>
  </si>
  <si>
    <r>
      <rPr>
        <sz val="10"/>
        <rFont val="Arial"/>
        <family val="2"/>
      </rPr>
      <t>08-Sep-
2021</t>
    </r>
  </si>
  <si>
    <r>
      <rPr>
        <sz val="10"/>
        <rFont val="Arial"/>
        <family val="2"/>
      </rPr>
      <t>CLG/JITEN DEE PAL SINGH/016 801/PNB/0
5.09.2021</t>
    </r>
  </si>
  <si>
    <r>
      <rPr>
        <sz val="10"/>
        <rFont val="Arial"/>
        <family val="2"/>
      </rPr>
      <t>5343522.9
0</t>
    </r>
  </si>
  <si>
    <r>
      <rPr>
        <sz val="10"/>
        <rFont val="Arial"/>
        <family val="2"/>
      </rPr>
      <t>CLG/MEE NU ANKIT KUMAR/14 1920/PNB/
05.09.2021</t>
    </r>
  </si>
  <si>
    <r>
      <rPr>
        <sz val="10"/>
        <rFont val="Arial"/>
        <family val="2"/>
      </rPr>
      <t>5625522.9
0</t>
    </r>
  </si>
  <si>
    <r>
      <rPr>
        <sz val="10"/>
        <rFont val="Arial"/>
        <family val="2"/>
      </rPr>
      <t>CLG/JITEN DRA KUMAR/34 9415/SBI/0
5.09.2021</t>
    </r>
  </si>
  <si>
    <r>
      <rPr>
        <sz val="10"/>
        <rFont val="Arial"/>
        <family val="2"/>
      </rPr>
      <t>5875522.9
0</t>
    </r>
  </si>
  <si>
    <r>
      <rPr>
        <sz val="10"/>
        <rFont val="Arial"/>
        <family val="2"/>
      </rPr>
      <t>CLG/SHIV RAJ SINGH/170 660/SBI/03
.09.2021</t>
    </r>
  </si>
  <si>
    <r>
      <rPr>
        <sz val="10"/>
        <rFont val="Arial"/>
        <family val="2"/>
      </rPr>
      <t>6050522.9
0</t>
    </r>
  </si>
  <si>
    <r>
      <rPr>
        <sz val="10"/>
        <rFont val="Arial"/>
        <family val="2"/>
      </rPr>
      <t>CLG/MAN SIH YADAV/00 1684/OBC/
03.09.2021</t>
    </r>
  </si>
  <si>
    <r>
      <rPr>
        <sz val="10"/>
        <rFont val="Arial"/>
        <family val="2"/>
      </rPr>
      <t>6150522.9
0</t>
    </r>
  </si>
  <si>
    <r>
      <rPr>
        <sz val="10"/>
        <rFont val="Arial"/>
        <family val="2"/>
      </rPr>
      <t>CLG/CHA RAN SINGH/187 962/PNB/0
5.09.2021</t>
    </r>
  </si>
  <si>
    <r>
      <rPr>
        <sz val="10"/>
        <rFont val="Arial"/>
        <family val="2"/>
      </rPr>
      <t>6933122.9
0</t>
    </r>
  </si>
  <si>
    <r>
      <rPr>
        <sz val="10"/>
        <rFont val="Arial"/>
        <family val="2"/>
      </rPr>
      <t>UPI/12512 5100444/U
PI/jonykum ar163199/ Canara Bank/I</t>
    </r>
  </si>
  <si>
    <r>
      <rPr>
        <sz val="10"/>
        <rFont val="Arial"/>
        <family val="2"/>
      </rPr>
      <t>5565322.9
0</t>
    </r>
  </si>
  <si>
    <r>
      <rPr>
        <sz val="10"/>
        <rFont val="Arial"/>
        <family val="2"/>
      </rPr>
      <t>UPI/12514 4875698/P
ayment from Ph/omindra
.kumar@y/ P</t>
    </r>
  </si>
  <si>
    <r>
      <rPr>
        <sz val="10"/>
        <rFont val="Arial"/>
        <family val="2"/>
      </rPr>
      <t>5585322.9
0</t>
    </r>
  </si>
  <si>
    <r>
      <rPr>
        <sz val="10"/>
        <rFont val="Arial"/>
        <family val="2"/>
      </rPr>
      <t>09-Sep-
2021</t>
    </r>
  </si>
  <si>
    <r>
      <rPr>
        <sz val="10"/>
        <rFont val="Arial"/>
        <family val="2"/>
      </rPr>
      <t>NEFT- AXMB2125 25163963- RAVI KUMAR 201014361
/PTC--9</t>
    </r>
  </si>
  <si>
    <r>
      <rPr>
        <sz val="10"/>
        <rFont val="Arial"/>
        <family val="2"/>
      </rPr>
      <t>5440322.9
0</t>
    </r>
  </si>
  <si>
    <r>
      <rPr>
        <sz val="10"/>
        <rFont val="Arial"/>
        <family val="2"/>
      </rPr>
      <t>UPI/12529 2792021/P
ayment from Ph/989797
6974@ybl/ HD</t>
    </r>
  </si>
  <si>
    <r>
      <rPr>
        <sz val="10"/>
        <rFont val="Arial"/>
        <family val="2"/>
      </rPr>
      <t>5490322.9
0</t>
    </r>
  </si>
  <si>
    <r>
      <rPr>
        <sz val="10"/>
        <rFont val="Arial"/>
        <family val="2"/>
      </rPr>
      <t>UPI/12528 8548883/P
ayment from Ph/989797
6974@ybl/ HD</t>
    </r>
  </si>
  <si>
    <r>
      <rPr>
        <sz val="10"/>
        <rFont val="Arial"/>
        <family val="2"/>
      </rPr>
      <t>5540322.9
0</t>
    </r>
  </si>
  <si>
    <r>
      <rPr>
        <sz val="10"/>
        <rFont val="Arial"/>
        <family val="2"/>
      </rPr>
      <t>UPI/12525 1946738/P
ayment from Ph/956817
6993@ybl/ St</t>
    </r>
  </si>
  <si>
    <r>
      <rPr>
        <sz val="10"/>
        <rFont val="Arial"/>
        <family val="2"/>
      </rPr>
      <t>5545322.9
0</t>
    </r>
  </si>
  <si>
    <r>
      <rPr>
        <sz val="10"/>
        <rFont val="Arial"/>
        <family val="2"/>
      </rPr>
      <t>10-Sep-
2021</t>
    </r>
  </si>
  <si>
    <r>
      <rPr>
        <sz val="10"/>
        <rFont val="Arial"/>
        <family val="2"/>
      </rPr>
      <t>CLG/SATY AVEER SINGH/931 612/PNB/0
9.09.2021</t>
    </r>
  </si>
  <si>
    <r>
      <rPr>
        <sz val="10"/>
        <rFont val="Arial"/>
        <family val="2"/>
      </rPr>
      <t>5795322.9
0</t>
    </r>
  </si>
  <si>
    <r>
      <rPr>
        <sz val="10"/>
        <rFont val="Arial"/>
        <family val="2"/>
      </rPr>
      <t>CLG/SATP AL SINGH/157 159/PNB/0
9.09.2021</t>
    </r>
  </si>
  <si>
    <r>
      <rPr>
        <sz val="10"/>
        <rFont val="Arial"/>
        <family val="2"/>
      </rPr>
      <t>5995322.9
0</t>
    </r>
  </si>
  <si>
    <r>
      <rPr>
        <sz val="10"/>
        <rFont val="Arial"/>
        <family val="2"/>
      </rPr>
      <t>CLG/SATP AL SINGH/157 155/PNB/0
9.09.2021</t>
    </r>
  </si>
  <si>
    <r>
      <rPr>
        <sz val="10"/>
        <rFont val="Arial"/>
        <family val="2"/>
      </rPr>
      <t>6195322.9
0</t>
    </r>
  </si>
  <si>
    <r>
      <rPr>
        <sz val="10"/>
        <rFont val="Arial"/>
        <family val="2"/>
      </rPr>
      <t>CLG/SATP AL SINGH/157 154/PNB/0
9.09.2021</t>
    </r>
  </si>
  <si>
    <r>
      <rPr>
        <sz val="10"/>
        <rFont val="Arial"/>
        <family val="2"/>
      </rPr>
      <t>6395322.9
0</t>
    </r>
  </si>
  <si>
    <r>
      <rPr>
        <sz val="10"/>
        <rFont val="Arial"/>
        <family val="2"/>
      </rPr>
      <t>29-Oct-
2021</t>
    </r>
  </si>
  <si>
    <r>
      <rPr>
        <sz val="10"/>
        <rFont val="Arial"/>
        <family val="2"/>
      </rPr>
      <t>RTGS/ICIC R4202110 290054204
1/PUNB00
26610/inus h ali</t>
    </r>
  </si>
  <si>
    <r>
      <rPr>
        <sz val="10"/>
        <rFont val="Arial"/>
        <family val="2"/>
      </rPr>
      <t>1401850.9
0</t>
    </r>
  </si>
  <si>
    <r>
      <rPr>
        <sz val="10"/>
        <rFont val="Arial"/>
        <family val="2"/>
      </rPr>
      <t>RTGS/ICIC R4202110 290054224
5/PUNB00
26610/shal au di</t>
    </r>
  </si>
  <si>
    <r>
      <rPr>
        <sz val="10"/>
        <rFont val="Arial"/>
        <family val="2"/>
      </rPr>
      <t>30-Oct-
2021</t>
    </r>
  </si>
  <si>
    <r>
      <rPr>
        <sz val="10"/>
        <rFont val="Arial"/>
        <family val="2"/>
      </rPr>
      <t>BIL/INFT/0 002439694
55/NA/</t>
    </r>
  </si>
  <si>
    <r>
      <rPr>
        <sz val="10"/>
        <rFont val="Arial"/>
        <family val="2"/>
      </rPr>
      <t>BIL/INFT/0 002439741
25/NA/</t>
    </r>
  </si>
  <si>
    <r>
      <rPr>
        <sz val="10"/>
        <rFont val="Arial"/>
        <family val="2"/>
      </rPr>
      <t>02-Nov-
2021</t>
    </r>
  </si>
  <si>
    <r>
      <rPr>
        <sz val="10"/>
        <rFont val="Arial"/>
        <family val="2"/>
      </rPr>
      <t>MMT/IMPS
/13061198
1174/salar y/rahulCHA UD/HDFC0 00435</t>
    </r>
  </si>
  <si>
    <r>
      <rPr>
        <sz val="10"/>
        <rFont val="Arial"/>
        <family val="2"/>
      </rPr>
      <t>08-Nov-
2021</t>
    </r>
  </si>
  <si>
    <r>
      <rPr>
        <sz val="10"/>
        <rFont val="Arial"/>
        <family val="2"/>
      </rPr>
      <t>UPI/13127 0735474/D
efnce garden s/8979890
449@ybl/S t</t>
    </r>
  </si>
  <si>
    <r>
      <rPr>
        <sz val="10"/>
        <rFont val="Arial"/>
        <family val="2"/>
      </rPr>
      <t>UPI/13127 9155410/U
PI/renurpfk cg@okic/St ate Bank Of</t>
    </r>
  </si>
  <si>
    <r>
      <rPr>
        <sz val="10"/>
        <rFont val="Arial"/>
        <family val="2"/>
      </rPr>
      <t>09-Nov-
2021</t>
    </r>
  </si>
  <si>
    <r>
      <rPr>
        <sz val="10"/>
        <rFont val="Arial"/>
        <family val="2"/>
      </rPr>
      <t>UPI/13131 4634304/Bi
rpal singh/birpal singh8145/ Stat</t>
    </r>
  </si>
  <si>
    <r>
      <rPr>
        <sz val="10"/>
        <rFont val="Arial"/>
        <family val="2"/>
      </rPr>
      <t>12-Nov-
2021</t>
    </r>
  </si>
  <si>
    <r>
      <rPr>
        <sz val="10"/>
        <rFont val="Arial"/>
        <family val="2"/>
      </rPr>
      <t>UPI/13167 4126703/P
ayment from Ph/976046
4545@ybl/ St</t>
    </r>
  </si>
  <si>
    <r>
      <rPr>
        <sz val="10"/>
        <rFont val="Arial"/>
        <family val="2"/>
      </rPr>
      <t>14-Nov-
2021</t>
    </r>
  </si>
  <si>
    <r>
      <rPr>
        <sz val="10"/>
        <rFont val="Arial"/>
        <family val="2"/>
      </rPr>
      <t>15-Nov-
2021</t>
    </r>
  </si>
  <si>
    <r>
      <rPr>
        <sz val="10"/>
        <rFont val="Arial"/>
        <family val="2"/>
      </rPr>
      <t>NEFT- IDIBH2131 9313664- SATANDR KUMAR-- 000000062
7827</t>
    </r>
  </si>
  <si>
    <r>
      <rPr>
        <sz val="10"/>
        <rFont val="Arial"/>
        <family val="2"/>
      </rPr>
      <t>16-Nov-
2021</t>
    </r>
  </si>
  <si>
    <r>
      <rPr>
        <sz val="10"/>
        <rFont val="Arial"/>
        <family val="2"/>
      </rPr>
      <t>UPI/13200 8348874/U
PI/varunkm r2915@ok/ State Bank Of</t>
    </r>
  </si>
  <si>
    <r>
      <rPr>
        <sz val="10"/>
        <rFont val="Arial"/>
        <family val="2"/>
      </rPr>
      <t>NEFT- AXMB2132 07219062- RAVI KUMAR 201014361
/PTC--9</t>
    </r>
  </si>
  <si>
    <r>
      <rPr>
        <sz val="10"/>
        <rFont val="Arial"/>
        <family val="2"/>
      </rPr>
      <t>17-Nov-
2021</t>
    </r>
  </si>
  <si>
    <r>
      <rPr>
        <sz val="10"/>
        <rFont val="Arial"/>
        <family val="2"/>
      </rPr>
      <t>CLG/BRIJ PAL/62578 7/PNB/26.1
0.2021</t>
    </r>
  </si>
  <si>
    <r>
      <rPr>
        <sz val="10"/>
        <rFont val="Arial"/>
        <family val="2"/>
      </rPr>
      <t>CLG/PRA MOD KUMAR/15 7232/PNB/
11.11.2021</t>
    </r>
  </si>
  <si>
    <r>
      <rPr>
        <sz val="10"/>
        <rFont val="Arial"/>
        <family val="2"/>
      </rPr>
      <t>1395090.9
0</t>
    </r>
  </si>
  <si>
    <r>
      <rPr>
        <sz val="10"/>
        <rFont val="Arial"/>
        <family val="2"/>
      </rPr>
      <t>18-Nov-
2021</t>
    </r>
  </si>
  <si>
    <r>
      <rPr>
        <sz val="10"/>
        <rFont val="Arial"/>
        <family val="2"/>
      </rPr>
      <t>MMT/IMPS
/13221128
3891/refun dentry/arvi ndKUMA/C NRB0</t>
    </r>
  </si>
  <si>
    <r>
      <rPr>
        <sz val="10"/>
        <rFont val="Arial"/>
        <family val="2"/>
      </rPr>
      <t>1196090.9
0</t>
    </r>
  </si>
  <si>
    <r>
      <rPr>
        <sz val="10"/>
        <rFont val="Arial"/>
        <family val="2"/>
      </rPr>
      <t>RTGS/ICIC R4202111 180050741
6/SBIN000
1563/jagat sin</t>
    </r>
  </si>
  <si>
    <r>
      <rPr>
        <sz val="10"/>
        <rFont val="Arial"/>
        <family val="2"/>
      </rPr>
      <t>MMT/IMPS
/13221129
2393/refun dentry/aka sCHAUDH/ SBIN0</t>
    </r>
  </si>
  <si>
    <r>
      <rPr>
        <sz val="10"/>
        <rFont val="Arial"/>
        <family val="2"/>
      </rPr>
      <t>MMT/IMPS
/13221129
6957/refun dentry/arvi ndA17A/U TIB0</t>
    </r>
  </si>
  <si>
    <r>
      <rPr>
        <sz val="10"/>
        <rFont val="Arial"/>
        <family val="2"/>
      </rPr>
      <t>MMT/IMPS
/13221129
9206/refun dentry/arvi ndA17
/BARB0</t>
    </r>
  </si>
  <si>
    <r>
      <rPr>
        <sz val="10"/>
        <rFont val="Arial"/>
        <family val="2"/>
      </rPr>
      <t>CLG/NISH ANT SAROHA/1 33512/AXI/
15.11.2021</t>
    </r>
  </si>
  <si>
    <r>
      <rPr>
        <sz val="10"/>
        <rFont val="Arial"/>
        <family val="2"/>
      </rPr>
      <t>1176590.9
0</t>
    </r>
  </si>
  <si>
    <r>
      <rPr>
        <sz val="10"/>
        <rFont val="Arial"/>
        <family val="2"/>
      </rPr>
      <t>19-Nov-
2021</t>
    </r>
  </si>
  <si>
    <r>
      <rPr>
        <sz val="10"/>
        <rFont val="Arial"/>
        <family val="2"/>
      </rPr>
      <t>MMT/IMPS
/13231458
1565/salar y/alokTYA GId/SBIN0 01660</t>
    </r>
  </si>
  <si>
    <r>
      <rPr>
        <sz val="10"/>
        <rFont val="Arial"/>
        <family val="2"/>
      </rPr>
      <t>20-Nov-
2021</t>
    </r>
  </si>
  <si>
    <r>
      <rPr>
        <sz val="10"/>
        <rFont val="Arial"/>
        <family val="2"/>
      </rPr>
      <t>RTGS- PUNBR52 021112016
698511- SHALAU DIN S/O WASIDH-</t>
    </r>
  </si>
  <si>
    <r>
      <rPr>
        <sz val="10"/>
        <rFont val="Arial"/>
        <family val="2"/>
      </rPr>
      <t>1250590.9
0</t>
    </r>
  </si>
  <si>
    <r>
      <rPr>
        <sz val="10"/>
        <rFont val="Arial"/>
        <family val="2"/>
      </rPr>
      <t>MMT/IMPS
/13241886
7750/salar y/avinashT YA/PUNB0 47160</t>
    </r>
  </si>
  <si>
    <r>
      <rPr>
        <sz val="10"/>
        <rFont val="Arial"/>
        <family val="2"/>
      </rPr>
      <t>1220590.9
0</t>
    </r>
  </si>
  <si>
    <r>
      <rPr>
        <sz val="10"/>
        <rFont val="Arial"/>
        <family val="2"/>
      </rPr>
      <t>23-Nov-
2021</t>
    </r>
  </si>
  <si>
    <r>
      <rPr>
        <sz val="10"/>
        <rFont val="Arial"/>
        <family val="2"/>
      </rPr>
      <t>NEFT- SBIN52132 7942249- MRS ANURADH A SHARMA-
/ATTN/</t>
    </r>
  </si>
  <si>
    <r>
      <rPr>
        <sz val="10"/>
        <rFont val="Arial"/>
        <family val="2"/>
      </rPr>
      <t>1320590.9
0</t>
    </r>
  </si>
  <si>
    <r>
      <rPr>
        <sz val="10"/>
        <rFont val="Arial"/>
        <family val="2"/>
      </rPr>
      <t>24-Nov-
2021</t>
    </r>
  </si>
  <si>
    <r>
      <rPr>
        <sz val="10"/>
        <rFont val="Arial"/>
        <family val="2"/>
      </rPr>
      <t>1527840.9
0</t>
    </r>
  </si>
  <si>
    <r>
      <rPr>
        <sz val="10"/>
        <rFont val="Arial"/>
        <family val="2"/>
      </rPr>
      <t>MMT/IMPS
/13281804
7199/salar y/AMITgdT OMA/PUN B000420</t>
    </r>
  </si>
  <si>
    <r>
      <rPr>
        <sz val="10"/>
        <rFont val="Arial"/>
        <family val="2"/>
      </rPr>
      <t>1452840.9
0</t>
    </r>
  </si>
  <si>
    <r>
      <rPr>
        <sz val="10"/>
        <rFont val="Arial"/>
        <family val="2"/>
      </rPr>
      <t>MMT/IMPS
/13281804
8820/salar y/ARUNbhi DG
/SBIN0016 60</t>
    </r>
  </si>
  <si>
    <r>
      <rPr>
        <sz val="10"/>
        <rFont val="Arial"/>
        <family val="2"/>
      </rPr>
      <t>1422840.9
0</t>
    </r>
  </si>
  <si>
    <r>
      <rPr>
        <sz val="10"/>
        <rFont val="Arial"/>
        <family val="2"/>
      </rPr>
      <t>MMT/IMPS
/13281804
9442/salar y/vinayMA LIK/SBIN0 00761</t>
    </r>
  </si>
  <si>
    <r>
      <rPr>
        <sz val="10"/>
        <rFont val="Arial"/>
        <family val="2"/>
      </rPr>
      <t>1392840.9
0</t>
    </r>
  </si>
  <si>
    <r>
      <rPr>
        <sz val="10"/>
        <rFont val="Arial"/>
        <family val="2"/>
      </rPr>
      <t>MMT/IMPS
/13281805
3395/salar y/sagarMA LIK/CNRB 000218</t>
    </r>
  </si>
  <si>
    <r>
      <rPr>
        <sz val="10"/>
        <rFont val="Arial"/>
        <family val="2"/>
      </rPr>
      <t>1362840.9
0</t>
    </r>
  </si>
  <si>
    <r>
      <rPr>
        <sz val="10"/>
        <rFont val="Arial"/>
        <family val="2"/>
      </rPr>
      <t>INF/INFT/0 255532575
61/salary
/aashu</t>
    </r>
  </si>
  <si>
    <r>
      <rPr>
        <sz val="10"/>
        <rFont val="Arial"/>
        <family val="2"/>
      </rPr>
      <t>1332840.9
0</t>
    </r>
  </si>
  <si>
    <r>
      <rPr>
        <sz val="10"/>
        <rFont val="Arial"/>
        <family val="2"/>
      </rPr>
      <t>INF/INFT/0 255532615
41/salary
/yogrshTY AGId</t>
    </r>
  </si>
  <si>
    <r>
      <rPr>
        <sz val="10"/>
        <rFont val="Arial"/>
        <family val="2"/>
      </rPr>
      <t>1302840.9
0</t>
    </r>
  </si>
  <si>
    <r>
      <rPr>
        <sz val="10"/>
        <rFont val="Arial"/>
        <family val="2"/>
      </rPr>
      <t>MMT/IMPS
/13281805
7688/salar y/mohiKU MARd/IOB A000356</t>
    </r>
  </si>
  <si>
    <r>
      <rPr>
        <sz val="10"/>
        <rFont val="Arial"/>
        <family val="2"/>
      </rPr>
      <t>1272840.9
0</t>
    </r>
  </si>
  <si>
    <r>
      <rPr>
        <sz val="10"/>
        <rFont val="Arial"/>
        <family val="2"/>
      </rPr>
      <t>MMT/IMPS
/13281806
2004/salar y/PRAVIN DRAk/PUN B002661</t>
    </r>
  </si>
  <si>
    <r>
      <rPr>
        <sz val="10"/>
        <rFont val="Arial"/>
        <family val="2"/>
      </rPr>
      <t>1242840.9
0</t>
    </r>
  </si>
  <si>
    <r>
      <rPr>
        <sz val="10"/>
        <rFont val="Arial"/>
        <family val="2"/>
      </rPr>
      <t>MMT/IMPS
/13281806
3375/salar y/PRAVIN DRAk/PUN B002661</t>
    </r>
  </si>
  <si>
    <r>
      <rPr>
        <sz val="10"/>
        <rFont val="Arial"/>
        <family val="2"/>
      </rPr>
      <t>1142840.9
0</t>
    </r>
  </si>
  <si>
    <r>
      <rPr>
        <sz val="10"/>
        <rFont val="Arial"/>
        <family val="2"/>
      </rPr>
      <t>INF/INFT/0 255532895
41/salary
/kuldeepici ci</t>
    </r>
  </si>
  <si>
    <r>
      <rPr>
        <sz val="10"/>
        <rFont val="Arial"/>
        <family val="2"/>
      </rPr>
      <t>1042840.9
0</t>
    </r>
  </si>
  <si>
    <r>
      <rPr>
        <sz val="10"/>
        <rFont val="Arial"/>
        <family val="2"/>
      </rPr>
      <t>MMT/IMPS
/13281807
0256/salar y/sumiti
/PUNB052 281</t>
    </r>
  </si>
  <si>
    <r>
      <rPr>
        <sz val="10"/>
        <rFont val="Arial"/>
        <family val="2"/>
      </rPr>
      <t>26-Nov-
2021</t>
    </r>
  </si>
  <si>
    <r>
      <rPr>
        <sz val="10"/>
        <rFont val="Arial"/>
        <family val="2"/>
      </rPr>
      <t>UPI/13307 8872887/P
ayment from Ph/945752
8439@ybl/ St</t>
    </r>
  </si>
  <si>
    <r>
      <rPr>
        <sz val="10"/>
        <rFont val="Arial"/>
        <family val="2"/>
      </rPr>
      <t>MMT/IMPS
/13301791
7409/salar y/AMITyad av
/HDFC000 065</t>
    </r>
  </si>
  <si>
    <r>
      <rPr>
        <sz val="10"/>
        <rFont val="Arial"/>
        <family val="2"/>
      </rPr>
      <t>29-Nov-
2021</t>
    </r>
  </si>
  <si>
    <r>
      <rPr>
        <sz val="10"/>
        <rFont val="Arial"/>
        <family val="2"/>
      </rPr>
      <t>CLG/RAJE EV KUMAR/84 6528/SBI/1
9.11.2021</t>
    </r>
  </si>
  <si>
    <r>
      <rPr>
        <sz val="10"/>
        <rFont val="Arial"/>
        <family val="2"/>
      </rPr>
      <t>INF/INFT/0 255857770
51/salary
/kuldeepici ci</t>
    </r>
  </si>
  <si>
    <r>
      <rPr>
        <sz val="10"/>
        <rFont val="Arial"/>
        <family val="2"/>
      </rPr>
      <t>02-Dec-
2021</t>
    </r>
  </si>
  <si>
    <r>
      <rPr>
        <sz val="10"/>
        <rFont val="Arial"/>
        <family val="2"/>
      </rPr>
      <t>MMT/IMPS
/13362283
9124/salar y/MANISH
saga/PUN B007290</t>
    </r>
  </si>
  <si>
    <r>
      <rPr>
        <sz val="10"/>
        <rFont val="Arial"/>
        <family val="2"/>
      </rPr>
      <t>03-Dec-
2021</t>
    </r>
  </si>
  <si>
    <r>
      <rPr>
        <sz val="10"/>
        <rFont val="Arial"/>
        <family val="2"/>
      </rPr>
      <t>RTGS- SBINR520 211203550
36199- BRIJ PAL SINGH- 3022512</t>
    </r>
  </si>
  <si>
    <r>
      <rPr>
        <sz val="10"/>
        <rFont val="Arial"/>
        <family val="2"/>
      </rPr>
      <t>04-Dec-
2021</t>
    </r>
  </si>
  <si>
    <r>
      <rPr>
        <sz val="10"/>
        <rFont val="Arial"/>
        <family val="2"/>
      </rPr>
      <t>UPI/13382 4529818/P
ayment from Ph/992783
0484@ybl/ St</t>
    </r>
  </si>
  <si>
    <r>
      <rPr>
        <sz val="10"/>
        <rFont val="Arial"/>
        <family val="2"/>
      </rPr>
      <t>1004387.9
0</t>
    </r>
  </si>
  <si>
    <r>
      <rPr>
        <sz val="10"/>
        <rFont val="Arial"/>
        <family val="2"/>
      </rPr>
      <t>05-Dec-
2021</t>
    </r>
  </si>
  <si>
    <r>
      <rPr>
        <sz val="10"/>
        <rFont val="Arial"/>
        <family val="2"/>
      </rPr>
      <t>06-Dec-
2021</t>
    </r>
  </si>
  <si>
    <r>
      <rPr>
        <sz val="10"/>
        <rFont val="Arial"/>
        <family val="2"/>
      </rPr>
      <t>MMT/IMPS
/13391795
2656/refun dentry/ITE SHbansa/C NRB0</t>
    </r>
  </si>
  <si>
    <r>
      <rPr>
        <sz val="10"/>
        <rFont val="Arial"/>
        <family val="2"/>
      </rPr>
      <t>RTGS/ICIC R4202112 050050344
3/YESB00
00470/sate ndra</t>
    </r>
  </si>
  <si>
    <r>
      <rPr>
        <sz val="10"/>
        <rFont val="Arial"/>
        <family val="2"/>
      </rPr>
      <t>MMT/IMPS
/13401979
1054/salry/ alokTYAGI d/SBIN001 6609</t>
    </r>
  </si>
  <si>
    <r>
      <rPr>
        <sz val="10"/>
        <rFont val="Arial"/>
        <family val="2"/>
      </rPr>
      <t>07-Dec-
2021</t>
    </r>
  </si>
  <si>
    <r>
      <rPr>
        <sz val="10"/>
        <rFont val="Arial"/>
        <family val="2"/>
      </rPr>
      <t>CLG/JITEN DRA/3494 18/SBI/03.
12.2021</t>
    </r>
  </si>
  <si>
    <r>
      <rPr>
        <sz val="10"/>
        <rFont val="Arial"/>
        <family val="2"/>
      </rPr>
      <t>CLG/MUK ESH KUMAR/88 9160/PNB/
30.11.2021</t>
    </r>
  </si>
  <si>
    <r>
      <rPr>
        <sz val="10"/>
        <rFont val="Arial"/>
        <family val="2"/>
      </rPr>
      <t>11-Dec-
2021</t>
    </r>
  </si>
  <si>
    <r>
      <rPr>
        <sz val="10"/>
        <rFont val="Arial"/>
        <family val="2"/>
      </rPr>
      <t>13-Dec-
2021</t>
    </r>
  </si>
  <si>
    <r>
      <rPr>
        <sz val="10"/>
        <rFont val="Arial"/>
        <family val="2"/>
      </rPr>
      <t>NEFT- N3452117 49219794- NARESH KUMAR-A 10 EMI-
501002</t>
    </r>
  </si>
  <si>
    <r>
      <rPr>
        <sz val="10"/>
        <rFont val="Arial"/>
        <family val="2"/>
      </rPr>
      <t>12-Dec-
2021</t>
    </r>
  </si>
  <si>
    <r>
      <rPr>
        <sz val="10"/>
        <rFont val="Arial"/>
        <family val="2"/>
      </rPr>
      <t>NEFT- SBIN52134 6164648- MRS ANURADH A SHARMA-
/ATTN/</t>
    </r>
  </si>
  <si>
    <r>
      <rPr>
        <sz val="10"/>
        <rFont val="Arial"/>
        <family val="2"/>
      </rPr>
      <t>INF/INFT/0 257185424
41/refunda 11
/satendraA 11</t>
    </r>
  </si>
  <si>
    <r>
      <rPr>
        <sz val="10"/>
        <rFont val="Arial"/>
        <family val="2"/>
      </rPr>
      <t>17-Dec-
2021</t>
    </r>
  </si>
  <si>
    <r>
      <rPr>
        <sz val="10"/>
        <rFont val="Arial"/>
        <family val="2"/>
      </rPr>
      <t>MMT/IMPS
/13510802
1027/salar y/rahulCHA UD/HDFC0 00435</t>
    </r>
  </si>
  <si>
    <r>
      <rPr>
        <sz val="10"/>
        <rFont val="Arial"/>
        <family val="2"/>
      </rPr>
      <t>20-Dec-
2021</t>
    </r>
  </si>
  <si>
    <r>
      <rPr>
        <sz val="10"/>
        <rFont val="Arial"/>
        <family val="2"/>
      </rPr>
      <t>INF/INFT/0 257743779
31/salary
/kuldeepici ci</t>
    </r>
  </si>
  <si>
    <r>
      <rPr>
        <sz val="10"/>
        <rFont val="Arial"/>
        <family val="2"/>
      </rPr>
      <t>MMT/IMPS
/13541486
4324/salar y/sumiti
/PUNB052 281</t>
    </r>
  </si>
  <si>
    <r>
      <rPr>
        <sz val="10"/>
        <rFont val="Arial"/>
        <family val="2"/>
      </rPr>
      <t>21-Dec-
2021</t>
    </r>
  </si>
  <si>
    <r>
      <rPr>
        <sz val="10"/>
        <rFont val="Arial"/>
        <family val="2"/>
      </rPr>
      <t>RTGS- IDIBR5202 112212627
3505-MR PRAVEEN KUMAR- 0000</t>
    </r>
  </si>
  <si>
    <r>
      <rPr>
        <sz val="10"/>
        <rFont val="Arial"/>
        <family val="2"/>
      </rPr>
      <t>NEFT- PUNBH21 355888740
-PRITI PANWAR-- 403900010
01943</t>
    </r>
  </si>
  <si>
    <r>
      <rPr>
        <sz val="10"/>
        <rFont val="Arial"/>
        <family val="2"/>
      </rPr>
      <t>1021147.9
0</t>
    </r>
  </si>
  <si>
    <r>
      <rPr>
        <sz val="10"/>
        <rFont val="Arial"/>
        <family val="2"/>
      </rPr>
      <t>22-Dec-
2021</t>
    </r>
  </si>
  <si>
    <r>
      <rPr>
        <sz val="10"/>
        <rFont val="Arial"/>
        <family val="2"/>
      </rPr>
      <t>NEFT- PUNBH21 356004928
-PRITI PANWAR-- 403900010
01943</t>
    </r>
  </si>
  <si>
    <r>
      <rPr>
        <sz val="10"/>
        <rFont val="Arial"/>
        <family val="2"/>
      </rPr>
      <t>1221147.9
0</t>
    </r>
  </si>
  <si>
    <r>
      <rPr>
        <sz val="10"/>
        <rFont val="Arial"/>
        <family val="2"/>
      </rPr>
      <t>RTGS/ICIC R4202112 220053092
1/CNRB00
02189/ites h ban</t>
    </r>
  </si>
  <si>
    <r>
      <rPr>
        <sz val="10"/>
        <rFont val="Arial"/>
        <family val="2"/>
      </rPr>
      <t>24-Dec-
2021</t>
    </r>
  </si>
  <si>
    <r>
      <rPr>
        <sz val="10"/>
        <rFont val="Arial"/>
        <family val="2"/>
      </rPr>
      <t>26-Dec-
2021</t>
    </r>
  </si>
  <si>
    <r>
      <rPr>
        <sz val="10"/>
        <rFont val="Arial"/>
        <family val="2"/>
      </rPr>
      <t>27-Dec-
2021</t>
    </r>
  </si>
  <si>
    <r>
      <rPr>
        <sz val="10"/>
        <rFont val="Arial"/>
        <family val="2"/>
      </rPr>
      <t>UPI/13608 4749572/B
6 plot defence/vik rantmalik8 50/H</t>
    </r>
  </si>
  <si>
    <r>
      <rPr>
        <sz val="10"/>
        <rFont val="Arial"/>
        <family val="2"/>
      </rPr>
      <t>28-Dec-
2021</t>
    </r>
  </si>
  <si>
    <r>
      <rPr>
        <sz val="10"/>
        <rFont val="Arial"/>
        <family val="2"/>
      </rPr>
      <t>RTGS- UBINR220 211228016
43697- RAVI MALIK SON OF SOM</t>
    </r>
  </si>
  <si>
    <r>
      <rPr>
        <sz val="10"/>
        <rFont val="Arial"/>
        <family val="2"/>
      </rPr>
      <t>1003147.9
0</t>
    </r>
  </si>
  <si>
    <r>
      <rPr>
        <sz val="10"/>
        <rFont val="Arial"/>
        <family val="2"/>
      </rPr>
      <t>30-Dec-
2021</t>
    </r>
  </si>
  <si>
    <r>
      <rPr>
        <sz val="10"/>
        <rFont val="Arial"/>
        <family val="2"/>
      </rPr>
      <t>UPI/13641 8730152/Bi
rpal singh/birpal singh8145/ Stat</t>
    </r>
  </si>
  <si>
    <r>
      <rPr>
        <sz val="10"/>
        <rFont val="Arial"/>
        <family val="2"/>
      </rPr>
      <t>UPI/13646 0974763/P
ayment from Ph/821842
8973@ybl/ St</t>
    </r>
  </si>
  <si>
    <r>
      <rPr>
        <sz val="10"/>
        <rFont val="Arial"/>
        <family val="2"/>
      </rPr>
      <t>1023647.9
0</t>
    </r>
  </si>
  <si>
    <r>
      <rPr>
        <sz val="10"/>
        <rFont val="Arial"/>
        <family val="2"/>
      </rPr>
      <t>03-Jan-
2022</t>
    </r>
  </si>
  <si>
    <r>
      <rPr>
        <sz val="10"/>
        <rFont val="Arial"/>
        <family val="2"/>
      </rPr>
      <t>MMT/IMPS
/20031545
9393/salar y/MANISH
saga/PUN B007290</t>
    </r>
  </si>
  <si>
    <r>
      <rPr>
        <sz val="10"/>
        <rFont val="Arial"/>
        <family val="2"/>
      </rPr>
      <t>1003647.9
0</t>
    </r>
  </si>
  <si>
    <r>
      <rPr>
        <sz val="10"/>
        <rFont val="Arial"/>
        <family val="2"/>
      </rPr>
      <t>MMT/IMPS
/20031546
2701/salar y/AMITyad av
/HDFC000 065</t>
    </r>
  </si>
  <si>
    <r>
      <rPr>
        <sz val="10"/>
        <rFont val="Arial"/>
        <family val="2"/>
      </rPr>
      <t>06-Jan-
2022</t>
    </r>
  </si>
  <si>
    <r>
      <rPr>
        <sz val="10"/>
        <rFont val="Arial"/>
        <family val="2"/>
      </rPr>
      <t>MMT/IMPS
/20061415
5566/salar y/AMITgdT OMA/PUN B000420</t>
    </r>
  </si>
  <si>
    <r>
      <rPr>
        <sz val="10"/>
        <rFont val="Arial"/>
        <family val="2"/>
      </rPr>
      <t>MMT/IMPS
/20061943
8418/selfie/ rahulCHAU D/HDFC00 0435</t>
    </r>
  </si>
  <si>
    <r>
      <rPr>
        <sz val="10"/>
        <rFont val="Arial"/>
        <family val="2"/>
      </rPr>
      <t>09-Jan-
2022</t>
    </r>
  </si>
  <si>
    <r>
      <rPr>
        <sz val="10"/>
        <rFont val="Arial"/>
        <family val="2"/>
      </rPr>
      <t>10-Jan-
2022</t>
    </r>
  </si>
  <si>
    <r>
      <rPr>
        <sz val="10"/>
        <rFont val="Arial"/>
        <family val="2"/>
      </rPr>
      <t>UPI/20091 3509074/A
5 plot - Shaml/987 3077782@
payt/I</t>
    </r>
  </si>
  <si>
    <r>
      <rPr>
        <sz val="10"/>
        <rFont val="Arial"/>
        <family val="2"/>
      </rPr>
      <t>CLG/CHE QUE/2166 77/PNB/28.
12.2021</t>
    </r>
  </si>
  <si>
    <r>
      <rPr>
        <sz val="10"/>
        <rFont val="Arial"/>
        <family val="2"/>
      </rPr>
      <t>UPI/20104 8731195/C
ommercial/ 987307778
2@payt/ICI CI</t>
    </r>
  </si>
  <si>
    <r>
      <rPr>
        <sz val="10"/>
        <rFont val="Arial"/>
        <family val="2"/>
      </rPr>
      <t>UPI/20104 2449704/P
ayment from Ph/992721
0730@ybl/ Pu</t>
    </r>
  </si>
  <si>
    <r>
      <rPr>
        <sz val="10"/>
        <rFont val="Arial"/>
        <family val="2"/>
      </rPr>
      <t>CLG/INUS H ALI/43744 6/PNB/04.0
1.2022</t>
    </r>
  </si>
  <si>
    <r>
      <rPr>
        <sz val="10"/>
        <rFont val="Arial"/>
        <family val="2"/>
      </rPr>
      <t>1454147.9
0</t>
    </r>
  </si>
  <si>
    <r>
      <rPr>
        <sz val="10"/>
        <rFont val="Arial"/>
        <family val="2"/>
      </rPr>
      <t>CLG/SHAL AU DIN/49171 8/PNB/04.0
1.2022</t>
    </r>
  </si>
  <si>
    <r>
      <rPr>
        <sz val="10"/>
        <rFont val="Arial"/>
        <family val="2"/>
      </rPr>
      <t>1974147.9
0</t>
    </r>
  </si>
  <si>
    <r>
      <rPr>
        <sz val="10"/>
        <rFont val="Arial"/>
        <family val="2"/>
      </rPr>
      <t>1424147.9
0</t>
    </r>
  </si>
  <si>
    <r>
      <rPr>
        <sz val="10"/>
        <rFont val="Arial"/>
        <family val="2"/>
      </rPr>
      <t>11-Jan-
2022</t>
    </r>
  </si>
  <si>
    <r>
      <rPr>
        <sz val="10"/>
        <rFont val="Arial"/>
        <family val="2"/>
      </rPr>
      <t>INF/INFT/2 597338189
/refundentr ya37
/archanaK UMARIa</t>
    </r>
  </si>
  <si>
    <r>
      <rPr>
        <sz val="10"/>
        <rFont val="Arial"/>
        <family val="2"/>
      </rPr>
      <t>1224147.9
0</t>
    </r>
  </si>
  <si>
    <r>
      <rPr>
        <sz val="10"/>
        <rFont val="Arial"/>
        <family val="2"/>
      </rPr>
      <t>12-Jan-
2022</t>
    </r>
  </si>
  <si>
    <r>
      <rPr>
        <sz val="10"/>
        <rFont val="Arial"/>
        <family val="2"/>
      </rPr>
      <t>NEFT- P0122201 47886697- MAHARAJ SINGH-- 855520300
0218</t>
    </r>
  </si>
  <si>
    <r>
      <rPr>
        <sz val="10"/>
        <rFont val="Arial"/>
        <family val="2"/>
      </rPr>
      <t>1524147.9
0</t>
    </r>
  </si>
  <si>
    <r>
      <rPr>
        <sz val="10"/>
        <rFont val="Arial"/>
        <family val="2"/>
      </rPr>
      <t>13-Jan-
2022</t>
    </r>
  </si>
  <si>
    <r>
      <rPr>
        <sz val="10"/>
        <rFont val="Arial"/>
        <family val="2"/>
      </rPr>
      <t>INF/INFT/2 600687654
/salary
/kuldeepici ci</t>
    </r>
  </si>
  <si>
    <r>
      <rPr>
        <sz val="10"/>
        <rFont val="Arial"/>
        <family val="2"/>
      </rPr>
      <t>1294147.9
0</t>
    </r>
  </si>
  <si>
    <r>
      <rPr>
        <sz val="10"/>
        <rFont val="Arial"/>
        <family val="2"/>
      </rPr>
      <t>MMT/IMPS
/20132139
7887/salar y/sumiti
/PUNB052 281</t>
    </r>
  </si>
  <si>
    <r>
      <rPr>
        <sz val="10"/>
        <rFont val="Arial"/>
        <family val="2"/>
      </rPr>
      <t>1194147.9
0</t>
    </r>
  </si>
  <si>
    <r>
      <rPr>
        <sz val="10"/>
        <rFont val="Arial"/>
        <family val="2"/>
      </rPr>
      <t>15-Jan-
2022</t>
    </r>
  </si>
  <si>
    <r>
      <rPr>
        <sz val="10"/>
        <rFont val="Arial"/>
        <family val="2"/>
      </rPr>
      <t>CLG/ASSH U TYAGI/770 760/PNB/1
3.01.2022</t>
    </r>
  </si>
  <si>
    <r>
      <rPr>
        <sz val="10"/>
        <rFont val="Arial"/>
        <family val="2"/>
      </rPr>
      <t>1394147.9
0</t>
    </r>
  </si>
  <si>
    <r>
      <rPr>
        <sz val="10"/>
        <rFont val="Arial"/>
        <family val="2"/>
      </rPr>
      <t>RTGS- PUNBR52 022011518
477373- SHALAU DIN S/O WASIDH-</t>
    </r>
  </si>
  <si>
    <r>
      <rPr>
        <sz val="10"/>
        <rFont val="Arial"/>
        <family val="2"/>
      </rPr>
      <t>1914147.9
0</t>
    </r>
  </si>
  <si>
    <r>
      <rPr>
        <sz val="10"/>
        <rFont val="Arial"/>
        <family val="2"/>
      </rPr>
      <t>17-Jan-
2022</t>
    </r>
  </si>
  <si>
    <r>
      <rPr>
        <sz val="10"/>
        <rFont val="Arial"/>
        <family val="2"/>
      </rPr>
      <t>CLG/MAH ENDRA SINGH/229 337/CAB/0
9.01.2022</t>
    </r>
  </si>
  <si>
    <r>
      <rPr>
        <sz val="10"/>
        <rFont val="Arial"/>
        <family val="2"/>
      </rPr>
      <t>2821147.9
0</t>
    </r>
  </si>
  <si>
    <r>
      <rPr>
        <sz val="10"/>
        <rFont val="Arial"/>
        <family val="2"/>
      </rPr>
      <t>18-Jan-
2022</t>
    </r>
  </si>
  <si>
    <r>
      <rPr>
        <sz val="10"/>
        <rFont val="Arial"/>
        <family val="2"/>
      </rPr>
      <t>CLG/SATV EER SINGH/239 317/SBI/12
.01.2022</t>
    </r>
  </si>
  <si>
    <r>
      <rPr>
        <sz val="10"/>
        <rFont val="Arial"/>
        <family val="2"/>
      </rPr>
      <t>2921147.9
0</t>
    </r>
  </si>
  <si>
    <r>
      <rPr>
        <sz val="10"/>
        <rFont val="Arial"/>
        <family val="2"/>
      </rPr>
      <t>UPI/20181 6953132/D
efiance Garden/96 34249184
@upi/Pu</t>
    </r>
  </si>
  <si>
    <r>
      <rPr>
        <sz val="10"/>
        <rFont val="Arial"/>
        <family val="2"/>
      </rPr>
      <t>2929147.9
0</t>
    </r>
  </si>
  <si>
    <r>
      <rPr>
        <sz val="10"/>
        <rFont val="Arial"/>
        <family val="2"/>
      </rPr>
      <t>19-Jan-
2022</t>
    </r>
  </si>
  <si>
    <r>
      <rPr>
        <sz val="10"/>
        <rFont val="Arial"/>
        <family val="2"/>
      </rPr>
      <t>MMT/IMPS
/20191452
7875/b22re turnentry/R ATESHku
ma/SB</t>
    </r>
  </si>
  <si>
    <r>
      <rPr>
        <sz val="10"/>
        <rFont val="Arial"/>
        <family val="2"/>
      </rPr>
      <t>2899147.9
0</t>
    </r>
  </si>
  <si>
    <r>
      <rPr>
        <sz val="10"/>
        <rFont val="Arial"/>
        <family val="2"/>
      </rPr>
      <t>MMT/IMPS
/20191567
9802/b22re turnentry/R ENUb22
/SB</t>
    </r>
  </si>
  <si>
    <r>
      <rPr>
        <sz val="10"/>
        <rFont val="Arial"/>
        <family val="2"/>
      </rPr>
      <t>2729147.9
0</t>
    </r>
  </si>
  <si>
    <r>
      <rPr>
        <sz val="10"/>
        <rFont val="Arial"/>
        <family val="2"/>
      </rPr>
      <t>MMT/IMPS
/20191568
5636/b22re turnentry/A RJUNsingh
/SB</t>
    </r>
  </si>
  <si>
    <r>
      <rPr>
        <sz val="10"/>
        <rFont val="Arial"/>
        <family val="2"/>
      </rPr>
      <t>2684147.9
0</t>
    </r>
  </si>
  <si>
    <r>
      <rPr>
        <sz val="10"/>
        <rFont val="Arial"/>
        <family val="2"/>
      </rPr>
      <t>MMT/IMPS
/20191569
3712/b22re turnentry/H ARBEERsi
n/SB</t>
    </r>
  </si>
  <si>
    <r>
      <rPr>
        <sz val="10"/>
        <rFont val="Arial"/>
        <family val="2"/>
      </rPr>
      <t>2649147.9
0</t>
    </r>
  </si>
  <si>
    <r>
      <rPr>
        <sz val="10"/>
        <rFont val="Arial"/>
        <family val="2"/>
      </rPr>
      <t>MMT/IMPS
/20191841
4750/b22re turnentry/A RJUNsingh
/SB</t>
    </r>
  </si>
  <si>
    <r>
      <rPr>
        <sz val="10"/>
        <rFont val="Arial"/>
        <family val="2"/>
      </rPr>
      <t>2604147.9
0</t>
    </r>
  </si>
  <si>
    <r>
      <rPr>
        <sz val="10"/>
        <rFont val="Arial"/>
        <family val="2"/>
      </rPr>
      <t>20-Jan-
2022</t>
    </r>
  </si>
  <si>
    <r>
      <rPr>
        <sz val="10"/>
        <rFont val="Arial"/>
        <family val="2"/>
      </rPr>
      <t>CLG/DIGP AL SINGH/000 011/BOB/1
6.01.2022</t>
    </r>
  </si>
  <si>
    <r>
      <rPr>
        <sz val="10"/>
        <rFont val="Arial"/>
        <family val="2"/>
      </rPr>
      <t>2804147.9
0</t>
    </r>
  </si>
  <si>
    <r>
      <rPr>
        <sz val="10"/>
        <rFont val="Arial"/>
        <family val="2"/>
      </rPr>
      <t>CLG/PRAV IDRA KUMR/725 932/PNB/1
5.01.2022</t>
    </r>
  </si>
  <si>
    <r>
      <rPr>
        <sz val="10"/>
        <rFont val="Arial"/>
        <family val="2"/>
      </rPr>
      <t>2904147.9
0</t>
    </r>
  </si>
  <si>
    <r>
      <rPr>
        <sz val="10"/>
        <rFont val="Arial"/>
        <family val="2"/>
      </rPr>
      <t>RTGS- SBINR520 220120628
48120- SHIV ONKAR SHARMA- 2005</t>
    </r>
  </si>
  <si>
    <r>
      <rPr>
        <sz val="10"/>
        <rFont val="Arial"/>
        <family val="2"/>
      </rPr>
      <t>3219147.9
0</t>
    </r>
  </si>
  <si>
    <r>
      <rPr>
        <sz val="10"/>
        <rFont val="Arial"/>
        <family val="2"/>
      </rPr>
      <t>CLG/NISH ANT SAROHA/1 33514/AXI/
27.12.2021</t>
    </r>
  </si>
  <si>
    <r>
      <rPr>
        <sz val="10"/>
        <rFont val="Arial"/>
        <family val="2"/>
      </rPr>
      <t>3519147.9
0</t>
    </r>
  </si>
  <si>
    <r>
      <rPr>
        <sz val="10"/>
        <rFont val="Arial"/>
        <family val="2"/>
      </rPr>
      <t>24-Jan-
2022</t>
    </r>
  </si>
  <si>
    <r>
      <rPr>
        <sz val="10"/>
        <rFont val="Arial"/>
        <family val="2"/>
      </rPr>
      <t>UPI/20241 5682842/U
PI/manjitsi ngh.kus/St ate Bank Of</t>
    </r>
  </si>
  <si>
    <r>
      <rPr>
        <sz val="10"/>
        <rFont val="Arial"/>
        <family val="2"/>
      </rPr>
      <t>3230029.9
0</t>
    </r>
  </si>
  <si>
    <r>
      <rPr>
        <sz val="10"/>
        <rFont val="Arial"/>
        <family val="2"/>
      </rPr>
      <t>UPI/20241 6232485/B
ooking amount/97 20866703
@upi/Pun</t>
    </r>
  </si>
  <si>
    <r>
      <rPr>
        <sz val="10"/>
        <rFont val="Arial"/>
        <family val="2"/>
      </rPr>
      <t>3240029.9
0</t>
    </r>
  </si>
  <si>
    <r>
      <rPr>
        <sz val="10"/>
        <rFont val="Arial"/>
        <family val="2"/>
      </rPr>
      <t>28-Jan-
2022</t>
    </r>
  </si>
  <si>
    <r>
      <rPr>
        <sz val="10"/>
        <rFont val="Arial"/>
        <family val="2"/>
      </rPr>
      <t>UPI/20284 2518981/P
ayment from Ph/chauha nrajnish9/S</t>
    </r>
  </si>
  <si>
    <r>
      <rPr>
        <sz val="10"/>
        <rFont val="Arial"/>
        <family val="2"/>
      </rPr>
      <t>3245029.9
0</t>
    </r>
  </si>
  <si>
    <r>
      <rPr>
        <sz val="10"/>
        <rFont val="Arial"/>
        <family val="2"/>
      </rPr>
      <t>UPI/20288 6085009/P
ayment from Ph/chauha nrajnish9/S</t>
    </r>
  </si>
  <si>
    <r>
      <rPr>
        <sz val="10"/>
        <rFont val="Arial"/>
        <family val="2"/>
      </rPr>
      <t>3290029.9
0</t>
    </r>
  </si>
  <si>
    <r>
      <rPr>
        <sz val="10"/>
        <rFont val="Arial"/>
        <family val="2"/>
      </rPr>
      <t>29-Jan-
2022</t>
    </r>
  </si>
  <si>
    <r>
      <rPr>
        <sz val="10"/>
        <rFont val="Arial"/>
        <family val="2"/>
      </rPr>
      <t>2484029.9
0</t>
    </r>
  </si>
  <si>
    <r>
      <rPr>
        <sz val="10"/>
        <rFont val="Arial"/>
        <family val="2"/>
      </rPr>
      <t>2178029.9
0</t>
    </r>
  </si>
  <si>
    <r>
      <rPr>
        <sz val="10"/>
        <rFont val="Arial"/>
        <family val="2"/>
      </rPr>
      <t>30-Jan-
2022</t>
    </r>
  </si>
  <si>
    <r>
      <rPr>
        <sz val="10"/>
        <rFont val="Arial"/>
        <family val="2"/>
      </rPr>
      <t>31-Jan-
2022</t>
    </r>
  </si>
  <si>
    <r>
      <rPr>
        <sz val="10"/>
        <rFont val="Arial"/>
        <family val="2"/>
      </rPr>
      <t>UPI/20302 8261763/P
ayment from Ph/991106
6430@ybl/ HD</t>
    </r>
  </si>
  <si>
    <r>
      <rPr>
        <sz val="10"/>
        <rFont val="Arial"/>
        <family val="2"/>
      </rPr>
      <t>2183029.9
0</t>
    </r>
  </si>
  <si>
    <r>
      <rPr>
        <sz val="10"/>
        <rFont val="Arial"/>
        <family val="2"/>
      </rPr>
      <t>NEFT- 000470042
947- RAJKUMA R-
/URGENT/- 536402030
00011</t>
    </r>
  </si>
  <si>
    <r>
      <rPr>
        <sz val="10"/>
        <rFont val="Arial"/>
        <family val="2"/>
      </rPr>
      <t>2283029.9
0</t>
    </r>
  </si>
  <si>
    <r>
      <rPr>
        <sz val="10"/>
        <rFont val="Arial"/>
        <family val="2"/>
      </rPr>
      <t>01-Feb-
2022</t>
    </r>
  </si>
  <si>
    <r>
      <rPr>
        <sz val="10"/>
        <rFont val="Arial"/>
        <family val="2"/>
      </rPr>
      <t>CLG/CHA RAN SINGH/187 989/PNB/2
8.01.2022</t>
    </r>
  </si>
  <si>
    <r>
      <rPr>
        <sz val="10"/>
        <rFont val="Arial"/>
        <family val="2"/>
      </rPr>
      <t>2674029.9
0</t>
    </r>
  </si>
  <si>
    <r>
      <rPr>
        <sz val="10"/>
        <rFont val="Arial"/>
        <family val="2"/>
      </rPr>
      <t>04-Feb-
2022</t>
    </r>
  </si>
  <si>
    <r>
      <rPr>
        <sz val="10"/>
        <rFont val="Arial"/>
        <family val="2"/>
      </rPr>
      <t>CLG/SHIV KUMAR/01 3406/SBI/2
8.01.2022</t>
    </r>
  </si>
  <si>
    <r>
      <rPr>
        <sz val="10"/>
        <rFont val="Arial"/>
        <family val="2"/>
      </rPr>
      <t>2102029.9
0</t>
    </r>
  </si>
  <si>
    <r>
      <rPr>
        <sz val="10"/>
        <rFont val="Arial"/>
        <family val="2"/>
      </rPr>
      <t>05-Feb-
2022</t>
    </r>
  </si>
  <si>
    <r>
      <rPr>
        <sz val="10"/>
        <rFont val="Arial"/>
        <family val="2"/>
      </rPr>
      <t>UPI/20365 5351087/N
A/shauryas harma@p/ Bank of India/</t>
    </r>
  </si>
  <si>
    <r>
      <rPr>
        <sz val="10"/>
        <rFont val="Arial"/>
        <family val="2"/>
      </rPr>
      <t>2112029.9
0</t>
    </r>
  </si>
  <si>
    <r>
      <rPr>
        <sz val="10"/>
        <rFont val="Arial"/>
        <family val="2"/>
      </rPr>
      <t>06-Feb-
2022</t>
    </r>
  </si>
  <si>
    <r>
      <rPr>
        <sz val="10"/>
        <rFont val="Arial"/>
        <family val="2"/>
      </rPr>
      <t>07-Feb-
2022</t>
    </r>
  </si>
  <si>
    <r>
      <rPr>
        <sz val="10"/>
        <rFont val="Arial"/>
        <family val="2"/>
      </rPr>
      <t>UPI/20371 2794911/k
uldeep/ravi kumar8273 63/State Ban</t>
    </r>
  </si>
  <si>
    <r>
      <rPr>
        <sz val="10"/>
        <rFont val="Arial"/>
        <family val="2"/>
      </rPr>
      <t>2142029.9
0</t>
    </r>
  </si>
  <si>
    <r>
      <rPr>
        <sz val="10"/>
        <rFont val="Arial"/>
        <family val="2"/>
      </rPr>
      <t>UPI/20371 3892421/k
uldeep/ravi kumar8273 63/State Ban</t>
    </r>
  </si>
  <si>
    <r>
      <rPr>
        <sz val="10"/>
        <rFont val="Arial"/>
        <family val="2"/>
      </rPr>
      <t>2182029.9
0</t>
    </r>
  </si>
  <si>
    <r>
      <rPr>
        <sz val="10"/>
        <rFont val="Arial"/>
        <family val="2"/>
      </rPr>
      <t>UPI/20371 3924693/k
uldeep/ravi kumar8273 63/State Ban</t>
    </r>
  </si>
  <si>
    <r>
      <rPr>
        <sz val="10"/>
        <rFont val="Arial"/>
        <family val="2"/>
      </rPr>
      <t>2212029.9
0</t>
    </r>
  </si>
  <si>
    <r>
      <rPr>
        <sz val="10"/>
        <rFont val="Arial"/>
        <family val="2"/>
      </rPr>
      <t>MMT/IMPS
/20371361 6484/MOB LT0602135 892/VINAY KUMA/S</t>
    </r>
  </si>
  <si>
    <r>
      <rPr>
        <sz val="10"/>
        <rFont val="Arial"/>
        <family val="2"/>
      </rPr>
      <t>2212030.9
0</t>
    </r>
  </si>
  <si>
    <r>
      <rPr>
        <sz val="10"/>
        <rFont val="Arial"/>
        <family val="2"/>
      </rPr>
      <t>INF/INFT/0 262607894
91/salary
/kuldeepici ci</t>
    </r>
  </si>
  <si>
    <r>
      <rPr>
        <sz val="10"/>
        <rFont val="Arial"/>
        <family val="2"/>
      </rPr>
      <t>2062030.9
0</t>
    </r>
  </si>
  <si>
    <r>
      <rPr>
        <sz val="10"/>
        <rFont val="Arial"/>
        <family val="2"/>
      </rPr>
      <t>MMT/IMPS
/20381237
1592/salar y/AMITyad av
/HDFC000 065</t>
    </r>
  </si>
  <si>
    <r>
      <rPr>
        <sz val="10"/>
        <rFont val="Arial"/>
        <family val="2"/>
      </rPr>
      <t>2042030.9
0</t>
    </r>
  </si>
  <si>
    <r>
      <rPr>
        <sz val="10"/>
        <rFont val="Arial"/>
        <family val="2"/>
      </rPr>
      <t>MMT/IMPS
/20381463 9111/MOB LT0702141 971/VINAY KUMA/S</t>
    </r>
  </si>
  <si>
    <r>
      <rPr>
        <sz val="10"/>
        <rFont val="Arial"/>
        <family val="2"/>
      </rPr>
      <t>2141030.9
0</t>
    </r>
  </si>
  <si>
    <r>
      <rPr>
        <sz val="10"/>
        <rFont val="Arial"/>
        <family val="2"/>
      </rPr>
      <t>UPI/20388 4629700/P
ayment from Ph/964348
4920@ibl/ St</t>
    </r>
  </si>
  <si>
    <r>
      <rPr>
        <sz val="10"/>
        <rFont val="Arial"/>
        <family val="2"/>
      </rPr>
      <t>2241030.9
0</t>
    </r>
  </si>
  <si>
    <r>
      <rPr>
        <sz val="10"/>
        <rFont val="Arial"/>
        <family val="2"/>
      </rPr>
      <t>08-Feb-
2022</t>
    </r>
  </si>
  <si>
    <r>
      <rPr>
        <sz val="10"/>
        <rFont val="Arial"/>
        <family val="2"/>
      </rPr>
      <t>UPI/20391 2371686/k
uldeep/ravi kumar8273 63/State Ban</t>
    </r>
  </si>
  <si>
    <r>
      <rPr>
        <sz val="10"/>
        <rFont val="Arial"/>
        <family val="2"/>
      </rPr>
      <t>2271030.9
0</t>
    </r>
  </si>
  <si>
    <r>
      <rPr>
        <sz val="10"/>
        <rFont val="Arial"/>
        <family val="2"/>
      </rPr>
      <t>UPI/20391 2399377/k
uldeep/ravi kumar8273 63/State Ban</t>
    </r>
  </si>
  <si>
    <r>
      <rPr>
        <sz val="10"/>
        <rFont val="Arial"/>
        <family val="2"/>
      </rPr>
      <t>2311030.9
0</t>
    </r>
  </si>
  <si>
    <r>
      <rPr>
        <sz val="10"/>
        <rFont val="Arial"/>
        <family val="2"/>
      </rPr>
      <t>UPI/20391 2427312/k
uldeep/ravi kumar8273 63/State Ban</t>
    </r>
  </si>
  <si>
    <r>
      <rPr>
        <sz val="10"/>
        <rFont val="Arial"/>
        <family val="2"/>
      </rPr>
      <t>2341030.9
0</t>
    </r>
  </si>
  <si>
    <r>
      <rPr>
        <sz val="10"/>
        <rFont val="Arial"/>
        <family val="2"/>
      </rPr>
      <t>UPI/20395 3724231/P
ayment from Ph/941075
6235@ybl/ St</t>
    </r>
  </si>
  <si>
    <r>
      <rPr>
        <sz val="10"/>
        <rFont val="Arial"/>
        <family val="2"/>
      </rPr>
      <t>2421030.9
0</t>
    </r>
  </si>
  <si>
    <r>
      <rPr>
        <sz val="10"/>
        <rFont val="Arial"/>
        <family val="2"/>
      </rPr>
      <t>UPI/20390 7320428/P
ayment from Ph/964348
4920@ibl/ St</t>
    </r>
  </si>
  <si>
    <r>
      <rPr>
        <sz val="10"/>
        <rFont val="Arial"/>
        <family val="2"/>
      </rPr>
      <t>2472030.9
0</t>
    </r>
  </si>
  <si>
    <r>
      <rPr>
        <sz val="10"/>
        <rFont val="Arial"/>
        <family val="2"/>
      </rPr>
      <t>09-Feb-
2022</t>
    </r>
  </si>
  <si>
    <r>
      <rPr>
        <sz val="10"/>
        <rFont val="Arial"/>
        <family val="2"/>
      </rPr>
      <t>CLG/KRIS HAN PAL/00003 0/HDF/02.0
2.2022</t>
    </r>
  </si>
  <si>
    <r>
      <rPr>
        <sz val="10"/>
        <rFont val="Arial"/>
        <family val="2"/>
      </rPr>
      <t>2672030.9
0</t>
    </r>
  </si>
  <si>
    <r>
      <rPr>
        <sz val="10"/>
        <rFont val="Arial"/>
        <family val="2"/>
      </rPr>
      <t>UPI/20409 2256245/P
ayment from Ph/chauha nrajnish9/S</t>
    </r>
  </si>
  <si>
    <r>
      <rPr>
        <sz val="10"/>
        <rFont val="Arial"/>
        <family val="2"/>
      </rPr>
      <t>2722030.9
0</t>
    </r>
  </si>
  <si>
    <r>
      <rPr>
        <sz val="10"/>
        <rFont val="Arial"/>
        <family val="2"/>
      </rPr>
      <t>UPI/20408 8517347/P
ayment from Ph/891742
6408@ybl/ St</t>
    </r>
  </si>
  <si>
    <r>
      <rPr>
        <sz val="10"/>
        <rFont val="Arial"/>
        <family val="2"/>
      </rPr>
      <t>2772030.9
0</t>
    </r>
  </si>
  <si>
    <r>
      <rPr>
        <sz val="10"/>
        <rFont val="Arial"/>
        <family val="2"/>
      </rPr>
      <t>2797030.9
0</t>
    </r>
  </si>
  <si>
    <r>
      <rPr>
        <sz val="10"/>
        <rFont val="Arial"/>
        <family val="2"/>
      </rPr>
      <t>UPI/20400 7189343/P
ayment from Ph/891742
6408@ybl/ St</t>
    </r>
  </si>
  <si>
    <r>
      <rPr>
        <sz val="10"/>
        <rFont val="Arial"/>
        <family val="2"/>
      </rPr>
      <t>2847030.9
0</t>
    </r>
  </si>
  <si>
    <r>
      <rPr>
        <sz val="10"/>
        <rFont val="Arial"/>
        <family val="2"/>
      </rPr>
      <t>NEFT- SBIN52204 0171954- JYOTI DEVI-
/ATTN//INB
-0000</t>
    </r>
  </si>
  <si>
    <r>
      <rPr>
        <sz val="10"/>
        <rFont val="Arial"/>
        <family val="2"/>
      </rPr>
      <t>2872030.9
0</t>
    </r>
  </si>
  <si>
    <r>
      <rPr>
        <sz val="10"/>
        <rFont val="Arial"/>
        <family val="2"/>
      </rPr>
      <t>12-Feb-
2022</t>
    </r>
  </si>
  <si>
    <r>
      <rPr>
        <sz val="10"/>
        <rFont val="Arial"/>
        <family val="2"/>
      </rPr>
      <t>14-Feb-
2022</t>
    </r>
  </si>
  <si>
    <r>
      <rPr>
        <sz val="10"/>
        <rFont val="Arial"/>
        <family val="2"/>
      </rPr>
      <t>MMT/IMPS
/20432100
1867/salar y/sumiti
/PUNB052 281</t>
    </r>
  </si>
  <si>
    <r>
      <rPr>
        <sz val="10"/>
        <rFont val="Arial"/>
        <family val="2"/>
      </rPr>
      <t>2558530.9
0</t>
    </r>
  </si>
  <si>
    <r>
      <rPr>
        <sz val="10"/>
        <rFont val="Arial"/>
        <family val="2"/>
      </rPr>
      <t>MMT/IMPS
/20431949
3127/salar y/rahulCHA UD/HDFC0 00435</t>
    </r>
  </si>
  <si>
    <r>
      <rPr>
        <sz val="10"/>
        <rFont val="Arial"/>
        <family val="2"/>
      </rPr>
      <t>2528530.9
0</t>
    </r>
  </si>
  <si>
    <r>
      <rPr>
        <sz val="10"/>
        <rFont val="Arial"/>
        <family val="2"/>
      </rPr>
      <t>13-Feb-
2022</t>
    </r>
  </si>
  <si>
    <r>
      <rPr>
        <sz val="10"/>
        <rFont val="Arial"/>
        <family val="2"/>
      </rPr>
      <t>UPI/20444 4378095/P
ayment from Ph/812618
7022@axl/ St</t>
    </r>
  </si>
  <si>
    <r>
      <rPr>
        <sz val="10"/>
        <rFont val="Arial"/>
        <family val="2"/>
      </rPr>
      <t>2533530.9
0</t>
    </r>
  </si>
  <si>
    <r>
      <rPr>
        <sz val="10"/>
        <rFont val="Arial"/>
        <family val="2"/>
      </rPr>
      <t>RTGS/ICIC R4202202 140052629
0/UTIB000
1110/Indu Shar</t>
    </r>
  </si>
  <si>
    <r>
      <rPr>
        <sz val="10"/>
        <rFont val="Arial"/>
        <family val="2"/>
      </rPr>
      <t>2499029.9
0</t>
    </r>
  </si>
  <si>
    <r>
      <rPr>
        <sz val="10"/>
        <rFont val="Arial"/>
        <family val="2"/>
      </rPr>
      <t>17-Feb-
2022</t>
    </r>
  </si>
  <si>
    <r>
      <rPr>
        <sz val="10"/>
        <rFont val="Arial"/>
        <family val="2"/>
      </rPr>
      <t>UPI/20485 5971430/P
ayment from Ph/639538
4861@ybl/ Ai</t>
    </r>
  </si>
  <si>
    <r>
      <rPr>
        <sz val="10"/>
        <rFont val="Arial"/>
        <family val="2"/>
      </rPr>
      <t>2133411.9
0</t>
    </r>
  </si>
  <si>
    <r>
      <rPr>
        <sz val="10"/>
        <rFont val="Arial"/>
        <family val="2"/>
      </rPr>
      <t>MMT/IMPS
/20481810 8592/PRIY ANKA . to SHRI GANES</t>
    </r>
  </si>
  <si>
    <r>
      <rPr>
        <sz val="10"/>
        <rFont val="Arial"/>
        <family val="2"/>
      </rPr>
      <t>2138411.9
0</t>
    </r>
  </si>
  <si>
    <r>
      <rPr>
        <sz val="10"/>
        <rFont val="Arial"/>
        <family val="2"/>
      </rPr>
      <t>18-Feb-
2022</t>
    </r>
  </si>
  <si>
    <r>
      <rPr>
        <sz val="10"/>
        <rFont val="Arial"/>
        <family val="2"/>
      </rPr>
      <t>CLG/APPE KSHA/556 884/SBI/17
.02.2022</t>
    </r>
  </si>
  <si>
    <r>
      <rPr>
        <sz val="10"/>
        <rFont val="Arial"/>
        <family val="2"/>
      </rPr>
      <t>2483411.9
0</t>
    </r>
  </si>
  <si>
    <r>
      <rPr>
        <sz val="10"/>
        <rFont val="Arial"/>
        <family val="2"/>
      </rPr>
      <t>21-Feb-
2022</t>
    </r>
  </si>
  <si>
    <r>
      <rPr>
        <sz val="10"/>
        <rFont val="Arial"/>
        <family val="2"/>
      </rPr>
      <t>2683411.9
0</t>
    </r>
  </si>
  <si>
    <r>
      <rPr>
        <sz val="10"/>
        <rFont val="Arial"/>
        <family val="2"/>
      </rPr>
      <t>CLG/SHIV RAJ/17066 4/SBI/18.0
2.2022</t>
    </r>
  </si>
  <si>
    <r>
      <rPr>
        <sz val="10"/>
        <rFont val="Arial"/>
        <family val="2"/>
      </rPr>
      <t>3083411.9
0</t>
    </r>
  </si>
  <si>
    <r>
      <rPr>
        <sz val="10"/>
        <rFont val="Arial"/>
        <family val="2"/>
      </rPr>
      <t>CLG/SHIV RAJ/17066 5/SBI/18.0
2.2022</t>
    </r>
  </si>
  <si>
    <r>
      <rPr>
        <sz val="10"/>
        <rFont val="Arial"/>
        <family val="2"/>
      </rPr>
      <t>3483411.9
0</t>
    </r>
  </si>
  <si>
    <r>
      <rPr>
        <sz val="10"/>
        <rFont val="Arial"/>
        <family val="2"/>
      </rPr>
      <t>UPI/20522 0993994/U
PI/sharmaa nkit9019/P unjab Nation</t>
    </r>
  </si>
  <si>
    <r>
      <rPr>
        <sz val="10"/>
        <rFont val="Arial"/>
        <family val="2"/>
      </rPr>
      <t>3486411.9
0</t>
    </r>
  </si>
  <si>
    <r>
      <rPr>
        <sz val="10"/>
        <rFont val="Arial"/>
        <family val="2"/>
      </rPr>
      <t>UPI/20522 1021044/U
PI/sharmaa nkit9019/P unjab Nation</t>
    </r>
  </si>
  <si>
    <r>
      <rPr>
        <sz val="10"/>
        <rFont val="Arial"/>
        <family val="2"/>
      </rPr>
      <t>3488511.9
0</t>
    </r>
  </si>
  <si>
    <r>
      <rPr>
        <sz val="10"/>
        <rFont val="Arial"/>
        <family val="2"/>
      </rPr>
      <t>22-Feb-
2022</t>
    </r>
  </si>
  <si>
    <r>
      <rPr>
        <sz val="10"/>
        <rFont val="Arial"/>
        <family val="2"/>
      </rPr>
      <t>RTGS- PUNBR52 022022219
691015- KASAM ALI  SO RUSTAM-0</t>
    </r>
  </si>
  <si>
    <r>
      <rPr>
        <sz val="10"/>
        <rFont val="Arial"/>
        <family val="2"/>
      </rPr>
      <t>4088511.9
0</t>
    </r>
  </si>
  <si>
    <r>
      <rPr>
        <sz val="10"/>
        <rFont val="Arial"/>
        <family val="2"/>
      </rPr>
      <t>RTGS- PUNBR52 022022219
681727- KASAM ALI  SO RUSTAM-0</t>
    </r>
  </si>
  <si>
    <r>
      <rPr>
        <sz val="10"/>
        <rFont val="Arial"/>
        <family val="2"/>
      </rPr>
      <t>4588511.9
0</t>
    </r>
  </si>
  <si>
    <r>
      <rPr>
        <sz val="10"/>
        <rFont val="Arial"/>
        <family val="2"/>
      </rPr>
      <t>NEFT- PUNBH22 053611901
-KASAM ALI  SO RUSTAM-- 026620</t>
    </r>
  </si>
  <si>
    <r>
      <rPr>
        <sz val="10"/>
        <rFont val="Arial"/>
        <family val="2"/>
      </rPr>
      <t>4988511.9
0</t>
    </r>
  </si>
  <si>
    <r>
      <rPr>
        <sz val="10"/>
        <rFont val="Arial"/>
        <family val="2"/>
      </rPr>
      <t>23-Feb-
2022</t>
    </r>
  </si>
  <si>
    <r>
      <rPr>
        <sz val="10"/>
        <rFont val="Arial"/>
        <family val="2"/>
      </rPr>
      <t>CLG/BRIJ BIR SINGH/038 450/INB/18
.02.2022</t>
    </r>
  </si>
  <si>
    <r>
      <rPr>
        <sz val="10"/>
        <rFont val="Arial"/>
        <family val="2"/>
      </rPr>
      <t>5288511.9
0</t>
    </r>
  </si>
  <si>
    <r>
      <rPr>
        <sz val="10"/>
        <rFont val="Arial"/>
        <family val="2"/>
      </rPr>
      <t>CLG/PAW AN KUMAR/00 0038/HDF/
21.02.2022</t>
    </r>
  </si>
  <si>
    <r>
      <rPr>
        <sz val="10"/>
        <rFont val="Arial"/>
        <family val="2"/>
      </rPr>
      <t>5488511.9
0</t>
    </r>
  </si>
  <si>
    <r>
      <rPr>
        <sz val="10"/>
        <rFont val="Arial"/>
        <family val="2"/>
      </rPr>
      <t>5188511.9
0</t>
    </r>
  </si>
  <si>
    <r>
      <rPr>
        <sz val="10"/>
        <rFont val="Arial"/>
        <family val="2"/>
      </rPr>
      <t>25-Feb-
2022</t>
    </r>
  </si>
  <si>
    <r>
      <rPr>
        <sz val="10"/>
        <rFont val="Arial"/>
        <family val="2"/>
      </rPr>
      <t>UPI/20562 3364232/P
ayment from Ph/salinder singh40/P</t>
    </r>
  </si>
  <si>
    <r>
      <rPr>
        <sz val="10"/>
        <rFont val="Arial"/>
        <family val="2"/>
      </rPr>
      <t>3417111.9
0</t>
    </r>
  </si>
  <si>
    <r>
      <rPr>
        <sz val="10"/>
        <rFont val="Arial"/>
        <family val="2"/>
      </rPr>
      <t>02-Mar-
2022</t>
    </r>
  </si>
  <si>
    <r>
      <rPr>
        <sz val="10"/>
        <rFont val="Arial"/>
        <family val="2"/>
      </rPr>
      <t>RTGS- PUNBR52 022030219
931372- KRISHANP AL SHORAN- 0431</t>
    </r>
  </si>
  <si>
    <r>
      <rPr>
        <sz val="10"/>
        <rFont val="Arial"/>
        <family val="2"/>
      </rPr>
      <t>3786111.9
0</t>
    </r>
  </si>
  <si>
    <r>
      <rPr>
        <sz val="10"/>
        <rFont val="Arial"/>
        <family val="2"/>
      </rPr>
      <t>RTGS- UPCBR52 022030200
137490- VINAY KUMAR GUPTA- 0029</t>
    </r>
  </si>
  <si>
    <r>
      <rPr>
        <sz val="10"/>
        <rFont val="Arial"/>
        <family val="2"/>
      </rPr>
      <t>4157111.9
0</t>
    </r>
  </si>
  <si>
    <r>
      <rPr>
        <sz val="10"/>
        <rFont val="Arial"/>
        <family val="2"/>
      </rPr>
      <t>RTGS- IDIBR5202 203022730
2385-MR BRIJBIR SINGH- 0000</t>
    </r>
  </si>
  <si>
    <r>
      <rPr>
        <sz val="10"/>
        <rFont val="Arial"/>
        <family val="2"/>
      </rPr>
      <t>4457111.9
0</t>
    </r>
  </si>
  <si>
    <r>
      <rPr>
        <sz val="10"/>
        <rFont val="Arial"/>
        <family val="2"/>
      </rPr>
      <t>MMT/IMPS
/20612091
4411/salar y/MANISH
saga/PUN B007290</t>
    </r>
  </si>
  <si>
    <r>
      <rPr>
        <sz val="10"/>
        <rFont val="Arial"/>
        <family val="2"/>
      </rPr>
      <t>4437111.9
0</t>
    </r>
  </si>
  <si>
    <r>
      <rPr>
        <sz val="10"/>
        <rFont val="Arial"/>
        <family val="2"/>
      </rPr>
      <t>03-Mar-
2022</t>
    </r>
  </si>
  <si>
    <r>
      <rPr>
        <sz val="10"/>
        <rFont val="Arial"/>
        <family val="2"/>
      </rPr>
      <t>RTGS- CNRBR52 022030377
962348- AJAY BINDAL S/O-  GU-2</t>
    </r>
  </si>
  <si>
    <r>
      <rPr>
        <sz val="10"/>
        <rFont val="Arial"/>
        <family val="2"/>
      </rPr>
      <t>4736111.9
0</t>
    </r>
  </si>
  <si>
    <r>
      <rPr>
        <sz val="10"/>
        <rFont val="Arial"/>
        <family val="2"/>
      </rPr>
      <t>MMT/IMPS
/20621982
3208/return entrya1/an kitMalok/S BI</t>
    </r>
  </si>
  <si>
    <r>
      <rPr>
        <sz val="10"/>
        <rFont val="Arial"/>
        <family val="2"/>
      </rPr>
      <t>4731111.9
0</t>
    </r>
  </si>
  <si>
    <r>
      <rPr>
        <sz val="10"/>
        <rFont val="Arial"/>
        <family val="2"/>
      </rPr>
      <t>MMT/IMPS
/20621982
7744/salar y/AMITyad av
/HDFC000 065</t>
    </r>
  </si>
  <si>
    <r>
      <rPr>
        <sz val="10"/>
        <rFont val="Arial"/>
        <family val="2"/>
      </rPr>
      <t>4711111.9
0</t>
    </r>
  </si>
  <si>
    <r>
      <rPr>
        <sz val="10"/>
        <rFont val="Arial"/>
        <family val="2"/>
      </rPr>
      <t>04-Mar-
2022</t>
    </r>
  </si>
  <si>
    <r>
      <rPr>
        <sz val="10"/>
        <rFont val="Arial"/>
        <family val="2"/>
      </rPr>
      <t>MMT/IMPS
/20631694
0287/salar y/rahulCHA UD/HDFC0 00435</t>
    </r>
  </si>
  <si>
    <r>
      <rPr>
        <sz val="10"/>
        <rFont val="Arial"/>
        <family val="2"/>
      </rPr>
      <t>4681111.9
0</t>
    </r>
  </si>
  <si>
    <r>
      <rPr>
        <sz val="10"/>
        <rFont val="Arial"/>
        <family val="2"/>
      </rPr>
      <t>RTGS/ICIC R4202203 040054122
2/IOBA000
1615/Shri Gane</t>
    </r>
  </si>
  <si>
    <r>
      <rPr>
        <sz val="10"/>
        <rFont val="Arial"/>
        <family val="2"/>
      </rPr>
      <t>3681111.9
0</t>
    </r>
  </si>
  <si>
    <r>
      <rPr>
        <sz val="10"/>
        <rFont val="Arial"/>
        <family val="2"/>
      </rPr>
      <t>07-Mar-
2022</t>
    </r>
  </si>
  <si>
    <r>
      <rPr>
        <sz val="10"/>
        <rFont val="Arial"/>
        <family val="2"/>
      </rPr>
      <t>RTGS- PUNBR52 022030710
151401- DINESH KUMAR AND SMT A</t>
    </r>
  </si>
  <si>
    <r>
      <rPr>
        <sz val="10"/>
        <rFont val="Arial"/>
        <family val="2"/>
      </rPr>
      <t>4281111.9
0</t>
    </r>
  </si>
  <si>
    <r>
      <rPr>
        <sz val="10"/>
        <rFont val="Arial"/>
        <family val="2"/>
      </rPr>
      <t>08-Mar-
2022</t>
    </r>
  </si>
  <si>
    <r>
      <rPr>
        <sz val="10"/>
        <rFont val="Arial"/>
        <family val="2"/>
      </rPr>
      <t>CLG/CHE QUE/6794 16/PSB/02.
03.2022</t>
    </r>
  </si>
  <si>
    <r>
      <rPr>
        <sz val="10"/>
        <rFont val="Arial"/>
        <family val="2"/>
      </rPr>
      <t>4321111.9
0</t>
    </r>
  </si>
  <si>
    <r>
      <rPr>
        <sz val="10"/>
        <rFont val="Arial"/>
        <family val="2"/>
      </rPr>
      <t>UPI/20673 5574312/P
ayment from Ph/628010
6699@ybl/ St</t>
    </r>
  </si>
  <si>
    <r>
      <rPr>
        <sz val="10"/>
        <rFont val="Arial"/>
        <family val="2"/>
      </rPr>
      <t>4332111.9
0</t>
    </r>
  </si>
  <si>
    <r>
      <rPr>
        <sz val="10"/>
        <rFont val="Arial"/>
        <family val="2"/>
      </rPr>
      <t>CLG/MAM TA DEVI/7096 22/PNB/02.
03.2022</t>
    </r>
  </si>
  <si>
    <r>
      <rPr>
        <sz val="10"/>
        <rFont val="Arial"/>
        <family val="2"/>
      </rPr>
      <t>4632111.9
0</t>
    </r>
  </si>
  <si>
    <r>
      <rPr>
        <sz val="10"/>
        <rFont val="Arial"/>
        <family val="2"/>
      </rPr>
      <t>10-Mar-
2022</t>
    </r>
  </si>
  <si>
    <r>
      <rPr>
        <sz val="10"/>
        <rFont val="Arial"/>
        <family val="2"/>
      </rPr>
      <t>NEFT- PUNBE220 69828643- JITENDRA GIRI-- 937001000
2942</t>
    </r>
  </si>
  <si>
    <r>
      <rPr>
        <sz val="10"/>
        <rFont val="Arial"/>
        <family val="2"/>
      </rPr>
      <t>4932111.9
0</t>
    </r>
  </si>
  <si>
    <r>
      <rPr>
        <sz val="10"/>
        <rFont val="Arial"/>
        <family val="2"/>
      </rPr>
      <t>14-Mar-
2022</t>
    </r>
  </si>
  <si>
    <r>
      <rPr>
        <sz val="10"/>
        <rFont val="Arial"/>
        <family val="2"/>
      </rPr>
      <t>UPI/20738 8473154/P
ayment from Ph/855905
3341@ybl/ St</t>
    </r>
  </si>
  <si>
    <r>
      <rPr>
        <sz val="10"/>
        <rFont val="Arial"/>
        <family val="2"/>
      </rPr>
      <t>6601756.9
0</t>
    </r>
  </si>
  <si>
    <r>
      <rPr>
        <sz val="10"/>
        <rFont val="Arial"/>
        <family val="2"/>
      </rPr>
      <t>MMT/IMPS
/20731503
4125/salar y/ARUNbhi DG
/SBIN0016 60</t>
    </r>
  </si>
  <si>
    <r>
      <rPr>
        <sz val="10"/>
        <rFont val="Arial"/>
        <family val="2"/>
      </rPr>
      <t>6485356.9
0</t>
    </r>
  </si>
  <si>
    <r>
      <rPr>
        <sz val="10"/>
        <rFont val="Arial"/>
        <family val="2"/>
      </rPr>
      <t>15-Mar-
2022</t>
    </r>
  </si>
  <si>
    <r>
      <rPr>
        <sz val="10"/>
        <rFont val="Arial"/>
        <family val="2"/>
      </rPr>
      <t>INF/INFT/0 267318854
31/Balajias sociate/Bal ajiAssoci</t>
    </r>
  </si>
  <si>
    <r>
      <rPr>
        <sz val="10"/>
        <rFont val="Arial"/>
        <family val="2"/>
      </rPr>
      <t>5485356.9
0</t>
    </r>
  </si>
  <si>
    <r>
      <rPr>
        <sz val="10"/>
        <rFont val="Arial"/>
        <family val="2"/>
      </rPr>
      <t>UPI/20742 1534715/N
A/shauryas harma@p/ State Bank Of</t>
    </r>
  </si>
  <si>
    <r>
      <rPr>
        <sz val="10"/>
        <rFont val="Arial"/>
        <family val="2"/>
      </rPr>
      <t>5525356.9
0</t>
    </r>
  </si>
  <si>
    <r>
      <rPr>
        <sz val="10"/>
        <rFont val="Arial"/>
        <family val="2"/>
      </rPr>
      <t>RTGS- PUNBR52 022031510
453541- MAMTA DEVI W/O ARJUN C</t>
    </r>
  </si>
  <si>
    <r>
      <rPr>
        <sz val="10"/>
        <rFont val="Arial"/>
        <family val="2"/>
      </rPr>
      <t>5825356.9
0</t>
    </r>
  </si>
  <si>
    <r>
      <rPr>
        <sz val="10"/>
        <rFont val="Arial"/>
        <family val="2"/>
      </rPr>
      <t>16-Mar-
2022</t>
    </r>
  </si>
  <si>
    <r>
      <rPr>
        <sz val="10"/>
        <rFont val="Arial"/>
        <family val="2"/>
      </rPr>
      <t>CLG/SATP AL SINGH/157 172/PNB/1
2.03.2022</t>
    </r>
  </si>
  <si>
    <r>
      <rPr>
        <sz val="10"/>
        <rFont val="Arial"/>
        <family val="2"/>
      </rPr>
      <t>5925356.9
0</t>
    </r>
  </si>
  <si>
    <r>
      <rPr>
        <sz val="10"/>
        <rFont val="Arial"/>
        <family val="2"/>
      </rPr>
      <t>CLG/ARU N KUMAR/00 0006/HDF/
12.03.2022</t>
    </r>
  </si>
  <si>
    <r>
      <rPr>
        <sz val="10"/>
        <rFont val="Arial"/>
        <family val="2"/>
      </rPr>
      <t>5985356.9
0</t>
    </r>
  </si>
  <si>
    <r>
      <rPr>
        <sz val="10"/>
        <rFont val="Arial"/>
        <family val="2"/>
      </rPr>
      <t>UPI/20754 8980138/U PI/vk96924
-
1@okaxi/A xis Bank Ltd</t>
    </r>
  </si>
  <si>
    <r>
      <rPr>
        <sz val="10"/>
        <rFont val="Arial"/>
        <family val="2"/>
      </rPr>
      <t>5990356.9
0</t>
    </r>
  </si>
  <si>
    <r>
      <rPr>
        <sz val="10"/>
        <rFont val="Arial"/>
        <family val="2"/>
      </rPr>
      <t>UPI/20754 9013006/U PI/vk96924
-
1@okaxi/A xis Bank Ltd</t>
    </r>
  </si>
  <si>
    <r>
      <rPr>
        <sz val="10"/>
        <rFont val="Arial"/>
        <family val="2"/>
      </rPr>
      <t>5995356.9
0</t>
    </r>
  </si>
  <si>
    <r>
      <rPr>
        <sz val="10"/>
        <rFont val="Arial"/>
        <family val="2"/>
      </rPr>
      <t>5935356.9
0</t>
    </r>
  </si>
  <si>
    <r>
      <rPr>
        <sz val="10"/>
        <rFont val="Arial"/>
        <family val="2"/>
      </rPr>
      <t>22-Mar-
2022</t>
    </r>
  </si>
  <si>
    <r>
      <rPr>
        <sz val="10"/>
        <rFont val="Arial"/>
        <family val="2"/>
      </rPr>
      <t>INF/INFT/0 268219096
11/RahulK umarToma r/RAULner malDG</t>
    </r>
  </si>
  <si>
    <r>
      <rPr>
        <sz val="10"/>
        <rFont val="Arial"/>
        <family val="2"/>
      </rPr>
      <t>5805238.9
0</t>
    </r>
  </si>
  <si>
    <r>
      <rPr>
        <sz val="10"/>
        <rFont val="Arial"/>
        <family val="2"/>
      </rPr>
      <t>6187488.9
0</t>
    </r>
  </si>
  <si>
    <r>
      <rPr>
        <sz val="10"/>
        <rFont val="Arial"/>
        <family val="2"/>
      </rPr>
      <t>25-Mar-
2022</t>
    </r>
  </si>
  <si>
    <r>
      <rPr>
        <sz val="10"/>
        <rFont val="Arial"/>
        <family val="2"/>
      </rPr>
      <t>MMT/IMPS
/20841286
8338/salar y/avinashT YA/PUNB0 47160</t>
    </r>
  </si>
  <si>
    <r>
      <rPr>
        <sz val="10"/>
        <rFont val="Arial"/>
        <family val="2"/>
      </rPr>
      <t>5991088.9
0</t>
    </r>
  </si>
  <si>
    <r>
      <rPr>
        <sz val="10"/>
        <rFont val="Arial"/>
        <family val="2"/>
      </rPr>
      <t>MMT/IMPS
/20841287
8779/salar y/AMITgdT OMA/PUN B000420</t>
    </r>
  </si>
  <si>
    <r>
      <rPr>
        <sz val="10"/>
        <rFont val="Arial"/>
        <family val="2"/>
      </rPr>
      <t>5903788.9
0</t>
    </r>
  </si>
  <si>
    <r>
      <rPr>
        <sz val="10"/>
        <rFont val="Arial"/>
        <family val="2"/>
      </rPr>
      <t>MMT/IMPS
/20841288
7789/salar y/alokTYA GId/SBIN0 01660</t>
    </r>
  </si>
  <si>
    <r>
      <rPr>
        <sz val="10"/>
        <rFont val="Arial"/>
        <family val="2"/>
      </rPr>
      <t>5816488.9
0</t>
    </r>
  </si>
  <si>
    <r>
      <rPr>
        <sz val="10"/>
        <rFont val="Arial"/>
        <family val="2"/>
      </rPr>
      <t>INF/INFT/0 268675568
71/salary
/yogrshTY AGId</t>
    </r>
  </si>
  <si>
    <r>
      <rPr>
        <sz val="10"/>
        <rFont val="Arial"/>
        <family val="2"/>
      </rPr>
      <t>5583688.9
0</t>
    </r>
  </si>
  <si>
    <r>
      <rPr>
        <sz val="10"/>
        <rFont val="Arial"/>
        <family val="2"/>
      </rPr>
      <t>INF/INFT/0 268675803
91/salary
/aashu</t>
    </r>
  </si>
  <si>
    <r>
      <rPr>
        <sz val="10"/>
        <rFont val="Arial"/>
        <family val="2"/>
      </rPr>
      <t>5467288.9
0</t>
    </r>
  </si>
  <si>
    <r>
      <rPr>
        <sz val="10"/>
        <rFont val="Arial"/>
        <family val="2"/>
      </rPr>
      <t>MMT/IMPS
/20841292
5364/salar y/mohiKU MARd/IOB A000356</t>
    </r>
  </si>
  <si>
    <r>
      <rPr>
        <sz val="10"/>
        <rFont val="Arial"/>
        <family val="2"/>
      </rPr>
      <t>5350888.9
0</t>
    </r>
  </si>
  <si>
    <r>
      <rPr>
        <sz val="10"/>
        <rFont val="Arial"/>
        <family val="2"/>
      </rPr>
      <t>INF/INFT/0 268687729
41/Balajias sociate/Bal ajiAssoci</t>
    </r>
  </si>
  <si>
    <r>
      <rPr>
        <sz val="10"/>
        <rFont val="Arial"/>
        <family val="2"/>
      </rPr>
      <t>4350888.9
0</t>
    </r>
  </si>
  <si>
    <r>
      <rPr>
        <sz val="10"/>
        <rFont val="Arial"/>
        <family val="2"/>
      </rPr>
      <t>INF/INFT/0 268688418
61/Balajias sociate/Bal ajiAssoci</t>
    </r>
  </si>
  <si>
    <r>
      <rPr>
        <sz val="10"/>
        <rFont val="Arial"/>
        <family val="2"/>
      </rPr>
      <t>3350888.9
0</t>
    </r>
  </si>
  <si>
    <r>
      <rPr>
        <sz val="10"/>
        <rFont val="Arial"/>
        <family val="2"/>
      </rPr>
      <t>INF/INFT/0 268688987
61/Balajias sociate/Bal ajiAssoci</t>
    </r>
  </si>
  <si>
    <r>
      <rPr>
        <sz val="10"/>
        <rFont val="Arial"/>
        <family val="2"/>
      </rPr>
      <t>2350888.9
0</t>
    </r>
  </si>
  <si>
    <r>
      <rPr>
        <sz val="10"/>
        <rFont val="Arial"/>
        <family val="2"/>
      </rPr>
      <t>INF/INFT/0 268689347
31/Balajias sociate/Bal ajiAssoci</t>
    </r>
  </si>
  <si>
    <r>
      <rPr>
        <sz val="10"/>
        <rFont val="Arial"/>
        <family val="2"/>
      </rPr>
      <t>1350888.9
0</t>
    </r>
  </si>
  <si>
    <r>
      <rPr>
        <sz val="10"/>
        <rFont val="Arial"/>
        <family val="2"/>
      </rPr>
      <t>26-Mar-
2022</t>
    </r>
  </si>
  <si>
    <r>
      <rPr>
        <sz val="10"/>
        <rFont val="Arial"/>
        <family val="2"/>
      </rPr>
      <t>28-Mar-
2022</t>
    </r>
  </si>
  <si>
    <r>
      <rPr>
        <sz val="10"/>
        <rFont val="Arial"/>
        <family val="2"/>
      </rPr>
      <t>INF/INFT/0 268769781
21/salary
/kuldeepici ci</t>
    </r>
  </si>
  <si>
    <r>
      <rPr>
        <sz val="10"/>
        <rFont val="Arial"/>
        <family val="2"/>
      </rPr>
      <t>1200888.9
0</t>
    </r>
  </si>
  <si>
    <r>
      <rPr>
        <sz val="10"/>
        <rFont val="Arial"/>
        <family val="2"/>
      </rPr>
      <t>27-Mar-
2022</t>
    </r>
  </si>
  <si>
    <r>
      <rPr>
        <sz val="10"/>
        <rFont val="Arial"/>
        <family val="2"/>
      </rPr>
      <t>UPI/20868 3606049/U
PI/rahulhud dao777@/ Punjab Nation</t>
    </r>
  </si>
  <si>
    <r>
      <rPr>
        <sz val="10"/>
        <rFont val="Arial"/>
        <family val="2"/>
      </rPr>
      <t>1220888.9
0</t>
    </r>
  </si>
  <si>
    <r>
      <rPr>
        <sz val="10"/>
        <rFont val="Arial"/>
        <family val="2"/>
      </rPr>
      <t>29-Mar-
2022</t>
    </r>
  </si>
  <si>
    <r>
      <rPr>
        <sz val="10"/>
        <rFont val="Arial"/>
        <family val="2"/>
      </rPr>
      <t>INF/INFT/0 269094645
11/SHRIga neshassoc/ BALAJI ASSOC</t>
    </r>
  </si>
  <si>
    <r>
      <rPr>
        <sz val="10"/>
        <rFont val="Arial"/>
        <family val="2"/>
      </rPr>
      <t>2220888.9
0</t>
    </r>
  </si>
  <si>
    <r>
      <rPr>
        <sz val="10"/>
        <rFont val="Arial"/>
        <family val="2"/>
      </rPr>
      <t>INF/INFT/0 269094938
61/SHRIga neshassoc/ BALAJI ASSOC</t>
    </r>
  </si>
  <si>
    <r>
      <rPr>
        <sz val="10"/>
        <rFont val="Arial"/>
        <family val="2"/>
      </rPr>
      <t>3220888.9
0</t>
    </r>
  </si>
  <si>
    <r>
      <rPr>
        <sz val="10"/>
        <rFont val="Arial"/>
        <family val="2"/>
      </rPr>
      <t>RTGS/ICIC R4202203 290052797
3/IOBA000
1615/Shri Gane</t>
    </r>
  </si>
  <si>
    <r>
      <rPr>
        <sz val="10"/>
        <rFont val="Arial"/>
        <family val="2"/>
      </rPr>
      <t>RTGS/ICIC R4202203 290052818
9/IOBA000
1615/Shri Gane</t>
    </r>
  </si>
  <si>
    <r>
      <rPr>
        <sz val="10"/>
        <rFont val="Arial"/>
        <family val="2"/>
      </rPr>
      <t>UPI/20881 5235710/U
PI/jitendras ingh12/Stat e Bank Of</t>
    </r>
  </si>
  <si>
    <r>
      <rPr>
        <sz val="10"/>
        <rFont val="Arial"/>
        <family val="2"/>
      </rPr>
      <t>1230888.9
0</t>
    </r>
  </si>
  <si>
    <r>
      <rPr>
        <sz val="10"/>
        <rFont val="Arial"/>
        <family val="2"/>
      </rPr>
      <t>31-Mar-
2022</t>
    </r>
  </si>
  <si>
    <r>
      <rPr>
        <sz val="10"/>
        <rFont val="Arial"/>
        <family val="2"/>
      </rPr>
      <t>1365888.9
0</t>
    </r>
  </si>
  <si>
    <r>
      <rPr>
        <sz val="10"/>
        <rFont val="Arial"/>
        <family val="2"/>
      </rPr>
      <t>CLG/DIPA NSHU GOEL/180 134/SBI/27
.03.2022</t>
    </r>
  </si>
  <si>
    <r>
      <rPr>
        <sz val="10"/>
        <rFont val="Arial"/>
        <family val="2"/>
      </rPr>
      <t>1416888.9
0</t>
    </r>
  </si>
  <si>
    <r>
      <rPr>
        <sz val="10"/>
        <rFont val="Arial"/>
        <family val="2"/>
      </rPr>
      <t>CLG/ASH WANI SHARMA/0 00090/HDF
/19.03.202 2</t>
    </r>
  </si>
  <si>
    <r>
      <rPr>
        <sz val="10"/>
        <rFont val="Arial"/>
        <family val="2"/>
      </rPr>
      <t>1808888.9
0</t>
    </r>
  </si>
  <si>
    <r>
      <rPr>
        <sz val="10"/>
        <rFont val="Arial"/>
        <family val="2"/>
      </rPr>
      <t>01-Apr-
2022</t>
    </r>
  </si>
  <si>
    <r>
      <rPr>
        <sz val="10"/>
        <rFont val="Arial"/>
        <family val="2"/>
      </rPr>
      <t>02-Apr-
2022</t>
    </r>
  </si>
  <si>
    <r>
      <rPr>
        <sz val="10"/>
        <rFont val="Arial"/>
        <family val="2"/>
      </rPr>
      <t>UPI/20911 9999583/P
ayment from Ph/827312
1911@axl/ St</t>
    </r>
  </si>
  <si>
    <r>
      <rPr>
        <sz val="10"/>
        <rFont val="Arial"/>
        <family val="2"/>
      </rPr>
      <t>1818888.9
0</t>
    </r>
  </si>
  <si>
    <r>
      <rPr>
        <sz val="10"/>
        <rFont val="Arial"/>
        <family val="2"/>
      </rPr>
      <t>04-Apr-
2022</t>
    </r>
  </si>
  <si>
    <r>
      <rPr>
        <sz val="10"/>
        <rFont val="Arial"/>
        <family val="2"/>
      </rPr>
      <t>MMT/IMPS
/20941216
5658/salar y/MANISH
saga/PUN B007290</t>
    </r>
  </si>
  <si>
    <r>
      <rPr>
        <sz val="10"/>
        <rFont val="Arial"/>
        <family val="2"/>
      </rPr>
      <t>1799488.9
0</t>
    </r>
  </si>
  <si>
    <r>
      <rPr>
        <sz val="10"/>
        <rFont val="Arial"/>
        <family val="2"/>
      </rPr>
      <t>BIL/INFT/0 003665031
75/Return entry/</t>
    </r>
  </si>
  <si>
    <r>
      <rPr>
        <sz val="10"/>
        <rFont val="Arial"/>
        <family val="2"/>
      </rPr>
      <t>1899488.9
0</t>
    </r>
  </si>
  <si>
    <r>
      <rPr>
        <sz val="10"/>
        <rFont val="Arial"/>
        <family val="2"/>
      </rPr>
      <t>05-Apr-
2022</t>
    </r>
  </si>
  <si>
    <r>
      <rPr>
        <sz val="10"/>
        <rFont val="Arial"/>
        <family val="2"/>
      </rPr>
      <t>1093488.9
0</t>
    </r>
  </si>
  <si>
    <r>
      <rPr>
        <sz val="10"/>
        <rFont val="Arial"/>
        <family val="2"/>
      </rPr>
      <t>06-Apr-
2022</t>
    </r>
  </si>
  <si>
    <r>
      <rPr>
        <sz val="10"/>
        <rFont val="Arial"/>
        <family val="2"/>
      </rPr>
      <t>UPI/20963 6801494/N A/6395075
349@payt/ State Bank Of</t>
    </r>
  </si>
  <si>
    <r>
      <rPr>
        <sz val="10"/>
        <rFont val="Arial"/>
        <family val="2"/>
      </rPr>
      <t>07-Apr-
2022</t>
    </r>
  </si>
  <si>
    <r>
      <rPr>
        <sz val="10"/>
        <rFont val="Arial"/>
        <family val="2"/>
      </rPr>
      <t>CLG/SHAL AU DIN/49171 9/PNB/04.0
4.2022</t>
    </r>
  </si>
  <si>
    <r>
      <rPr>
        <sz val="10"/>
        <rFont val="Arial"/>
        <family val="2"/>
      </rPr>
      <t>1197988.9
0</t>
    </r>
  </si>
  <si>
    <r>
      <rPr>
        <sz val="10"/>
        <rFont val="Arial"/>
        <family val="2"/>
      </rPr>
      <t>CLG/PRAD EEP KUMAR/51 1962/SBI/0
4.04.2022</t>
    </r>
  </si>
  <si>
    <r>
      <rPr>
        <sz val="10"/>
        <rFont val="Arial"/>
        <family val="2"/>
      </rPr>
      <t>1463988.9
0</t>
    </r>
  </si>
  <si>
    <r>
      <rPr>
        <sz val="10"/>
        <rFont val="Arial"/>
        <family val="2"/>
      </rPr>
      <t>CLG/SIYA NAND SHARMA/2 92126/SBI/
06.04.2022</t>
    </r>
  </si>
  <si>
    <r>
      <rPr>
        <sz val="10"/>
        <rFont val="Arial"/>
        <family val="2"/>
      </rPr>
      <t>1893988.9
0</t>
    </r>
  </si>
  <si>
    <r>
      <rPr>
        <sz val="10"/>
        <rFont val="Arial"/>
        <family val="2"/>
      </rPr>
      <t>1627988.9
0</t>
    </r>
  </si>
  <si>
    <r>
      <rPr>
        <sz val="10"/>
        <rFont val="Arial"/>
        <family val="2"/>
      </rPr>
      <t>08-Apr-
2022</t>
    </r>
  </si>
  <si>
    <r>
      <rPr>
        <sz val="10"/>
        <rFont val="Arial"/>
        <family val="2"/>
      </rPr>
      <t>UPI/20981 6713428/A
24/903656
8112@apl/ Punjab Nationa</t>
    </r>
  </si>
  <si>
    <r>
      <rPr>
        <sz val="10"/>
        <rFont val="Arial"/>
        <family val="2"/>
      </rPr>
      <t>1557870.9
0</t>
    </r>
  </si>
  <si>
    <r>
      <rPr>
        <sz val="10"/>
        <rFont val="Arial"/>
        <family val="2"/>
      </rPr>
      <t>RTGS/ICIC R4202204 080053682
6/PUNB00
26610/vika s tom</t>
    </r>
  </si>
  <si>
    <r>
      <rPr>
        <sz val="10"/>
        <rFont val="Arial"/>
        <family val="2"/>
      </rPr>
      <t>1186870.9
0</t>
    </r>
  </si>
  <si>
    <r>
      <rPr>
        <sz val="10"/>
        <rFont val="Arial"/>
        <family val="2"/>
      </rPr>
      <t>MMT/IMPS
/20981734
8027/Vikra nt malik p/VIKRAN T KU/H</t>
    </r>
  </si>
  <si>
    <r>
      <rPr>
        <sz val="10"/>
        <rFont val="Arial"/>
        <family val="2"/>
      </rPr>
      <t>1361870.9
0</t>
    </r>
  </si>
  <si>
    <r>
      <rPr>
        <sz val="10"/>
        <rFont val="Arial"/>
        <family val="2"/>
      </rPr>
      <t>09-Apr-
2022</t>
    </r>
  </si>
  <si>
    <r>
      <rPr>
        <sz val="10"/>
        <rFont val="Arial"/>
        <family val="2"/>
      </rPr>
      <t>11-Apr-
2022</t>
    </r>
  </si>
  <si>
    <r>
      <rPr>
        <sz val="10"/>
        <rFont val="Arial"/>
        <family val="2"/>
      </rPr>
      <t>MMT/IMPS
/20991562
3679/salar y/sumiti
/PUNB052 281</t>
    </r>
  </si>
  <si>
    <r>
      <rPr>
        <sz val="10"/>
        <rFont val="Arial"/>
        <family val="2"/>
      </rPr>
      <t>1161870.9
0</t>
    </r>
  </si>
  <si>
    <r>
      <rPr>
        <sz val="10"/>
        <rFont val="Arial"/>
        <family val="2"/>
      </rPr>
      <t>MMT/IMPS
/20991571
4776/salar y/avinashT YA/PUNB0 47160</t>
    </r>
  </si>
  <si>
    <r>
      <rPr>
        <sz val="10"/>
        <rFont val="Arial"/>
        <family val="2"/>
      </rPr>
      <t>1123070.9
0</t>
    </r>
  </si>
  <si>
    <r>
      <rPr>
        <sz val="10"/>
        <rFont val="Arial"/>
        <family val="2"/>
      </rPr>
      <t>MMT/IMPS
/20991672
0166/salar y/AMITgdT OMA/PUN B000420</t>
    </r>
  </si>
  <si>
    <r>
      <rPr>
        <sz val="10"/>
        <rFont val="Arial"/>
        <family val="2"/>
      </rPr>
      <t>1084270.9
0</t>
    </r>
  </si>
  <si>
    <r>
      <rPr>
        <sz val="10"/>
        <rFont val="Arial"/>
        <family val="2"/>
      </rPr>
      <t>MMT/IMPS
/20991672
5041/salar y/AMITgdT OMA/PUN B000420</t>
    </r>
  </si>
  <si>
    <r>
      <rPr>
        <sz val="10"/>
        <rFont val="Arial"/>
        <family val="2"/>
      </rPr>
      <t>1055170.9
0</t>
    </r>
  </si>
  <si>
    <r>
      <rPr>
        <sz val="10"/>
        <rFont val="Arial"/>
        <family val="2"/>
      </rPr>
      <t>MMT/IMPS
/20991673
2738/salar y/alokTYA GId/SBIN0 01660</t>
    </r>
  </si>
  <si>
    <r>
      <rPr>
        <sz val="10"/>
        <rFont val="Arial"/>
        <family val="2"/>
      </rPr>
      <t>INF/INFT/0 270689889
31/salary
/yogrshTY AGId</t>
    </r>
  </si>
  <si>
    <r>
      <rPr>
        <sz val="10"/>
        <rFont val="Arial"/>
        <family val="2"/>
      </rPr>
      <t>INF/INFT/0 270689947
51/salary
/aashu</t>
    </r>
  </si>
  <si>
    <r>
      <rPr>
        <sz val="10"/>
        <rFont val="Arial"/>
        <family val="2"/>
      </rPr>
      <t>MMT/IMPS
/20991674
9400/salar y/rahulCHA UD/HDFC0 00435</t>
    </r>
  </si>
  <si>
    <r>
      <rPr>
        <sz val="10"/>
        <rFont val="Arial"/>
        <family val="2"/>
      </rPr>
      <t>MMT/IMPS
/20991676
1295/salar y/mohiKU MARd/IOB A000356</t>
    </r>
  </si>
  <si>
    <r>
      <rPr>
        <sz val="10"/>
        <rFont val="Arial"/>
        <family val="2"/>
      </rPr>
      <t>MMT/IMPS
/20991676
5874/salar y/AMITyad av
/HDFC000 065</t>
    </r>
  </si>
  <si>
    <r>
      <rPr>
        <sz val="10"/>
        <rFont val="Arial"/>
        <family val="2"/>
      </rPr>
      <t>INF/INFT/0 270690854
91/salary
/kuldeepici ci</t>
    </r>
  </si>
  <si>
    <r>
      <rPr>
        <sz val="10"/>
        <rFont val="Arial"/>
        <family val="2"/>
      </rPr>
      <t>INF/INFT/0 270706008
81/retinentr y
/BALAJI ASSOC</t>
    </r>
  </si>
  <si>
    <r>
      <rPr>
        <sz val="10"/>
        <rFont val="Arial"/>
        <family val="2"/>
      </rPr>
      <t>RTGS/ICIC R4202204 090051803
2/PUNB04
71600/mul ash ku</t>
    </r>
  </si>
  <si>
    <r>
      <rPr>
        <sz val="10"/>
        <rFont val="Arial"/>
        <family val="2"/>
      </rPr>
      <t>UPI/21011 0897850/N O REMARKS
/76786064
34@upi/St ate B</t>
    </r>
  </si>
  <si>
    <r>
      <rPr>
        <sz val="10"/>
        <rFont val="Arial"/>
        <family val="2"/>
      </rPr>
      <t>MMT/IMPS
/21011390
8063/salar y/ARUNbhi DG
/SBIN0016 60</t>
    </r>
  </si>
  <si>
    <r>
      <rPr>
        <sz val="10"/>
        <rFont val="Arial"/>
        <family val="2"/>
      </rPr>
      <t>MMT/IMPS
/21011332 6687/RAVI KUMAR2/A
xis Bank</t>
    </r>
  </si>
  <si>
    <r>
      <rPr>
        <sz val="10"/>
        <rFont val="Arial"/>
        <family val="2"/>
      </rPr>
      <t>12-Apr-
2022</t>
    </r>
  </si>
  <si>
    <r>
      <rPr>
        <sz val="10"/>
        <rFont val="Arial"/>
        <family val="2"/>
      </rPr>
      <t>UPI/21029 1577272/P
ayment from Ph/885956
1200@ybl/ St</t>
    </r>
  </si>
  <si>
    <r>
      <rPr>
        <sz val="10"/>
        <rFont val="Arial"/>
        <family val="2"/>
      </rPr>
      <t>13-Apr-
2022</t>
    </r>
  </si>
  <si>
    <r>
      <rPr>
        <sz val="10"/>
        <rFont val="Arial"/>
        <family val="2"/>
      </rPr>
      <t>1378970.9
0</t>
    </r>
  </si>
  <si>
    <r>
      <rPr>
        <sz val="10"/>
        <rFont val="Arial"/>
        <family val="2"/>
      </rPr>
      <t>14-Apr-
2022</t>
    </r>
  </si>
  <si>
    <r>
      <rPr>
        <sz val="10"/>
        <rFont val="Arial"/>
        <family val="2"/>
      </rPr>
      <t>RTGS/ICIC R4202204 140051120
0/SBIN000
7619/SHIV
rajS</t>
    </r>
  </si>
  <si>
    <r>
      <rPr>
        <sz val="10"/>
        <rFont val="Arial"/>
        <family val="2"/>
      </rPr>
      <t>1028970.9
0</t>
    </r>
  </si>
  <si>
    <r>
      <rPr>
        <sz val="10"/>
        <rFont val="Arial"/>
        <family val="2"/>
      </rPr>
      <t>18-Apr-
2022</t>
    </r>
  </si>
  <si>
    <r>
      <rPr>
        <sz val="10"/>
        <rFont val="Arial"/>
        <family val="2"/>
      </rPr>
      <t>CLG/MAN OJ KUMAR/17 6119/SBI/2
2.03.2022</t>
    </r>
  </si>
  <si>
    <r>
      <rPr>
        <sz val="10"/>
        <rFont val="Arial"/>
        <family val="2"/>
      </rPr>
      <t>25-Apr-
2022</t>
    </r>
  </si>
  <si>
    <r>
      <rPr>
        <sz val="10"/>
        <rFont val="Arial"/>
        <family val="2"/>
      </rPr>
      <t>NEFT- IDIBH2211 5481948- MR  SUNIL
-- 000000500
502576</t>
    </r>
  </si>
  <si>
    <r>
      <rPr>
        <sz val="10"/>
        <rFont val="Arial"/>
        <family val="2"/>
      </rPr>
      <t>MMT/IMPS
/21151758 7803/0266
025004960
57/MUNES H WO</t>
    </r>
  </si>
  <si>
    <r>
      <rPr>
        <sz val="10"/>
        <rFont val="Arial"/>
        <family val="2"/>
      </rPr>
      <t>1042970.9
0</t>
    </r>
  </si>
  <si>
    <r>
      <rPr>
        <sz val="10"/>
        <rFont val="Arial"/>
        <family val="2"/>
      </rPr>
      <t>26-Apr-
2022</t>
    </r>
  </si>
  <si>
    <r>
      <rPr>
        <sz val="10"/>
        <rFont val="Arial"/>
        <family val="2"/>
      </rPr>
      <t>RTGS- IOBAR520 220426006
38721- SHRI GANESH ASSOCIAT ES</t>
    </r>
  </si>
  <si>
    <r>
      <rPr>
        <sz val="10"/>
        <rFont val="Arial"/>
        <family val="2"/>
      </rPr>
      <t>3042970.9
0</t>
    </r>
  </si>
  <si>
    <r>
      <rPr>
        <sz val="10"/>
        <rFont val="Arial"/>
        <family val="2"/>
      </rPr>
      <t>27-Apr-
2022</t>
    </r>
  </si>
  <si>
    <r>
      <rPr>
        <sz val="10"/>
        <rFont val="Arial"/>
        <family val="2"/>
      </rPr>
      <t>CLG/NISH ANT SAROHA/1 33517/AXI/
24.04.2022</t>
    </r>
  </si>
  <si>
    <r>
      <rPr>
        <sz val="10"/>
        <rFont val="Arial"/>
        <family val="2"/>
      </rPr>
      <t>3342970.9
0</t>
    </r>
  </si>
  <si>
    <t>I F PLOT A21</t>
  </si>
  <si>
    <t>11/08/2022</t>
  </si>
  <si>
    <t>11/09/2022</t>
  </si>
  <si>
    <t xml:space="preserve">11/09/2022 12:08:00 PM </t>
  </si>
  <si>
    <t>MMT/IMPS/225412191935/SALARY/rahulCHAUD/HDFC0004358</t>
  </si>
  <si>
    <t xml:space="preserve">11/09/2022 12:09:31 PM </t>
  </si>
  <si>
    <t>MMT/IMPS/225412196327/SALARY/goravDG   /CNRB0002323</t>
  </si>
  <si>
    <t>12/09/2022</t>
  </si>
  <si>
    <t xml:space="preserve">12/09/2022 01:43:26 PM </t>
  </si>
  <si>
    <t>NEFT-PUNBH22255212090-INUSH ALI S O VASID--02662010044120-PUNB0026610</t>
  </si>
  <si>
    <t>GAURAV DG</t>
  </si>
  <si>
    <t xml:space="preserve">ANUJ </t>
  </si>
  <si>
    <t>JITENDRAKUMAR</t>
  </si>
  <si>
    <t>GORAV DG</t>
  </si>
  <si>
    <t>17-Sep-
2020</t>
  </si>
  <si>
    <r>
      <rPr>
        <sz val="9"/>
        <rFont val="Arial"/>
        <family val="2"/>
      </rPr>
      <t>DETAILED STATEMENT
Account Number: 066805003989</t>
    </r>
  </si>
  <si>
    <r>
      <rPr>
        <sz val="9"/>
        <rFont val="Arial"/>
        <family val="2"/>
      </rPr>
      <t>Account Name: SHRI GANESH ASSOCIATES
Transaction Date From:  01-Sep-2020 Transaction Date To:  19-Sep-2021 Amount Range from:  NA
Amount Range To:  NA Cheque number from:  NA Cheque number To:  NA
Transaction Type:  Both Debit and Credit</t>
    </r>
  </si>
  <si>
    <r>
      <rPr>
        <sz val="9"/>
        <rFont val="Arial"/>
        <family val="2"/>
      </rPr>
      <t>17-Sep-
2020</t>
    </r>
  </si>
  <si>
    <r>
      <rPr>
        <sz val="9"/>
        <rFont val="Arial"/>
        <family val="2"/>
      </rPr>
      <t>18-Sep-
2020</t>
    </r>
  </si>
  <si>
    <r>
      <rPr>
        <sz val="9"/>
        <rFont val="Arial"/>
        <family val="2"/>
      </rPr>
      <t>21-Sep-
2020</t>
    </r>
  </si>
  <si>
    <r>
      <rPr>
        <sz val="9"/>
        <rFont val="Arial"/>
        <family val="2"/>
      </rPr>
      <t>12-Oct-
2020</t>
    </r>
  </si>
  <si>
    <r>
      <rPr>
        <sz val="9"/>
        <rFont val="Arial"/>
        <family val="2"/>
      </rPr>
      <t>20-Oct-
2020</t>
    </r>
  </si>
  <si>
    <r>
      <rPr>
        <sz val="9"/>
        <rFont val="Arial"/>
        <family val="2"/>
      </rPr>
      <t>15-Jul-
2021</t>
    </r>
  </si>
  <si>
    <r>
      <rPr>
        <sz val="9"/>
        <rFont val="Arial"/>
        <family val="2"/>
      </rPr>
      <t>UPI/11966 5042869/P
ayment from Ph/921906
9955@ybl/I C</t>
    </r>
  </si>
  <si>
    <r>
      <rPr>
        <sz val="9"/>
        <rFont val="Arial"/>
        <family val="2"/>
      </rPr>
      <t>16-Jul-
2021</t>
    </r>
  </si>
  <si>
    <r>
      <rPr>
        <sz val="9"/>
        <rFont val="Arial"/>
        <family val="2"/>
      </rPr>
      <t>RTGS- PUNBR52 021071612
935900- SUMITI SINGH- 522821910</t>
    </r>
  </si>
  <si>
    <r>
      <rPr>
        <sz val="9"/>
        <rFont val="Arial"/>
        <family val="2"/>
      </rPr>
      <t>1109862.5
0</t>
    </r>
  </si>
  <si>
    <r>
      <rPr>
        <sz val="9"/>
        <rFont val="Arial"/>
        <family val="2"/>
      </rPr>
      <t>UPI/11971 5361379/U
PI/xfunda.c haudhar/P unjab Nation</t>
    </r>
  </si>
  <si>
    <r>
      <rPr>
        <sz val="9"/>
        <rFont val="Arial"/>
        <family val="2"/>
      </rPr>
      <t>1134862.5
0</t>
    </r>
  </si>
  <si>
    <r>
      <rPr>
        <sz val="9"/>
        <rFont val="Arial"/>
        <family val="2"/>
      </rPr>
      <t>UPI/11971 5347776/U
PI/xfunda.c haudhar/P unjab Nation</t>
    </r>
  </si>
  <si>
    <r>
      <rPr>
        <sz val="9"/>
        <rFont val="Arial"/>
        <family val="2"/>
      </rPr>
      <t>1149862.5
0</t>
    </r>
  </si>
  <si>
    <r>
      <rPr>
        <sz val="9"/>
        <rFont val="Arial"/>
        <family val="2"/>
      </rPr>
      <t>BIL/INFT/0 001615382
09/Investm ent/</t>
    </r>
  </si>
  <si>
    <r>
      <rPr>
        <sz val="9"/>
        <rFont val="Arial"/>
        <family val="2"/>
      </rPr>
      <t>1199862.5
0</t>
    </r>
  </si>
  <si>
    <r>
      <rPr>
        <sz val="9"/>
        <rFont val="Arial"/>
        <family val="2"/>
      </rPr>
      <t>BIL/INFT/0 001615387
44/Investm ent/</t>
    </r>
  </si>
  <si>
    <r>
      <rPr>
        <sz val="9"/>
        <rFont val="Arial"/>
        <family val="2"/>
      </rPr>
      <t>1299862.5
0</t>
    </r>
  </si>
  <si>
    <r>
      <rPr>
        <sz val="9"/>
        <rFont val="Arial"/>
        <family val="2"/>
      </rPr>
      <t>BIL/INFT/0 001615391
99/NA/</t>
    </r>
  </si>
  <si>
    <r>
      <rPr>
        <sz val="9"/>
        <rFont val="Arial"/>
        <family val="2"/>
      </rPr>
      <t>1299872.5
0</t>
    </r>
  </si>
  <si>
    <r>
      <rPr>
        <sz val="9"/>
        <rFont val="Arial"/>
        <family val="2"/>
      </rPr>
      <t>BIL/INFT/0 001615466
96/NA/</t>
    </r>
  </si>
  <si>
    <r>
      <rPr>
        <sz val="9"/>
        <rFont val="Arial"/>
        <family val="2"/>
      </rPr>
      <t>1699872.5
0</t>
    </r>
  </si>
  <si>
    <r>
      <rPr>
        <sz val="9"/>
        <rFont val="Arial"/>
        <family val="2"/>
      </rPr>
      <t>RTGS- SBINR520 210716331
84714- BEENA DEVI AND ARUN CH</t>
    </r>
  </si>
  <si>
    <r>
      <rPr>
        <sz val="9"/>
        <rFont val="Arial"/>
        <family val="2"/>
      </rPr>
      <t>1999872.5
0</t>
    </r>
  </si>
  <si>
    <r>
      <rPr>
        <sz val="9"/>
        <rFont val="Arial"/>
        <family val="2"/>
      </rPr>
      <t>RTGS:ICIC R5202107 160082108
5/PUNB00
26610/SHA LAU DIN</t>
    </r>
  </si>
  <si>
    <r>
      <rPr>
        <sz val="9"/>
        <rFont val="Arial"/>
        <family val="2"/>
      </rPr>
      <t>RTGS- PUNBR52 021071612
941588- VINAY KUMAR MALIK SU</t>
    </r>
  </si>
  <si>
    <r>
      <rPr>
        <sz val="9"/>
        <rFont val="Arial"/>
        <family val="2"/>
      </rPr>
      <t>1349872.5
0</t>
    </r>
  </si>
  <si>
    <r>
      <rPr>
        <sz val="9"/>
        <rFont val="Arial"/>
        <family val="2"/>
      </rPr>
      <t>UPI/11974 2474517/P
ayment from Ph/708777
1520@ybl/ St</t>
    </r>
  </si>
  <si>
    <r>
      <rPr>
        <sz val="9"/>
        <rFont val="Arial"/>
        <family val="2"/>
      </rPr>
      <t>1449872.5
0</t>
    </r>
  </si>
  <si>
    <r>
      <rPr>
        <sz val="9"/>
        <rFont val="Arial"/>
        <family val="2"/>
      </rPr>
      <t>RTGS- SBINR520 210716331
92259- PRAMOD KUMAR- 384391473</t>
    </r>
  </si>
  <si>
    <r>
      <rPr>
        <sz val="9"/>
        <rFont val="Arial"/>
        <family val="2"/>
      </rPr>
      <t>2549872.5
0</t>
    </r>
  </si>
  <si>
    <r>
      <rPr>
        <sz val="9"/>
        <rFont val="Arial"/>
        <family val="2"/>
      </rPr>
      <t>MMT/IMPS
/11971647 4441/1099
8457
/Indusind Bank</t>
    </r>
  </si>
  <si>
    <r>
      <rPr>
        <sz val="9"/>
        <rFont val="Arial"/>
        <family val="2"/>
      </rPr>
      <t>2699872.5
0</t>
    </r>
  </si>
  <si>
    <r>
      <rPr>
        <sz val="9"/>
        <rFont val="Arial"/>
        <family val="2"/>
      </rPr>
      <t>NEFT- PUNBH21 197707058
-PARTAP PANWAR-- 403900010
0179</t>
    </r>
  </si>
  <si>
    <r>
      <rPr>
        <sz val="9"/>
        <rFont val="Arial"/>
        <family val="2"/>
      </rPr>
      <t>2799872.5
0</t>
    </r>
  </si>
  <si>
    <r>
      <rPr>
        <sz val="9"/>
        <rFont val="Arial"/>
        <family val="2"/>
      </rPr>
      <t>17-Jul-
2021</t>
    </r>
  </si>
  <si>
    <r>
      <rPr>
        <sz val="9"/>
        <rFont val="Arial"/>
        <family val="2"/>
      </rPr>
      <t>RTGS:ICIC R5202107 170084123
1/PUNB00
26610/INU SH ALI</t>
    </r>
  </si>
  <si>
    <r>
      <rPr>
        <sz val="9"/>
        <rFont val="Arial"/>
        <family val="2"/>
      </rPr>
      <t>1799872.5
0</t>
    </r>
  </si>
  <si>
    <r>
      <rPr>
        <sz val="9"/>
        <rFont val="Arial"/>
        <family val="2"/>
      </rPr>
      <t>NEFT- PUNBH21 198978968
-PARTAP PANWAR-- 403900010
0179</t>
    </r>
  </si>
  <si>
    <r>
      <rPr>
        <sz val="9"/>
        <rFont val="Arial"/>
        <family val="2"/>
      </rPr>
      <t>19-Jul-
2021</t>
    </r>
  </si>
  <si>
    <r>
      <rPr>
        <sz val="9"/>
        <rFont val="Arial"/>
        <family val="2"/>
      </rPr>
      <t>1199872.5
0</t>
    </r>
  </si>
  <si>
    <r>
      <rPr>
        <sz val="9"/>
        <rFont val="Arial"/>
        <family val="2"/>
      </rPr>
      <t>RTGS:ICIC R5202107 190023510
9/PUNB00
26610/KAS AM ALI</t>
    </r>
  </si>
  <si>
    <r>
      <rPr>
        <sz val="9"/>
        <rFont val="Arial"/>
        <family val="2"/>
      </rPr>
      <t>20-Jul-
2021</t>
    </r>
  </si>
  <si>
    <r>
      <rPr>
        <sz val="9"/>
        <rFont val="Arial"/>
        <family val="2"/>
      </rPr>
      <t>BIL/INFT/0 001643515
07/NA/</t>
    </r>
  </si>
  <si>
    <r>
      <rPr>
        <sz val="9"/>
        <rFont val="Arial"/>
        <family val="2"/>
      </rPr>
      <t>22-Jul-
2021</t>
    </r>
  </si>
  <si>
    <r>
      <rPr>
        <sz val="9"/>
        <rFont val="Arial"/>
        <family val="2"/>
      </rPr>
      <t>NEFT- SBIN42120 3849944- YASHPAL SINGH STAFF-
/ATTN/NE</t>
    </r>
  </si>
  <si>
    <r>
      <rPr>
        <sz val="9"/>
        <rFont val="Arial"/>
        <family val="2"/>
      </rPr>
      <t>MMT/IMPS
/12031311
9741/Kulde ep/VIMLES H   /Bank of B</t>
    </r>
  </si>
  <si>
    <r>
      <rPr>
        <sz val="9"/>
        <rFont val="Arial"/>
        <family val="2"/>
      </rPr>
      <t>MMT/IMPS
/12031380
1522/Kulde ep/SEEMA
/Bank of B</t>
    </r>
  </si>
  <si>
    <r>
      <rPr>
        <sz val="9"/>
        <rFont val="Arial"/>
        <family val="2"/>
      </rPr>
      <t>MMT/IMPS
/12031470 5569/MOB TXN/VIPIN
KUM/Yes Bank L</t>
    </r>
  </si>
  <si>
    <r>
      <rPr>
        <sz val="9"/>
        <rFont val="Arial"/>
        <family val="2"/>
      </rPr>
      <t>23-Jul-
2021</t>
    </r>
  </si>
  <si>
    <r>
      <rPr>
        <sz val="9"/>
        <rFont val="Arial"/>
        <family val="2"/>
      </rPr>
      <t>MMT/IMPS
/12040928 4223/INDU SHARMA/
Axis Bank</t>
    </r>
  </si>
  <si>
    <r>
      <rPr>
        <sz val="9"/>
        <rFont val="Arial"/>
        <family val="2"/>
      </rPr>
      <t>NEFT- AXMB2120 42765455- INDU SHARMA-- 913010035
376305</t>
    </r>
  </si>
  <si>
    <r>
      <rPr>
        <sz val="9"/>
        <rFont val="Arial"/>
        <family val="2"/>
      </rPr>
      <t>1099873.5
0</t>
    </r>
  </si>
  <si>
    <r>
      <rPr>
        <sz val="9"/>
        <rFont val="Arial"/>
        <family val="2"/>
      </rPr>
      <t>MMT/IMPS
/12041437
4165/Kulde ep/VIMLES H   /Bank of B</t>
    </r>
  </si>
  <si>
    <r>
      <rPr>
        <sz val="9"/>
        <rFont val="Arial"/>
        <family val="2"/>
      </rPr>
      <t>1124873.5
0</t>
    </r>
  </si>
  <si>
    <r>
      <rPr>
        <sz val="9"/>
        <rFont val="Arial"/>
        <family val="2"/>
      </rPr>
      <t>MMT/IMPS
/12041550
6169/Kulde ep/SEEMA
/Bank of B</t>
    </r>
  </si>
  <si>
    <r>
      <rPr>
        <sz val="9"/>
        <rFont val="Arial"/>
        <family val="2"/>
      </rPr>
      <t>1149873.5
0</t>
    </r>
  </si>
  <si>
    <r>
      <rPr>
        <sz val="9"/>
        <rFont val="Arial"/>
        <family val="2"/>
      </rPr>
      <t>24-Jul-
2021</t>
    </r>
  </si>
  <si>
    <r>
      <rPr>
        <sz val="9"/>
        <rFont val="Arial"/>
        <family val="2"/>
      </rPr>
      <t>26-Jul-
2021</t>
    </r>
  </si>
  <si>
    <r>
      <rPr>
        <sz val="9"/>
        <rFont val="Arial"/>
        <family val="2"/>
      </rPr>
      <t>RTGS/ICIC R4202107 240050014
5/PUNB01
82200/dhar am pa</t>
    </r>
  </si>
  <si>
    <r>
      <rPr>
        <sz val="9"/>
        <rFont val="Arial"/>
        <family val="2"/>
      </rPr>
      <t>NEFT- AXMB2120 53274455- INDU SHARMA-- 913010035
376305</t>
    </r>
  </si>
  <si>
    <r>
      <rPr>
        <sz val="9"/>
        <rFont val="Arial"/>
        <family val="2"/>
      </rPr>
      <t>UPI/12050 8154910/S
BI/babitadh ama77@o/ State Bank Of</t>
    </r>
  </si>
  <si>
    <r>
      <rPr>
        <sz val="9"/>
        <rFont val="Arial"/>
        <family val="2"/>
      </rPr>
      <t>1049873.5
0</t>
    </r>
  </si>
  <si>
    <r>
      <rPr>
        <sz val="9"/>
        <rFont val="Arial"/>
        <family val="2"/>
      </rPr>
      <t>25-Jul-
2021</t>
    </r>
  </si>
  <si>
    <r>
      <rPr>
        <sz val="9"/>
        <rFont val="Arial"/>
        <family val="2"/>
      </rPr>
      <t>CLG/ANSH U PANWAR SANDEEP KU/746341
/SBI/16.07. 2021</t>
    </r>
  </si>
  <si>
    <r>
      <rPr>
        <sz val="9"/>
        <rFont val="Arial"/>
        <family val="2"/>
      </rPr>
      <t>1199873.5
0</t>
    </r>
  </si>
  <si>
    <r>
      <rPr>
        <sz val="9"/>
        <rFont val="Arial"/>
        <family val="2"/>
      </rPr>
      <t>MMT/IMPS
/12071272
2623/Kulde ep/VIMLES H   /Bank of B</t>
    </r>
  </si>
  <si>
    <r>
      <rPr>
        <sz val="9"/>
        <rFont val="Arial"/>
        <family val="2"/>
      </rPr>
      <t>1224873.5
0</t>
    </r>
  </si>
  <si>
    <r>
      <rPr>
        <sz val="9"/>
        <rFont val="Arial"/>
        <family val="2"/>
      </rPr>
      <t>BIL/INFT/0 001678456
17/Investm ent/</t>
    </r>
  </si>
  <si>
    <r>
      <rPr>
        <sz val="9"/>
        <rFont val="Arial"/>
        <family val="2"/>
      </rPr>
      <t>1249873.5
0</t>
    </r>
  </si>
  <si>
    <r>
      <rPr>
        <sz val="9"/>
        <rFont val="Arial"/>
        <family val="2"/>
      </rPr>
      <t>BIL/INFT/0 001678531
34/Investm ent/</t>
    </r>
  </si>
  <si>
    <r>
      <rPr>
        <sz val="9"/>
        <rFont val="Arial"/>
        <family val="2"/>
      </rPr>
      <t>1274873.5
0</t>
    </r>
  </si>
  <si>
    <r>
      <rPr>
        <sz val="9"/>
        <rFont val="Arial"/>
        <family val="2"/>
      </rPr>
      <t>MMT/IMPS
/12071325
2206/Kulde ep/SEEMA
/Bank of B</t>
    </r>
  </si>
  <si>
    <r>
      <rPr>
        <sz val="9"/>
        <rFont val="Arial"/>
        <family val="2"/>
      </rPr>
      <t>1299873.5
0</t>
    </r>
  </si>
  <si>
    <r>
      <rPr>
        <sz val="9"/>
        <rFont val="Arial"/>
        <family val="2"/>
      </rPr>
      <t>CLG/VIRE NDERA SINGH MALIK/477 598/SBI/20
.07.2021</t>
    </r>
  </si>
  <si>
    <r>
      <rPr>
        <sz val="9"/>
        <rFont val="Arial"/>
        <family val="2"/>
      </rPr>
      <t>1699873.5
0</t>
    </r>
  </si>
  <si>
    <r>
      <rPr>
        <sz val="9"/>
        <rFont val="Arial"/>
        <family val="2"/>
      </rPr>
      <t>1599873.5
0</t>
    </r>
  </si>
  <si>
    <r>
      <rPr>
        <sz val="9"/>
        <rFont val="Arial"/>
        <family val="2"/>
      </rPr>
      <t>27-Jul-
2021</t>
    </r>
  </si>
  <si>
    <r>
      <rPr>
        <sz val="9"/>
        <rFont val="Arial"/>
        <family val="2"/>
      </rPr>
      <t>1649873.5
0</t>
    </r>
  </si>
  <si>
    <r>
      <rPr>
        <sz val="9"/>
        <rFont val="Arial"/>
        <family val="2"/>
      </rPr>
      <t>CLG/AMIT TOMAR/58 3714/PNB/
21.07.2021</t>
    </r>
  </si>
  <si>
    <r>
      <rPr>
        <sz val="9"/>
        <rFont val="Arial"/>
        <family val="2"/>
      </rPr>
      <t>1418873.5
0</t>
    </r>
  </si>
  <si>
    <r>
      <rPr>
        <sz val="9"/>
        <rFont val="Arial"/>
        <family val="2"/>
      </rPr>
      <t>NMQAB
chrg Jun- 21+GST</t>
    </r>
  </si>
  <si>
    <r>
      <rPr>
        <sz val="9"/>
        <rFont val="Arial"/>
        <family val="2"/>
      </rPr>
      <t>1411793.5
0</t>
    </r>
  </si>
  <si>
    <r>
      <rPr>
        <sz val="9"/>
        <rFont val="Arial"/>
        <family val="2"/>
      </rPr>
      <t>CLG/CHE QUE/1785 90/SBI/22.
07.2021</t>
    </r>
  </si>
  <si>
    <r>
      <rPr>
        <sz val="9"/>
        <rFont val="Arial"/>
        <family val="2"/>
      </rPr>
      <t>2071793.5
0</t>
    </r>
  </si>
  <si>
    <r>
      <rPr>
        <sz val="9"/>
        <rFont val="Arial"/>
        <family val="2"/>
      </rPr>
      <t>MMT/IMPS
/12081672 8019/MOB LT2707160 779/ANSH U PANW/S</t>
    </r>
  </si>
  <si>
    <r>
      <rPr>
        <sz val="9"/>
        <rFont val="Arial"/>
        <family val="2"/>
      </rPr>
      <t>2071794.5
0</t>
    </r>
  </si>
  <si>
    <r>
      <rPr>
        <sz val="9"/>
        <rFont val="Arial"/>
        <family val="2"/>
      </rPr>
      <t>28-Jul-
2021</t>
    </r>
  </si>
  <si>
    <r>
      <rPr>
        <sz val="9"/>
        <rFont val="Arial"/>
        <family val="2"/>
      </rPr>
      <t>CLG/BABI TA DHAMA/76 5860/PNB/
26.07.2021</t>
    </r>
  </si>
  <si>
    <r>
      <rPr>
        <sz val="9"/>
        <rFont val="Arial"/>
        <family val="2"/>
      </rPr>
      <t>2121794.5
0</t>
    </r>
  </si>
  <si>
    <r>
      <rPr>
        <sz val="9"/>
        <rFont val="Arial"/>
        <family val="2"/>
      </rPr>
      <t>UPI/12095 0685538/P
ayment from Ph/790538
8186@ybl/ St</t>
    </r>
  </si>
  <si>
    <r>
      <rPr>
        <sz val="9"/>
        <rFont val="Arial"/>
        <family val="2"/>
      </rPr>
      <t>2131794.5
0</t>
    </r>
  </si>
  <si>
    <r>
      <rPr>
        <sz val="9"/>
        <rFont val="Arial"/>
        <family val="2"/>
      </rPr>
      <t>CLG/MALI K VINAY/261 410/SBI/23
.07.2021</t>
    </r>
  </si>
  <si>
    <r>
      <rPr>
        <sz val="9"/>
        <rFont val="Arial"/>
        <family val="2"/>
      </rPr>
      <t>2781794.5
0</t>
    </r>
  </si>
  <si>
    <r>
      <rPr>
        <sz val="9"/>
        <rFont val="Arial"/>
        <family val="2"/>
      </rPr>
      <t>29-Jul-
2021</t>
    </r>
  </si>
  <si>
    <r>
      <rPr>
        <sz val="9"/>
        <rFont val="Arial"/>
        <family val="2"/>
      </rPr>
      <t>UPI/12105 4244796/P
ayment from Ph/992783
0484@ybl/ St</t>
    </r>
  </si>
  <si>
    <r>
      <rPr>
        <sz val="9"/>
        <rFont val="Arial"/>
        <family val="2"/>
      </rPr>
      <t>2831794.5
0</t>
    </r>
  </si>
  <si>
    <r>
      <rPr>
        <sz val="9"/>
        <rFont val="Arial"/>
        <family val="2"/>
      </rPr>
      <t>30-Jul-
2021</t>
    </r>
  </si>
  <si>
    <r>
      <rPr>
        <sz val="9"/>
        <rFont val="Arial"/>
        <family val="2"/>
      </rPr>
      <t>CLG/JAGA T SINGH/307 273/SBI/27
.07.2021</t>
    </r>
  </si>
  <si>
    <r>
      <rPr>
        <sz val="9"/>
        <rFont val="Arial"/>
        <family val="2"/>
      </rPr>
      <t>3031794.5
0</t>
    </r>
  </si>
  <si>
    <r>
      <rPr>
        <sz val="9"/>
        <rFont val="Arial"/>
        <family val="2"/>
      </rPr>
      <t>CLG/PRA MOD KUMAR/58 6370/SBI/2
7.07.2021</t>
    </r>
  </si>
  <si>
    <r>
      <rPr>
        <sz val="9"/>
        <rFont val="Arial"/>
        <family val="2"/>
      </rPr>
      <t>3231794.5
0</t>
    </r>
  </si>
  <si>
    <r>
      <rPr>
        <sz val="9"/>
        <rFont val="Arial"/>
        <family val="2"/>
      </rPr>
      <t>RTGS/ICIC R4202107 300051793
6/PUNB00
26610/inus h ali</t>
    </r>
  </si>
  <si>
    <r>
      <rPr>
        <sz val="9"/>
        <rFont val="Arial"/>
        <family val="2"/>
      </rPr>
      <t>1000000.0
0</t>
    </r>
  </si>
  <si>
    <r>
      <rPr>
        <sz val="9"/>
        <rFont val="Arial"/>
        <family val="2"/>
      </rPr>
      <t>2231794.5
0</t>
    </r>
  </si>
  <si>
    <r>
      <rPr>
        <sz val="9"/>
        <rFont val="Arial"/>
        <family val="2"/>
      </rPr>
      <t>INF/NEFT/ 024646649
741/PUNB
0026610/fa rmarshalau din/</t>
    </r>
  </si>
  <si>
    <r>
      <rPr>
        <sz val="9"/>
        <rFont val="Arial"/>
        <family val="2"/>
      </rPr>
      <t>1231794.5
0</t>
    </r>
  </si>
  <si>
    <r>
      <rPr>
        <sz val="9"/>
        <rFont val="Arial"/>
        <family val="2"/>
      </rPr>
      <t>CLG/CHE QUE/9364 01/GPO/28
.07.2021</t>
    </r>
  </si>
  <si>
    <r>
      <rPr>
        <sz val="9"/>
        <rFont val="Arial"/>
        <family val="2"/>
      </rPr>
      <t>2111794.5
0</t>
    </r>
  </si>
  <si>
    <r>
      <rPr>
        <sz val="9"/>
        <rFont val="Arial"/>
        <family val="2"/>
      </rPr>
      <t>31-Jul-
2021</t>
    </r>
  </si>
  <si>
    <r>
      <rPr>
        <sz val="9"/>
        <rFont val="Arial"/>
        <family val="2"/>
      </rPr>
      <t>UPI/12121 5454129/A
63/xfunda. chaudhar/I CICI
Bank/IC</t>
    </r>
  </si>
  <si>
    <r>
      <rPr>
        <sz val="9"/>
        <rFont val="Arial"/>
        <family val="2"/>
      </rPr>
      <t>01-Aug-
2021</t>
    </r>
  </si>
  <si>
    <r>
      <rPr>
        <sz val="9"/>
        <rFont val="Arial"/>
        <family val="2"/>
      </rPr>
      <t>02-Aug-
2021</t>
    </r>
  </si>
  <si>
    <r>
      <rPr>
        <sz val="9"/>
        <rFont val="Arial"/>
        <family val="2"/>
      </rPr>
      <t>MMT/IMPS
/12130930 2495/A16/ POOJA SHAR/HDF
C Bank</t>
    </r>
  </si>
  <si>
    <r>
      <rPr>
        <sz val="9"/>
        <rFont val="Arial"/>
        <family val="2"/>
      </rPr>
      <t>2321794.5
0</t>
    </r>
  </si>
  <si>
    <r>
      <rPr>
        <sz val="9"/>
        <rFont val="Arial"/>
        <family val="2"/>
      </rPr>
      <t>MMT/IMPS
/12130930 6220/A16/ POOJA SHAR/HDF
C Bank</t>
    </r>
  </si>
  <si>
    <r>
      <rPr>
        <sz val="9"/>
        <rFont val="Arial"/>
        <family val="2"/>
      </rPr>
      <t>2371794.5
0</t>
    </r>
  </si>
  <si>
    <r>
      <rPr>
        <sz val="9"/>
        <rFont val="Arial"/>
        <family val="2"/>
      </rPr>
      <t>RTGS/ICIC R4202108 010050183
6/PUNB00
26610/kas am alo</t>
    </r>
  </si>
  <si>
    <r>
      <rPr>
        <sz val="9"/>
        <rFont val="Arial"/>
        <family val="2"/>
      </rPr>
      <t>1371794.5
0</t>
    </r>
  </si>
  <si>
    <r>
      <rPr>
        <sz val="9"/>
        <rFont val="Arial"/>
        <family val="2"/>
      </rPr>
      <t>1054044.5
0</t>
    </r>
  </si>
  <si>
    <r>
      <rPr>
        <sz val="9"/>
        <rFont val="Arial"/>
        <family val="2"/>
      </rPr>
      <t>04-Aug-
2021</t>
    </r>
  </si>
  <si>
    <r>
      <rPr>
        <sz val="9"/>
        <rFont val="Arial"/>
        <family val="2"/>
      </rPr>
      <t>CLG/YOG ESH SHARMA/4 67809/SBI/
01.08.2021</t>
    </r>
  </si>
  <si>
    <r>
      <rPr>
        <sz val="9"/>
        <rFont val="Arial"/>
        <family val="2"/>
      </rPr>
      <t>1154044.5
0</t>
    </r>
  </si>
  <si>
    <r>
      <rPr>
        <sz val="9"/>
        <rFont val="Arial"/>
        <family val="2"/>
      </rPr>
      <t>05-Aug-
2021</t>
    </r>
  </si>
  <si>
    <r>
      <rPr>
        <sz val="9"/>
        <rFont val="Arial"/>
        <family val="2"/>
      </rPr>
      <t>RTGS/ICIC R4202108 050051129
4/PUNB00
26610/kas am alo</t>
    </r>
  </si>
  <si>
    <r>
      <rPr>
        <sz val="9"/>
        <rFont val="Arial"/>
        <family val="2"/>
      </rPr>
      <t>UPI/12171 4585272/U
PI/bittux87 @oksbi/Ye s Bank Ltd/S</t>
    </r>
  </si>
  <si>
    <r>
      <rPr>
        <sz val="9"/>
        <rFont val="Arial"/>
        <family val="2"/>
      </rPr>
      <t>UPI/12171 4572033/U
PI/bittux87 @oksbi/Ye s Bank Ltd/S</t>
    </r>
  </si>
  <si>
    <r>
      <rPr>
        <sz val="9"/>
        <rFont val="Arial"/>
        <family val="2"/>
      </rPr>
      <t>UPI/12171 8830776/U
PI/bittux87 @oksbi/Ye s Bank Ltd/S</t>
    </r>
  </si>
  <si>
    <r>
      <rPr>
        <sz val="9"/>
        <rFont val="Arial"/>
        <family val="2"/>
      </rPr>
      <t>UPI/12171 9900230/U
PI/bittux87 @oksbi/Ye s Bank Ltd/S</t>
    </r>
  </si>
  <si>
    <r>
      <rPr>
        <sz val="9"/>
        <rFont val="Arial"/>
        <family val="2"/>
      </rPr>
      <t>UPI/12171 9889782/U
PI/bittux87 @oksbi/Ye s Bank Ltd/S</t>
    </r>
  </si>
  <si>
    <r>
      <rPr>
        <sz val="9"/>
        <rFont val="Arial"/>
        <family val="2"/>
      </rPr>
      <t>06-Aug-
2021</t>
    </r>
  </si>
  <si>
    <r>
      <rPr>
        <sz val="9"/>
        <rFont val="Arial"/>
        <family val="2"/>
      </rPr>
      <t>UPI/12180 9419984/U
PI/bittux87 @oksbi/Ye s Bank Ltd/S</t>
    </r>
  </si>
  <si>
    <r>
      <rPr>
        <sz val="9"/>
        <rFont val="Arial"/>
        <family val="2"/>
      </rPr>
      <t>UPI/12180 9480217/U
PI/bittux87 @oksbi/Ye s Bank Ltd/S</t>
    </r>
  </si>
  <si>
    <r>
      <rPr>
        <sz val="9"/>
        <rFont val="Arial"/>
        <family val="2"/>
      </rPr>
      <t>UPI/12182 4629822/P
ayment from Ph/971975
1001@ybl/I C</t>
    </r>
  </si>
  <si>
    <r>
      <rPr>
        <sz val="9"/>
        <rFont val="Arial"/>
        <family val="2"/>
      </rPr>
      <t>UPI/12187 8856024/P
ayment from Ph/971975
1001@ybl/I C</t>
    </r>
  </si>
  <si>
    <r>
      <rPr>
        <sz val="9"/>
        <rFont val="Arial"/>
        <family val="2"/>
      </rPr>
      <t>07-Aug-
2021</t>
    </r>
  </si>
  <si>
    <r>
      <rPr>
        <sz val="9"/>
        <rFont val="Arial"/>
        <family val="2"/>
      </rPr>
      <t>CLG/RAJE EV SHARMA/0 00032/HDF
/05.08.202 1</t>
    </r>
  </si>
  <si>
    <r>
      <rPr>
        <sz val="9"/>
        <rFont val="Arial"/>
        <family val="2"/>
      </rPr>
      <t>09-Aug-
2021</t>
    </r>
  </si>
  <si>
    <r>
      <rPr>
        <sz val="9"/>
        <rFont val="Arial"/>
        <family val="2"/>
      </rPr>
      <t>UPI/12219 8348885/U
PI/sbavura @okhdfcb/ HDFC BANK LTD</t>
    </r>
  </si>
  <si>
    <r>
      <rPr>
        <sz val="9"/>
        <rFont val="Arial"/>
        <family val="2"/>
      </rPr>
      <t>RTGS/ICIC R4202108 090052632
9/PUNB00
26610/inus h ali</t>
    </r>
  </si>
  <si>
    <r>
      <rPr>
        <sz val="9"/>
        <rFont val="Arial"/>
        <family val="2"/>
      </rPr>
      <t>RTGS/ICIC R4202108 090052658
3/PUNB00
26610/shal au di</t>
    </r>
  </si>
  <si>
    <r>
      <rPr>
        <sz val="9"/>
        <rFont val="Arial"/>
        <family val="2"/>
      </rPr>
      <t>10-Aug-
2021</t>
    </r>
  </si>
  <si>
    <r>
      <rPr>
        <sz val="9"/>
        <rFont val="Arial"/>
        <family val="2"/>
      </rPr>
      <t>MMT/IMPS
/12221586 3507/MOB UA041135 0275/Mr LOKESH/S</t>
    </r>
  </si>
  <si>
    <r>
      <rPr>
        <sz val="9"/>
        <rFont val="Arial"/>
        <family val="2"/>
      </rPr>
      <t>11-Aug-
2021</t>
    </r>
  </si>
  <si>
    <r>
      <rPr>
        <sz val="9"/>
        <rFont val="Arial"/>
        <family val="2"/>
      </rPr>
      <t>CLG/YOG ESH SHARMA PRITHI/46 7810/SBI/0
4.08.2021</t>
    </r>
  </si>
  <si>
    <r>
      <rPr>
        <sz val="9"/>
        <rFont val="Arial"/>
        <family val="2"/>
      </rPr>
      <t>INF/INFT/0 247398506
71/aasutya giretene/aa shu</t>
    </r>
  </si>
  <si>
    <r>
      <rPr>
        <sz val="9"/>
        <rFont val="Arial"/>
        <family val="2"/>
      </rPr>
      <t>12-Aug-
2021</t>
    </r>
  </si>
  <si>
    <r>
      <rPr>
        <sz val="9"/>
        <rFont val="Arial"/>
        <family val="2"/>
      </rPr>
      <t>MMT/IMPS
/12241168
2439/Vikas Kumar/VIK AS
KUM/Kotak</t>
    </r>
  </si>
  <si>
    <r>
      <rPr>
        <sz val="9"/>
        <rFont val="Arial"/>
        <family val="2"/>
      </rPr>
      <t>NEFT- KKBKH212 24651718- VIKAS KUMAR- PAYMENT
-4511758</t>
    </r>
  </si>
  <si>
    <r>
      <rPr>
        <sz val="9"/>
        <rFont val="Arial"/>
        <family val="2"/>
      </rPr>
      <t>13-Aug-
2021</t>
    </r>
  </si>
  <si>
    <r>
      <rPr>
        <sz val="9"/>
        <rFont val="Arial"/>
        <family val="2"/>
      </rPr>
      <t>UPI/12259 1440944/P
ayment from Ph/971975
1001@ybl/I C</t>
    </r>
  </si>
  <si>
    <r>
      <rPr>
        <sz val="9"/>
        <rFont val="Arial"/>
        <family val="2"/>
      </rPr>
      <t>UPI/12250 7006300/P
ayment from Ph/971975
1001@ybl/I C</t>
    </r>
  </si>
  <si>
    <r>
      <rPr>
        <sz val="9"/>
        <rFont val="Arial"/>
        <family val="2"/>
      </rPr>
      <t>RTGS/ICIC R4202108 130052546
3/PUNB00
26610/kas am alo</t>
    </r>
  </si>
  <si>
    <r>
      <rPr>
        <sz val="9"/>
        <rFont val="Arial"/>
        <family val="2"/>
      </rPr>
      <t>14-Aug-
2021</t>
    </r>
  </si>
  <si>
    <r>
      <rPr>
        <sz val="9"/>
        <rFont val="Arial"/>
        <family val="2"/>
      </rPr>
      <t>16-Aug-
2021</t>
    </r>
  </si>
  <si>
    <r>
      <rPr>
        <sz val="9"/>
        <rFont val="Arial"/>
        <family val="2"/>
      </rPr>
      <t>BIL/INFT/0 001842322
63/Investm ent/</t>
    </r>
  </si>
  <si>
    <r>
      <rPr>
        <sz val="9"/>
        <rFont val="Arial"/>
        <family val="2"/>
      </rPr>
      <t>15-Aug-
2021</t>
    </r>
  </si>
  <si>
    <r>
      <rPr>
        <sz val="9"/>
        <rFont val="Arial"/>
        <family val="2"/>
      </rPr>
      <t>UPI/12277 4209395/U
PI/monikac houdhary/S tate Bank Of</t>
    </r>
  </si>
  <si>
    <r>
      <rPr>
        <sz val="9"/>
        <rFont val="Arial"/>
        <family val="2"/>
      </rPr>
      <t>UPI/12277 4236806/U
PI/monikac houdhary/S tate Bank Of</t>
    </r>
  </si>
  <si>
    <r>
      <rPr>
        <sz val="9"/>
        <rFont val="Arial"/>
        <family val="2"/>
      </rPr>
      <t>UPI/12277 4260316/U
PI/monikac houdhary/S tate Bank Of</t>
    </r>
  </si>
  <si>
    <r>
      <rPr>
        <sz val="9"/>
        <rFont val="Arial"/>
        <family val="2"/>
      </rPr>
      <t>CLG/JITEN DRA KUMAR/34 9414/SBI/1
2.08.2021</t>
    </r>
  </si>
  <si>
    <r>
      <rPr>
        <sz val="9"/>
        <rFont val="Arial"/>
        <family val="2"/>
      </rPr>
      <t>CLG/ASH OK KUMAR/54 1964/CAB/
11.08.2021</t>
    </r>
  </si>
  <si>
    <r>
      <rPr>
        <sz val="9"/>
        <rFont val="Arial"/>
        <family val="2"/>
      </rPr>
      <t>CLG/NIMM I CHAUDHA RY/314920
/SBI/12.08. 2021</t>
    </r>
  </si>
  <si>
    <r>
      <rPr>
        <sz val="9"/>
        <rFont val="Arial"/>
        <family val="2"/>
      </rPr>
      <t>18-Aug-
2021</t>
    </r>
  </si>
  <si>
    <r>
      <rPr>
        <sz val="9"/>
        <rFont val="Arial"/>
        <family val="2"/>
      </rPr>
      <t>CLG/SUBH ASH CHAND/65 9229/PNB/
13.08.2021</t>
    </r>
  </si>
  <si>
    <r>
      <rPr>
        <sz val="9"/>
        <rFont val="Arial"/>
        <family val="2"/>
      </rPr>
      <t>CLG/BRIJ ESH/53134 3/CAB/16.0
8.2021</t>
    </r>
  </si>
  <si>
    <r>
      <rPr>
        <sz val="9"/>
        <rFont val="Arial"/>
        <family val="2"/>
      </rPr>
      <t>CLG/VINA Y KUMR/000 003/BNB/1
5.08.2021</t>
    </r>
  </si>
  <si>
    <r>
      <rPr>
        <sz val="9"/>
        <rFont val="Arial"/>
        <family val="2"/>
      </rPr>
      <t>1507044.5
0</t>
    </r>
  </si>
  <si>
    <r>
      <rPr>
        <sz val="9"/>
        <rFont val="Arial"/>
        <family val="2"/>
      </rPr>
      <t>CLG/SUMI T KUMAR/04 8871/PNB/
14.08.2021</t>
    </r>
  </si>
  <si>
    <r>
      <rPr>
        <sz val="9"/>
        <rFont val="Arial"/>
        <family val="2"/>
      </rPr>
      <t>2007044.5
0</t>
    </r>
  </si>
  <si>
    <r>
      <rPr>
        <sz val="9"/>
        <rFont val="Arial"/>
        <family val="2"/>
      </rPr>
      <t>CLG/MUK ESH KUMAR/88 9154/PNB/
15.08.2021</t>
    </r>
  </si>
  <si>
    <r>
      <rPr>
        <sz val="9"/>
        <rFont val="Arial"/>
        <family val="2"/>
      </rPr>
      <t>2307044.5
0</t>
    </r>
  </si>
  <si>
    <r>
      <rPr>
        <sz val="9"/>
        <rFont val="Arial"/>
        <family val="2"/>
      </rPr>
      <t>19-Aug-
2021</t>
    </r>
  </si>
  <si>
    <r>
      <rPr>
        <sz val="9"/>
        <rFont val="Arial"/>
        <family val="2"/>
      </rPr>
      <t>CLG/DEVE NDER KUMAR/72 0520/PNB/
17.08.2021</t>
    </r>
  </si>
  <si>
    <r>
      <rPr>
        <sz val="9"/>
        <rFont val="Arial"/>
        <family val="2"/>
      </rPr>
      <t>2557044.5
0</t>
    </r>
  </si>
  <si>
    <r>
      <rPr>
        <sz val="9"/>
        <rFont val="Arial"/>
        <family val="2"/>
      </rPr>
      <t>CLG/ARVI ND KUMAR/23 4028/CAB/
17.08.2021</t>
    </r>
  </si>
  <si>
    <r>
      <rPr>
        <sz val="9"/>
        <rFont val="Arial"/>
        <family val="2"/>
      </rPr>
      <t>2721044.5
0</t>
    </r>
  </si>
  <si>
    <r>
      <rPr>
        <sz val="9"/>
        <rFont val="Arial"/>
        <family val="2"/>
      </rPr>
      <t>MMT/IMPS
/12311191 0100/MOB LT1908115 763/SHIKH A GAU/S</t>
    </r>
  </si>
  <si>
    <r>
      <rPr>
        <sz val="9"/>
        <rFont val="Arial"/>
        <family val="2"/>
      </rPr>
      <t>2731044.5
0</t>
    </r>
  </si>
  <si>
    <r>
      <rPr>
        <sz val="9"/>
        <rFont val="Arial"/>
        <family val="2"/>
      </rPr>
      <t>2906044.5
0</t>
    </r>
  </si>
  <si>
    <r>
      <rPr>
        <sz val="9"/>
        <rFont val="Arial"/>
        <family val="2"/>
      </rPr>
      <t>3056044.5
0</t>
    </r>
  </si>
  <si>
    <r>
      <rPr>
        <sz val="9"/>
        <rFont val="Arial"/>
        <family val="2"/>
      </rPr>
      <t>CLG/VIKA S TOMAR/43 4561/PNB/
18.08.2021</t>
    </r>
  </si>
  <si>
    <r>
      <rPr>
        <sz val="9"/>
        <rFont val="Arial"/>
        <family val="2"/>
      </rPr>
      <t>3427044.5
0</t>
    </r>
  </si>
  <si>
    <r>
      <rPr>
        <sz val="9"/>
        <rFont val="Arial"/>
        <family val="2"/>
      </rPr>
      <t>UPI/12316 6054437/P
ayment from Ph/xfunda. chaudhar/I</t>
    </r>
  </si>
  <si>
    <r>
      <rPr>
        <sz val="9"/>
        <rFont val="Arial"/>
        <family val="2"/>
      </rPr>
      <t>3447044.5
0</t>
    </r>
  </si>
  <si>
    <r>
      <rPr>
        <sz val="9"/>
        <rFont val="Arial"/>
        <family val="2"/>
      </rPr>
      <t>UPI/12317 0116625/U
PI/xfunda.c haudhar/IC ICI Bank/IC</t>
    </r>
  </si>
  <si>
    <r>
      <rPr>
        <sz val="9"/>
        <rFont val="Arial"/>
        <family val="2"/>
      </rPr>
      <t>3477044.5
0</t>
    </r>
  </si>
  <si>
    <r>
      <rPr>
        <sz val="9"/>
        <rFont val="Arial"/>
        <family val="2"/>
      </rPr>
      <t>20-Aug-
2021</t>
    </r>
  </si>
  <si>
    <r>
      <rPr>
        <sz val="9"/>
        <rFont val="Arial"/>
        <family val="2"/>
      </rPr>
      <t>RTGS/ICIC R4202108 200050483
4/PUNB00
26610/shal au di</t>
    </r>
  </si>
  <si>
    <r>
      <rPr>
        <sz val="9"/>
        <rFont val="Arial"/>
        <family val="2"/>
      </rPr>
      <t>2477044.5
0</t>
    </r>
  </si>
  <si>
    <r>
      <rPr>
        <sz val="9"/>
        <rFont val="Arial"/>
        <family val="2"/>
      </rPr>
      <t>RTGS/ICIC R4202108 200050491
5/PUNB00
26610/inus h ali</t>
    </r>
  </si>
  <si>
    <r>
      <rPr>
        <sz val="9"/>
        <rFont val="Arial"/>
        <family val="2"/>
      </rPr>
      <t>1477044.5
0</t>
    </r>
  </si>
  <si>
    <r>
      <rPr>
        <sz val="9"/>
        <rFont val="Arial"/>
        <family val="2"/>
      </rPr>
      <t>RTGS/ICIC R4202108 200050500
9/PUNB00
26610/kas am alo</t>
    </r>
  </si>
  <si>
    <r>
      <rPr>
        <sz val="9"/>
        <rFont val="Arial"/>
        <family val="2"/>
      </rPr>
      <t>NEFT- SBIN42123 1747892- MR
RAKHI TOMAR-
/ATTN//INB
-</t>
    </r>
  </si>
  <si>
    <r>
      <rPr>
        <sz val="9"/>
        <rFont val="Arial"/>
        <family val="2"/>
      </rPr>
      <t>23-Aug-
2021</t>
    </r>
  </si>
  <si>
    <r>
      <rPr>
        <sz val="9"/>
        <rFont val="Arial"/>
        <family val="2"/>
      </rPr>
      <t>UPI/12356 6880670/b
ooking/vikr antmalik85 0/HDFC BANK</t>
    </r>
  </si>
  <si>
    <r>
      <rPr>
        <sz val="9"/>
        <rFont val="Arial"/>
        <family val="2"/>
      </rPr>
      <t>BIL/INFT/0 001900856
04/Investm ent/</t>
    </r>
  </si>
  <si>
    <r>
      <rPr>
        <sz val="9"/>
        <rFont val="Arial"/>
        <family val="2"/>
      </rPr>
      <t>UPI/12351 9573288/P
ayment from Ph/945879
0191@ybl/ St</t>
    </r>
  </si>
  <si>
    <r>
      <rPr>
        <sz val="9"/>
        <rFont val="Arial"/>
        <family val="2"/>
      </rPr>
      <t>25-Aug-
2021</t>
    </r>
  </si>
  <si>
    <r>
      <rPr>
        <sz val="9"/>
        <rFont val="Arial"/>
        <family val="2"/>
      </rPr>
      <t>UPI/12372 8651782/P
ayment from Ph/avinash tyagi130/P</t>
    </r>
  </si>
  <si>
    <r>
      <rPr>
        <sz val="9"/>
        <rFont val="Arial"/>
        <family val="2"/>
      </rPr>
      <t>1608044.5
0</t>
    </r>
  </si>
  <si>
    <r>
      <rPr>
        <sz val="9"/>
        <rFont val="Arial"/>
        <family val="2"/>
      </rPr>
      <t>CLG/YOG ESH KUMAR/62 0762/SBI/1
9.08.2021</t>
    </r>
  </si>
  <si>
    <r>
      <rPr>
        <sz val="9"/>
        <rFont val="Arial"/>
        <family val="2"/>
      </rPr>
      <t>2208044.5
0</t>
    </r>
  </si>
  <si>
    <r>
      <rPr>
        <sz val="9"/>
        <rFont val="Arial"/>
        <family val="2"/>
      </rPr>
      <t>26-Aug-
2021</t>
    </r>
  </si>
  <si>
    <r>
      <rPr>
        <sz val="9"/>
        <rFont val="Arial"/>
        <family val="2"/>
      </rPr>
      <t>RTGS/ICIC R4202108 260050669
8/PUNB00
26610/kas am alo</t>
    </r>
  </si>
  <si>
    <r>
      <rPr>
        <sz val="9"/>
        <rFont val="Arial"/>
        <family val="2"/>
      </rPr>
      <t>1208044.5
0</t>
    </r>
  </si>
  <si>
    <r>
      <rPr>
        <sz val="9"/>
        <rFont val="Arial"/>
        <family val="2"/>
      </rPr>
      <t>NEFT- BDBLH212 38023227- MR  SUNIL KUMAR BANSAL-
/24 -</t>
    </r>
  </si>
  <si>
    <r>
      <rPr>
        <sz val="9"/>
        <rFont val="Arial"/>
        <family val="2"/>
      </rPr>
      <t>1258044.5
0</t>
    </r>
  </si>
  <si>
    <r>
      <rPr>
        <sz val="9"/>
        <rFont val="Arial"/>
        <family val="2"/>
      </rPr>
      <t>CLG/REEN A WO/17036 4/PNB/25.0
8.2021</t>
    </r>
  </si>
  <si>
    <r>
      <rPr>
        <sz val="9"/>
        <rFont val="Arial"/>
        <family val="2"/>
      </rPr>
      <t>1308044.5
0</t>
    </r>
  </si>
  <si>
    <r>
      <rPr>
        <sz val="9"/>
        <rFont val="Arial"/>
        <family val="2"/>
      </rPr>
      <t>CLG/REEN A WO/17036 3/PNB/25.0
8.2021</t>
    </r>
  </si>
  <si>
    <r>
      <rPr>
        <sz val="9"/>
        <rFont val="Arial"/>
        <family val="2"/>
      </rPr>
      <t>1438044.5
0</t>
    </r>
  </si>
  <si>
    <r>
      <rPr>
        <sz val="9"/>
        <rFont val="Arial"/>
        <family val="2"/>
      </rPr>
      <t>CLG/REEN A WO/17036 2/PNB/25.0
8.2021</t>
    </r>
  </si>
  <si>
    <r>
      <rPr>
        <sz val="9"/>
        <rFont val="Arial"/>
        <family val="2"/>
      </rPr>
      <t>1558044.5
0</t>
    </r>
  </si>
  <si>
    <r>
      <rPr>
        <sz val="9"/>
        <rFont val="Arial"/>
        <family val="2"/>
      </rPr>
      <t>1478044.5
0</t>
    </r>
  </si>
  <si>
    <r>
      <rPr>
        <sz val="9"/>
        <rFont val="Arial"/>
        <family val="2"/>
      </rPr>
      <t>1358044.5
0</t>
    </r>
  </si>
  <si>
    <r>
      <rPr>
        <sz val="9"/>
        <rFont val="Arial"/>
        <family val="2"/>
      </rPr>
      <t>27-Aug-
2021</t>
    </r>
  </si>
  <si>
    <r>
      <rPr>
        <sz val="9"/>
        <rFont val="Arial"/>
        <family val="2"/>
      </rPr>
      <t>NEFT- P2392101 24429943- ITESH BANSAL-- 218910100
8225-</t>
    </r>
  </si>
  <si>
    <r>
      <rPr>
        <sz val="9"/>
        <rFont val="Arial"/>
        <family val="2"/>
      </rPr>
      <t>1458044.5
0</t>
    </r>
  </si>
  <si>
    <r>
      <rPr>
        <sz val="9"/>
        <rFont val="Arial"/>
        <family val="2"/>
      </rPr>
      <t>NEFT- BDBLH216 00080334- MR  SUNIL KUMAR BANSAL-
/24 -</t>
    </r>
  </si>
  <si>
    <r>
      <rPr>
        <sz val="9"/>
        <rFont val="Arial"/>
        <family val="2"/>
      </rPr>
      <t>28-Aug-
2021</t>
    </r>
  </si>
  <si>
    <r>
      <rPr>
        <sz val="9"/>
        <rFont val="Arial"/>
        <family val="2"/>
      </rPr>
      <t>30-Aug-
2021</t>
    </r>
  </si>
  <si>
    <r>
      <rPr>
        <sz val="9"/>
        <rFont val="Arial"/>
        <family val="2"/>
      </rPr>
      <t>UPI/12409 2219979/P
ayment from Ph/xfunda. chaudhar/I</t>
    </r>
  </si>
  <si>
    <r>
      <rPr>
        <sz val="9"/>
        <rFont val="Arial"/>
        <family val="2"/>
      </rPr>
      <t>1613044.5
0</t>
    </r>
  </si>
  <si>
    <r>
      <rPr>
        <sz val="9"/>
        <rFont val="Arial"/>
        <family val="2"/>
      </rPr>
      <t>CLG/BRIJ ESH/53134 4/CAB/25.0
8.2021</t>
    </r>
  </si>
  <si>
    <r>
      <rPr>
        <sz val="9"/>
        <rFont val="Arial"/>
        <family val="2"/>
      </rPr>
      <t>1663044.5
0</t>
    </r>
  </si>
  <si>
    <r>
      <rPr>
        <sz val="9"/>
        <rFont val="Arial"/>
        <family val="2"/>
      </rPr>
      <t>CLG/SHEL LY/948607
/SBI/26.08. 2021</t>
    </r>
  </si>
  <si>
    <r>
      <rPr>
        <sz val="9"/>
        <rFont val="Arial"/>
        <family val="2"/>
      </rPr>
      <t>1763044.5
0</t>
    </r>
  </si>
  <si>
    <r>
      <rPr>
        <sz val="9"/>
        <rFont val="Arial"/>
        <family val="2"/>
      </rPr>
      <t>1913044.5
0</t>
    </r>
  </si>
  <si>
    <r>
      <rPr>
        <sz val="9"/>
        <rFont val="Arial"/>
        <family val="2"/>
      </rPr>
      <t>CLG/NIMM I CHOUDHA RY/314923
/SBI/26.08. 2021</t>
    </r>
  </si>
  <si>
    <r>
      <rPr>
        <sz val="9"/>
        <rFont val="Arial"/>
        <family val="2"/>
      </rPr>
      <t>2213044.5
0</t>
    </r>
  </si>
  <si>
    <r>
      <rPr>
        <sz val="9"/>
        <rFont val="Arial"/>
        <family val="2"/>
      </rPr>
      <t>31-Aug-
2021</t>
    </r>
  </si>
  <si>
    <r>
      <rPr>
        <sz val="9"/>
        <rFont val="Arial"/>
        <family val="2"/>
      </rPr>
      <t>NEFT- PUNBH21 243402928
-REENA WO SUNIL KUMAR-- 043121</t>
    </r>
  </si>
  <si>
    <r>
      <rPr>
        <sz val="9"/>
        <rFont val="Arial"/>
        <family val="2"/>
      </rPr>
      <t>2343044.5
0</t>
    </r>
  </si>
  <si>
    <r>
      <rPr>
        <sz val="9"/>
        <rFont val="Arial"/>
        <family val="2"/>
      </rPr>
      <t>NEFT- PUNBH21 243404117
-REENA WO SUNIL KUMAR-- 043121</t>
    </r>
  </si>
  <si>
    <r>
      <rPr>
        <sz val="9"/>
        <rFont val="Arial"/>
        <family val="2"/>
      </rPr>
      <t>2463044.5
0</t>
    </r>
  </si>
  <si>
    <r>
      <rPr>
        <sz val="9"/>
        <rFont val="Arial"/>
        <family val="2"/>
      </rPr>
      <t>01-Sep-
2021</t>
    </r>
  </si>
  <si>
    <r>
      <rPr>
        <sz val="9"/>
        <rFont val="Arial"/>
        <family val="2"/>
      </rPr>
      <t>CLG/SUSH ILA/27141 4/IDB/31.0
8.2021</t>
    </r>
  </si>
  <si>
    <r>
      <rPr>
        <sz val="9"/>
        <rFont val="Arial"/>
        <family val="2"/>
      </rPr>
      <t>2563044.5
0</t>
    </r>
  </si>
  <si>
    <r>
      <rPr>
        <sz val="9"/>
        <rFont val="Arial"/>
        <family val="2"/>
      </rPr>
      <t>CLG/RAM GOPAL/04 1732/AXI/2
7.08.2021</t>
    </r>
  </si>
  <si>
    <r>
      <rPr>
        <sz val="9"/>
        <rFont val="Arial"/>
        <family val="2"/>
      </rPr>
      <t>2597044.5
0</t>
    </r>
  </si>
  <si>
    <r>
      <rPr>
        <sz val="9"/>
        <rFont val="Arial"/>
        <family val="2"/>
      </rPr>
      <t>02-Sep-
2021</t>
    </r>
  </si>
  <si>
    <r>
      <rPr>
        <sz val="9"/>
        <rFont val="Arial"/>
        <family val="2"/>
      </rPr>
      <t>UPI/12456 5363822/P
ayment from Ph/976046
4545@ybl/ St</t>
    </r>
  </si>
  <si>
    <r>
      <rPr>
        <sz val="9"/>
        <rFont val="Arial"/>
        <family val="2"/>
      </rPr>
      <t>2597045.5
0</t>
    </r>
  </si>
  <si>
    <r>
      <rPr>
        <sz val="9"/>
        <rFont val="Arial"/>
        <family val="2"/>
      </rPr>
      <t>UPI/12457 1541356/P
ayment from Ph/976046
4545@ybl/ St</t>
    </r>
  </si>
  <si>
    <r>
      <rPr>
        <sz val="9"/>
        <rFont val="Arial"/>
        <family val="2"/>
      </rPr>
      <t>2692045.5
0</t>
    </r>
  </si>
  <si>
    <r>
      <rPr>
        <sz val="9"/>
        <rFont val="Arial"/>
        <family val="2"/>
      </rPr>
      <t>UPI/12458 4366188/U
PI/neha.ari hant1@o/P unjab Nation</t>
    </r>
  </si>
  <si>
    <r>
      <rPr>
        <sz val="9"/>
        <rFont val="Arial"/>
        <family val="2"/>
      </rPr>
      <t>2712045.5
0</t>
    </r>
  </si>
  <si>
    <r>
      <rPr>
        <sz val="9"/>
        <rFont val="Arial"/>
        <family val="2"/>
      </rPr>
      <t>NEFT- BDBLH216 00363305- MR  SUNIL KUMAR BANSAL-
/24 -</t>
    </r>
  </si>
  <si>
    <r>
      <rPr>
        <sz val="9"/>
        <rFont val="Arial"/>
        <family val="2"/>
      </rPr>
      <t>2841545.5
0</t>
    </r>
  </si>
  <si>
    <r>
      <rPr>
        <sz val="9"/>
        <rFont val="Arial"/>
        <family val="2"/>
      </rPr>
      <t>NEFT- P2452101 25314978- ITESH BANSAL-- 218910100
8225-</t>
    </r>
  </si>
  <si>
    <r>
      <rPr>
        <sz val="9"/>
        <rFont val="Arial"/>
        <family val="2"/>
      </rPr>
      <t>3071045.5
0</t>
    </r>
  </si>
  <si>
    <r>
      <rPr>
        <sz val="9"/>
        <rFont val="Arial"/>
        <family val="2"/>
      </rPr>
      <t>UPI/12457 4517178/N A/9456248
524@payt/ Bank of India/</t>
    </r>
  </si>
  <si>
    <r>
      <rPr>
        <sz val="9"/>
        <rFont val="Arial"/>
        <family val="2"/>
      </rPr>
      <t>3081045.5
0</t>
    </r>
  </si>
  <si>
    <r>
      <rPr>
        <sz val="9"/>
        <rFont val="Arial"/>
        <family val="2"/>
      </rPr>
      <t>03-Sep-
2021</t>
    </r>
  </si>
  <si>
    <r>
      <rPr>
        <sz val="9"/>
        <rFont val="Arial"/>
        <family val="2"/>
      </rPr>
      <t>UPI/12465 1207423/U
PI/ksandee p60489@o
/Axis Bank Ltd</t>
    </r>
  </si>
  <si>
    <r>
      <rPr>
        <sz val="9"/>
        <rFont val="Arial"/>
        <family val="2"/>
      </rPr>
      <t>3081046.5
0</t>
    </r>
  </si>
  <si>
    <r>
      <rPr>
        <sz val="9"/>
        <rFont val="Arial"/>
        <family val="2"/>
      </rPr>
      <t>UPI/12467 5372743/P
ayment from Ph/976046
4545@ybl/ St</t>
    </r>
  </si>
  <si>
    <r>
      <rPr>
        <sz val="9"/>
        <rFont val="Arial"/>
        <family val="2"/>
      </rPr>
      <t>3176046.5
0</t>
    </r>
  </si>
  <si>
    <r>
      <rPr>
        <sz val="9"/>
        <rFont val="Arial"/>
        <family val="2"/>
      </rPr>
      <t>UPI/12465 2613955/P
ayment from Ph/895804
6933@axl/ Pu</t>
    </r>
  </si>
  <si>
    <r>
      <rPr>
        <sz val="9"/>
        <rFont val="Arial"/>
        <family val="2"/>
      </rPr>
      <t>3181046.5
0</t>
    </r>
  </si>
  <si>
    <r>
      <rPr>
        <sz val="9"/>
        <rFont val="Arial"/>
        <family val="2"/>
      </rPr>
      <t>NEFT- 000356804
251- RAJKUMA R-
/URGENT/- 536402030
00011</t>
    </r>
  </si>
  <si>
    <r>
      <rPr>
        <sz val="9"/>
        <rFont val="Arial"/>
        <family val="2"/>
      </rPr>
      <t>3191046.5
0</t>
    </r>
  </si>
  <si>
    <r>
      <rPr>
        <sz val="9"/>
        <rFont val="Arial"/>
        <family val="2"/>
      </rPr>
      <t>NEFT- 000196997
758- SUMAN  - VIB NEFT- 309000412
971-RA</t>
    </r>
  </si>
  <si>
    <r>
      <rPr>
        <sz val="9"/>
        <rFont val="Arial"/>
        <family val="2"/>
      </rPr>
      <t>3216046.5
0</t>
    </r>
  </si>
  <si>
    <r>
      <rPr>
        <sz val="9"/>
        <rFont val="Arial"/>
        <family val="2"/>
      </rPr>
      <t>UPI/12465 4718339/U
PI/ksandee p60489@o
/Axis Bank Ltd</t>
    </r>
  </si>
  <si>
    <r>
      <rPr>
        <sz val="9"/>
        <rFont val="Arial"/>
        <family val="2"/>
      </rPr>
      <t>3266046.5
0</t>
    </r>
  </si>
  <si>
    <r>
      <rPr>
        <sz val="9"/>
        <rFont val="Arial"/>
        <family val="2"/>
      </rPr>
      <t>NEFT- SBIN22124 6543792- MR  RAJ KUMAR-
/ATTN//INB
-00</t>
    </r>
  </si>
  <si>
    <r>
      <rPr>
        <sz val="9"/>
        <rFont val="Arial"/>
        <family val="2"/>
      </rPr>
      <t>3431046.5
0</t>
    </r>
  </si>
  <si>
    <r>
      <rPr>
        <sz val="9"/>
        <rFont val="Arial"/>
        <family val="2"/>
      </rPr>
      <t>MMT/IMPS
/12461824
3854/refun db910/sikh a
/PUNB00</t>
    </r>
  </si>
  <si>
    <r>
      <rPr>
        <sz val="9"/>
        <rFont val="Arial"/>
        <family val="2"/>
      </rPr>
      <t>3421046.5
0</t>
    </r>
  </si>
  <si>
    <r>
      <rPr>
        <sz val="9"/>
        <rFont val="Arial"/>
        <family val="2"/>
      </rPr>
      <t>NEFT- PUNBH21 246754828
-RAJ KUMAR RACHNA CHAUDHA RY</t>
    </r>
  </si>
  <si>
    <r>
      <rPr>
        <sz val="9"/>
        <rFont val="Arial"/>
        <family val="2"/>
      </rPr>
      <t>3521046.5
0</t>
    </r>
  </si>
  <si>
    <r>
      <rPr>
        <sz val="9"/>
        <rFont val="Arial"/>
        <family val="2"/>
      </rPr>
      <t>MMT/IMPS
/12461941
3583/retun a29/abhina v
/BKID0007</t>
    </r>
  </si>
  <si>
    <r>
      <rPr>
        <sz val="9"/>
        <rFont val="Arial"/>
        <family val="2"/>
      </rPr>
      <t>3511046.5
0</t>
    </r>
  </si>
  <si>
    <r>
      <rPr>
        <sz val="9"/>
        <rFont val="Arial"/>
        <family val="2"/>
      </rPr>
      <t>04-Sep-
2021</t>
    </r>
  </si>
  <si>
    <r>
      <rPr>
        <sz val="9"/>
        <rFont val="Arial"/>
        <family val="2"/>
      </rPr>
      <t>NEFT- 000197238
310- SUMAN  - VIB NEFT- 309000412
971-RA</t>
    </r>
  </si>
  <si>
    <r>
      <rPr>
        <sz val="9"/>
        <rFont val="Arial"/>
        <family val="2"/>
      </rPr>
      <t>3611046.5
0</t>
    </r>
  </si>
  <si>
    <r>
      <rPr>
        <sz val="9"/>
        <rFont val="Arial"/>
        <family val="2"/>
      </rPr>
      <t>NEFT- PUNBH21 247794411
-RAJ KUMAR RACHNA CHAUDHA RY</t>
    </r>
  </si>
  <si>
    <r>
      <rPr>
        <sz val="9"/>
        <rFont val="Arial"/>
        <family val="2"/>
      </rPr>
      <t>3711046.5
0</t>
    </r>
  </si>
  <si>
    <r>
      <rPr>
        <sz val="9"/>
        <rFont val="Arial"/>
        <family val="2"/>
      </rPr>
      <t>UPI/12471 3580743/U
PI/birpalsin gh804@/St ate Bank Of</t>
    </r>
  </si>
  <si>
    <r>
      <rPr>
        <sz val="9"/>
        <rFont val="Arial"/>
        <family val="2"/>
      </rPr>
      <t>3711047.5
0</t>
    </r>
  </si>
  <si>
    <r>
      <rPr>
        <sz val="9"/>
        <rFont val="Arial"/>
        <family val="2"/>
      </rPr>
      <t>UPI/12471 4597787/U
PI/birpalsin gh804@/St ate Bank Of</t>
    </r>
  </si>
  <si>
    <r>
      <rPr>
        <sz val="9"/>
        <rFont val="Arial"/>
        <family val="2"/>
      </rPr>
      <t>3811046.5
0</t>
    </r>
  </si>
  <si>
    <r>
      <rPr>
        <sz val="9"/>
        <rFont val="Arial"/>
        <family val="2"/>
      </rPr>
      <t>UPI/12477 3530633/U
PI/ksandee p60489@o
/Axis Bank Ltd</t>
    </r>
  </si>
  <si>
    <r>
      <rPr>
        <sz val="9"/>
        <rFont val="Arial"/>
        <family val="2"/>
      </rPr>
      <t>3861046.5
0</t>
    </r>
  </si>
  <si>
    <r>
      <rPr>
        <sz val="9"/>
        <rFont val="Arial"/>
        <family val="2"/>
      </rPr>
      <t>UPI/12474 4639728/P
ayment from Ph/976046
4545@ybl/ St</t>
    </r>
  </si>
  <si>
    <r>
      <rPr>
        <sz val="9"/>
        <rFont val="Arial"/>
        <family val="2"/>
      </rPr>
      <t>3871046.5
0</t>
    </r>
  </si>
  <si>
    <r>
      <rPr>
        <sz val="9"/>
        <rFont val="Arial"/>
        <family val="2"/>
      </rPr>
      <t>UPI/12477 9850073/U
PI/ksandee p60489@o
/Axis Bank Ltd</t>
    </r>
  </si>
  <si>
    <r>
      <rPr>
        <sz val="9"/>
        <rFont val="Arial"/>
        <family val="2"/>
      </rPr>
      <t>3911046.5
0</t>
    </r>
  </si>
  <si>
    <r>
      <rPr>
        <sz val="9"/>
        <rFont val="Arial"/>
        <family val="2"/>
      </rPr>
      <t>06-Sep-
2021</t>
    </r>
  </si>
  <si>
    <r>
      <rPr>
        <sz val="9"/>
        <rFont val="Arial"/>
        <family val="2"/>
      </rPr>
      <t>MMT/IMPS
/12490973
8704/Vikas A15/VIKAS
KUM/Kotak M</t>
    </r>
  </si>
  <si>
    <r>
      <rPr>
        <sz val="9"/>
        <rFont val="Arial"/>
        <family val="2"/>
      </rPr>
      <t>3921046.5
0</t>
    </r>
  </si>
  <si>
    <r>
      <rPr>
        <sz val="9"/>
        <rFont val="Arial"/>
        <family val="2"/>
      </rPr>
      <t>CLG/SEPO Y GAURAV KUMAR/56 3827/SBI/0
2.09.2021</t>
    </r>
  </si>
  <si>
    <r>
      <rPr>
        <sz val="9"/>
        <rFont val="Arial"/>
        <family val="2"/>
      </rPr>
      <t>4021046.5
0</t>
    </r>
  </si>
  <si>
    <r>
      <rPr>
        <sz val="9"/>
        <rFont val="Arial"/>
        <family val="2"/>
      </rPr>
      <t>UPI/12491 9100232/N O REMARKS
/76786064
34@upi/St ate B</t>
    </r>
  </si>
  <si>
    <r>
      <rPr>
        <sz val="9"/>
        <rFont val="Arial"/>
        <family val="2"/>
      </rPr>
      <t>4021047.5
0</t>
    </r>
  </si>
  <si>
    <r>
      <rPr>
        <sz val="9"/>
        <rFont val="Arial"/>
        <family val="2"/>
      </rPr>
      <t>UPI/12491 9117204/Fr
om Satyabeer/ 767860643
4@upi/Sta</t>
    </r>
  </si>
  <si>
    <r>
      <rPr>
        <sz val="9"/>
        <rFont val="Arial"/>
        <family val="2"/>
      </rPr>
      <t>4061046.5
0</t>
    </r>
  </si>
  <si>
    <r>
      <rPr>
        <sz val="9"/>
        <rFont val="Arial"/>
        <family val="2"/>
      </rPr>
      <t>MMT/IMPS
/12492200
7515/for plot number/PR ITI PANW/P</t>
    </r>
  </si>
  <si>
    <r>
      <rPr>
        <sz val="9"/>
        <rFont val="Arial"/>
        <family val="2"/>
      </rPr>
      <t>4062046.5
0</t>
    </r>
  </si>
  <si>
    <r>
      <rPr>
        <sz val="9"/>
        <rFont val="Arial"/>
        <family val="2"/>
      </rPr>
      <t>07-Sep-
2021</t>
    </r>
  </si>
  <si>
    <r>
      <rPr>
        <sz val="9"/>
        <rFont val="Arial"/>
        <family val="2"/>
      </rPr>
      <t>NEFT- AXMB2125 03717341- INDU SHARMA-- 913010035
376305</t>
    </r>
  </si>
  <si>
    <r>
      <rPr>
        <sz val="9"/>
        <rFont val="Arial"/>
        <family val="2"/>
      </rPr>
      <t>4109546.5
0</t>
    </r>
  </si>
  <si>
    <r>
      <rPr>
        <sz val="9"/>
        <rFont val="Arial"/>
        <family val="2"/>
      </rPr>
      <t>UPI/12500 8417568/Fr
om Satyabeer/ 767860643
4@upi/Sta</t>
    </r>
  </si>
  <si>
    <r>
      <rPr>
        <sz val="9"/>
        <rFont val="Arial"/>
        <family val="2"/>
      </rPr>
      <t>4149546.5
0</t>
    </r>
  </si>
  <si>
    <r>
      <rPr>
        <sz val="9"/>
        <rFont val="Arial"/>
        <family val="2"/>
      </rPr>
      <t>UPI/12501 9872198/U
PI/ksandee p60489@o
/Axis Bank Ltd</t>
    </r>
  </si>
  <si>
    <r>
      <rPr>
        <sz val="9"/>
        <rFont val="Arial"/>
        <family val="2"/>
      </rPr>
      <t>4199546.5
0</t>
    </r>
  </si>
  <si>
    <r>
      <rPr>
        <sz val="9"/>
        <rFont val="Arial"/>
        <family val="2"/>
      </rPr>
      <t>CLG/NEHA VERMA/86 0445/PNB/
04.09.2021</t>
    </r>
  </si>
  <si>
    <r>
      <rPr>
        <sz val="9"/>
        <rFont val="Arial"/>
        <family val="2"/>
      </rPr>
      <t>4349546.5
0</t>
    </r>
  </si>
  <si>
    <r>
      <rPr>
        <sz val="9"/>
        <rFont val="Arial"/>
        <family val="2"/>
      </rPr>
      <t>NEFT- KKBKH212 50617321- VIKAS KUMAR- PAYMENT
-4511758</t>
    </r>
  </si>
  <si>
    <r>
      <rPr>
        <sz val="9"/>
        <rFont val="Arial"/>
        <family val="2"/>
      </rPr>
      <t>4499546.5
0</t>
    </r>
  </si>
  <si>
    <r>
      <rPr>
        <sz val="9"/>
        <rFont val="Arial"/>
        <family val="2"/>
      </rPr>
      <t>MMT/IMPS
/12501102
8522/Plot number A
/PRITI PANW/P</t>
    </r>
  </si>
  <si>
    <r>
      <rPr>
        <sz val="9"/>
        <rFont val="Arial"/>
        <family val="2"/>
      </rPr>
      <t>4598546.5
0</t>
    </r>
  </si>
  <si>
    <r>
      <rPr>
        <sz val="9"/>
        <rFont val="Arial"/>
        <family val="2"/>
      </rPr>
      <t>4618546.5
0</t>
    </r>
  </si>
  <si>
    <r>
      <rPr>
        <sz val="9"/>
        <rFont val="Arial"/>
        <family val="2"/>
      </rPr>
      <t>NEFT- PUNBH21 250582042
-PRITI PANWAR-- 403900010
01943</t>
    </r>
  </si>
  <si>
    <r>
      <rPr>
        <sz val="9"/>
        <rFont val="Arial"/>
        <family val="2"/>
      </rPr>
      <t>4818546.5
0</t>
    </r>
  </si>
  <si>
    <r>
      <rPr>
        <sz val="9"/>
        <rFont val="Arial"/>
        <family val="2"/>
      </rPr>
      <t>RTGS- SBINR520 210907410
73639- SHAHROZ
- 316557645
63-SB</t>
    </r>
  </si>
  <si>
    <r>
      <rPr>
        <sz val="9"/>
        <rFont val="Arial"/>
        <family val="2"/>
      </rPr>
      <t>5153522.9
0</t>
    </r>
  </si>
  <si>
    <r>
      <rPr>
        <sz val="9"/>
        <rFont val="Arial"/>
        <family val="2"/>
      </rPr>
      <t>08-Sep-
2021</t>
    </r>
  </si>
  <si>
    <r>
      <rPr>
        <sz val="9"/>
        <rFont val="Arial"/>
        <family val="2"/>
      </rPr>
      <t>CLG/JITEN DEE PAL SINGH/016 801/PNB/0
5.09.2021</t>
    </r>
  </si>
  <si>
    <r>
      <rPr>
        <sz val="9"/>
        <rFont val="Arial"/>
        <family val="2"/>
      </rPr>
      <t>5343522.9
0</t>
    </r>
  </si>
  <si>
    <r>
      <rPr>
        <sz val="9"/>
        <rFont val="Arial"/>
        <family val="2"/>
      </rPr>
      <t>CLG/MEE NU ANKIT KUMAR/14 1920/PNB/
05.09.2021</t>
    </r>
  </si>
  <si>
    <r>
      <rPr>
        <sz val="9"/>
        <rFont val="Arial"/>
        <family val="2"/>
      </rPr>
      <t>5625522.9
0</t>
    </r>
  </si>
  <si>
    <r>
      <rPr>
        <sz val="9"/>
        <rFont val="Arial"/>
        <family val="2"/>
      </rPr>
      <t>CLG/JITEN DRA KUMAR/34 9415/SBI/0
5.09.2021</t>
    </r>
  </si>
  <si>
    <r>
      <rPr>
        <sz val="9"/>
        <rFont val="Arial"/>
        <family val="2"/>
      </rPr>
      <t>5875522.9
0</t>
    </r>
  </si>
  <si>
    <r>
      <rPr>
        <sz val="9"/>
        <rFont val="Arial"/>
        <family val="2"/>
      </rPr>
      <t>CLG/SHIV RAJ SINGH/170 660/SBI/03
.09.2021</t>
    </r>
  </si>
  <si>
    <r>
      <rPr>
        <sz val="9"/>
        <rFont val="Arial"/>
        <family val="2"/>
      </rPr>
      <t>6050522.9
0</t>
    </r>
  </si>
  <si>
    <r>
      <rPr>
        <sz val="9"/>
        <rFont val="Arial"/>
        <family val="2"/>
      </rPr>
      <t>CLG/MAN SIH YADAV/00 1684/OBC/
03.09.2021</t>
    </r>
  </si>
  <si>
    <r>
      <rPr>
        <sz val="9"/>
        <rFont val="Arial"/>
        <family val="2"/>
      </rPr>
      <t>6150522.9
0</t>
    </r>
  </si>
  <si>
    <r>
      <rPr>
        <sz val="9"/>
        <rFont val="Arial"/>
        <family val="2"/>
      </rPr>
      <t>CLG/CHA RAN SINGH/187 962/PNB/0
5.09.2021</t>
    </r>
  </si>
  <si>
    <r>
      <rPr>
        <sz val="9"/>
        <rFont val="Arial"/>
        <family val="2"/>
      </rPr>
      <t>6933122.9
0</t>
    </r>
  </si>
  <si>
    <r>
      <rPr>
        <sz val="9"/>
        <rFont val="Arial"/>
        <family val="2"/>
      </rPr>
      <t>RTGS/ICIC R4202109 080053698
4/IOBA000
0608/jila Nidh</t>
    </r>
  </si>
  <si>
    <r>
      <rPr>
        <sz val="9"/>
        <rFont val="Arial"/>
        <family val="2"/>
      </rPr>
      <t>5560322.9
0</t>
    </r>
  </si>
  <si>
    <r>
      <rPr>
        <sz val="9"/>
        <rFont val="Arial"/>
        <family val="2"/>
      </rPr>
      <t>UPI/12512 5100444/U
PI/jonykum ar163199/ Canara Bank/I</t>
    </r>
  </si>
  <si>
    <r>
      <rPr>
        <sz val="9"/>
        <rFont val="Arial"/>
        <family val="2"/>
      </rPr>
      <t>5565322.9
0</t>
    </r>
  </si>
  <si>
    <r>
      <rPr>
        <sz val="9"/>
        <rFont val="Arial"/>
        <family val="2"/>
      </rPr>
      <t>UPI/12514 4875698/P
ayment from Ph/omindra
.kumar@y/ P</t>
    </r>
  </si>
  <si>
    <r>
      <rPr>
        <sz val="9"/>
        <rFont val="Arial"/>
        <family val="2"/>
      </rPr>
      <t>5585322.9
0</t>
    </r>
  </si>
  <si>
    <r>
      <rPr>
        <sz val="9"/>
        <rFont val="Arial"/>
        <family val="2"/>
      </rPr>
      <t>09-Sep-
2021</t>
    </r>
  </si>
  <si>
    <r>
      <rPr>
        <sz val="9"/>
        <rFont val="Arial"/>
        <family val="2"/>
      </rPr>
      <t>5435322.9
0</t>
    </r>
  </si>
  <si>
    <r>
      <rPr>
        <sz val="9"/>
        <rFont val="Arial"/>
        <family val="2"/>
      </rPr>
      <t>NEFT- AXMB2125 25163963- RAVI KUMAR 201014361
/PTC--9</t>
    </r>
  </si>
  <si>
    <r>
      <rPr>
        <sz val="9"/>
        <rFont val="Arial"/>
        <family val="2"/>
      </rPr>
      <t>5440322.9
0</t>
    </r>
  </si>
  <si>
    <r>
      <rPr>
        <sz val="9"/>
        <rFont val="Arial"/>
        <family val="2"/>
      </rPr>
      <t>UPI/12529 2792021/P
ayment from Ph/989797
6974@ybl/ HD</t>
    </r>
  </si>
  <si>
    <r>
      <rPr>
        <sz val="9"/>
        <rFont val="Arial"/>
        <family val="2"/>
      </rPr>
      <t>5490322.9
0</t>
    </r>
  </si>
  <si>
    <r>
      <rPr>
        <sz val="9"/>
        <rFont val="Arial"/>
        <family val="2"/>
      </rPr>
      <t>UPI/12528 8548883/P
ayment from Ph/989797
6974@ybl/ HD</t>
    </r>
  </si>
  <si>
    <r>
      <rPr>
        <sz val="9"/>
        <rFont val="Arial"/>
        <family val="2"/>
      </rPr>
      <t>5540322.9
0</t>
    </r>
  </si>
  <si>
    <r>
      <rPr>
        <sz val="9"/>
        <rFont val="Arial"/>
        <family val="2"/>
      </rPr>
      <t>UPI/12525 1946738/P
ayment from Ph/956817
6993@ybl/ St</t>
    </r>
  </si>
  <si>
    <r>
      <rPr>
        <sz val="9"/>
        <rFont val="Arial"/>
        <family val="2"/>
      </rPr>
      <t>5545322.9
0</t>
    </r>
  </si>
  <si>
    <r>
      <rPr>
        <sz val="9"/>
        <rFont val="Arial"/>
        <family val="2"/>
      </rPr>
      <t>10-Sep-
2021</t>
    </r>
  </si>
  <si>
    <r>
      <rPr>
        <sz val="9"/>
        <rFont val="Arial"/>
        <family val="2"/>
      </rPr>
      <t>CLG/SATY AVEER SINGH/931 612/PNB/0
9.09.2021</t>
    </r>
  </si>
  <si>
    <r>
      <rPr>
        <sz val="9"/>
        <rFont val="Arial"/>
        <family val="2"/>
      </rPr>
      <t>5795322.9
0</t>
    </r>
  </si>
  <si>
    <r>
      <rPr>
        <sz val="9"/>
        <rFont val="Arial"/>
        <family val="2"/>
      </rPr>
      <t>CLG/SATP AL SINGH/157 159/PNB/0
9.09.2021</t>
    </r>
  </si>
  <si>
    <r>
      <rPr>
        <sz val="9"/>
        <rFont val="Arial"/>
        <family val="2"/>
      </rPr>
      <t>5995322.9
0</t>
    </r>
  </si>
  <si>
    <r>
      <rPr>
        <sz val="9"/>
        <rFont val="Arial"/>
        <family val="2"/>
      </rPr>
      <t>CLG/SATP AL SINGH/157 155/PNB/0
9.09.2021</t>
    </r>
  </si>
  <si>
    <r>
      <rPr>
        <sz val="9"/>
        <rFont val="Arial"/>
        <family val="2"/>
      </rPr>
      <t>6195322.9
0</t>
    </r>
  </si>
  <si>
    <r>
      <rPr>
        <sz val="9"/>
        <rFont val="Arial"/>
        <family val="2"/>
      </rPr>
      <t>CLG/SATP AL SINGH/157 154/PNB/0
9.09.2021</t>
    </r>
  </si>
  <si>
    <r>
      <rPr>
        <sz val="9"/>
        <rFont val="Arial"/>
        <family val="2"/>
      </rPr>
      <t>6395322.9
0</t>
    </r>
  </si>
  <si>
    <r>
      <rPr>
        <sz val="9"/>
        <rFont val="Arial"/>
        <family val="2"/>
      </rPr>
      <t>29-Oct-
2021</t>
    </r>
  </si>
  <si>
    <r>
      <rPr>
        <sz val="9"/>
        <rFont val="Arial"/>
        <family val="2"/>
      </rPr>
      <t>MMT/IMPS
/13021241
0306/julfika rlabour/zulf ekar  /PU</t>
    </r>
  </si>
  <si>
    <r>
      <rPr>
        <sz val="9"/>
        <rFont val="Arial"/>
        <family val="2"/>
      </rPr>
      <t>1661850.9
0</t>
    </r>
  </si>
  <si>
    <r>
      <rPr>
        <sz val="9"/>
        <rFont val="Arial"/>
        <family val="2"/>
      </rPr>
      <t>RTGS/ICIC R4202110 290054204
1/PUNB00
26610/inus h ali</t>
    </r>
  </si>
  <si>
    <r>
      <rPr>
        <sz val="9"/>
        <rFont val="Arial"/>
        <family val="2"/>
      </rPr>
      <t>1401850.9
0</t>
    </r>
  </si>
  <si>
    <r>
      <rPr>
        <sz val="9"/>
        <rFont val="Arial"/>
        <family val="2"/>
      </rPr>
      <t>RTGS/ICIC R4202110 290054224
5/PUNB00
26610/shal au di</t>
    </r>
  </si>
  <si>
    <r>
      <rPr>
        <sz val="9"/>
        <rFont val="Arial"/>
        <family val="2"/>
      </rPr>
      <t>RTGS/ICIC R4202110 290054996
5/SBIN001
7876/Harp al Si</t>
    </r>
  </si>
  <si>
    <r>
      <rPr>
        <sz val="9"/>
        <rFont val="Arial"/>
        <family val="2"/>
      </rPr>
      <t>30-Oct-
2021</t>
    </r>
  </si>
  <si>
    <r>
      <rPr>
        <sz val="9"/>
        <rFont val="Arial"/>
        <family val="2"/>
      </rPr>
      <t>BIL/INFT/0 002439694
55/NA/</t>
    </r>
  </si>
  <si>
    <r>
      <rPr>
        <sz val="9"/>
        <rFont val="Arial"/>
        <family val="2"/>
      </rPr>
      <t>BIL/INFT/0 002439741
25/NA/</t>
    </r>
  </si>
  <si>
    <r>
      <rPr>
        <sz val="9"/>
        <rFont val="Arial"/>
        <family val="2"/>
      </rPr>
      <t>31-Oct-
2021</t>
    </r>
  </si>
  <si>
    <r>
      <rPr>
        <sz val="9"/>
        <rFont val="Arial"/>
        <family val="2"/>
      </rPr>
      <t>01-Nov-
2021</t>
    </r>
  </si>
  <si>
    <r>
      <rPr>
        <sz val="9"/>
        <rFont val="Arial"/>
        <family val="2"/>
      </rPr>
      <t>MMT/IMPS
/13040982
5267/lockin gtileDils/tya ldilsad/P</t>
    </r>
  </si>
  <si>
    <r>
      <rPr>
        <sz val="9"/>
        <rFont val="Arial"/>
        <family val="2"/>
      </rPr>
      <t>MMT/IMPS
/13051769
8983/gsb/r eliableIN/P UNB00704 00</t>
    </r>
  </si>
  <si>
    <r>
      <rPr>
        <sz val="9"/>
        <rFont val="Arial"/>
        <family val="2"/>
      </rPr>
      <t>02-Nov-
2021</t>
    </r>
  </si>
  <si>
    <r>
      <rPr>
        <sz val="9"/>
        <rFont val="Arial"/>
        <family val="2"/>
      </rPr>
      <t>MMT/IMPS
/13061082
1740/lavar/ minesgMO SI/PUNB01 15910</t>
    </r>
  </si>
  <si>
    <r>
      <rPr>
        <sz val="9"/>
        <rFont val="Arial"/>
        <family val="2"/>
      </rPr>
      <t>MMT/IMPS
/13061198
1174/salar y/rahulCHA UD/HDFC0 00435</t>
    </r>
  </si>
  <si>
    <r>
      <rPr>
        <sz val="9"/>
        <rFont val="Arial"/>
        <family val="2"/>
      </rPr>
      <t>MMT/IMPS
/13061476 8670/JCVp
ayment/JS construc/IO BA00</t>
    </r>
  </si>
  <si>
    <r>
      <rPr>
        <sz val="9"/>
        <rFont val="Arial"/>
        <family val="2"/>
      </rPr>
      <t>04-Nov-
2021</t>
    </r>
  </si>
  <si>
    <r>
      <rPr>
        <sz val="9"/>
        <rFont val="Arial"/>
        <family val="2"/>
      </rPr>
      <t>MMT/IMPS
/13081178
2574/salar y/goravDG
/CNRB000 232</t>
    </r>
  </si>
  <si>
    <r>
      <rPr>
        <sz val="9"/>
        <rFont val="Arial"/>
        <family val="2"/>
      </rPr>
      <t>08-Nov-
2021</t>
    </r>
  </si>
  <si>
    <r>
      <rPr>
        <sz val="9"/>
        <rFont val="Arial"/>
        <family val="2"/>
      </rPr>
      <t>UPI/13127 0735474/D
efnce garden s/8979890
449@ybl/S t</t>
    </r>
  </si>
  <si>
    <r>
      <rPr>
        <sz val="9"/>
        <rFont val="Arial"/>
        <family val="2"/>
      </rPr>
      <t>UPI/13127 9155410/U
PI/renurpfk cg@okic/St ate Bank Of</t>
    </r>
  </si>
  <si>
    <r>
      <rPr>
        <sz val="9"/>
        <rFont val="Arial"/>
        <family val="2"/>
      </rPr>
      <t>09-Nov-
2021</t>
    </r>
  </si>
  <si>
    <r>
      <rPr>
        <sz val="9"/>
        <rFont val="Arial"/>
        <family val="2"/>
      </rPr>
      <t>UPI/13131 4634304/Bi
rpal singh/birpal singh8145/ Stat</t>
    </r>
  </si>
  <si>
    <r>
      <rPr>
        <sz val="9"/>
        <rFont val="Arial"/>
        <family val="2"/>
      </rPr>
      <t>MMT/IMPS
/13131547
8294/gsb/r eliableIN/P UNB00704 00</t>
    </r>
  </si>
  <si>
    <r>
      <rPr>
        <sz val="9"/>
        <rFont val="Arial"/>
        <family val="2"/>
      </rPr>
      <t>INF/INFT/0 254336040
81/fabricat or
/nandkisho r</t>
    </r>
  </si>
  <si>
    <r>
      <rPr>
        <sz val="9"/>
        <rFont val="Arial"/>
        <family val="2"/>
      </rPr>
      <t>10-Nov-
2021</t>
    </r>
  </si>
  <si>
    <r>
      <rPr>
        <sz val="9"/>
        <rFont val="Arial"/>
        <family val="2"/>
      </rPr>
      <t>MMT/IMPS
/13141437
8270/gsbg st/reliableI N/PUNB00 7040</t>
    </r>
  </si>
  <si>
    <r>
      <rPr>
        <sz val="9"/>
        <rFont val="Arial"/>
        <family val="2"/>
      </rPr>
      <t>MMT/IMPS
/13141438
5808/gsbg st/CHAPR ANAtr/PUN B075170</t>
    </r>
  </si>
  <si>
    <r>
      <rPr>
        <sz val="9"/>
        <rFont val="Arial"/>
        <family val="2"/>
      </rPr>
      <t>12-Nov-
2021</t>
    </r>
  </si>
  <si>
    <r>
      <rPr>
        <sz val="9"/>
        <rFont val="Arial"/>
        <family val="2"/>
      </rPr>
      <t>UPI/13167 4126703/P
ayment from Ph/976046
4545@ybl/ St</t>
    </r>
  </si>
  <si>
    <r>
      <rPr>
        <sz val="9"/>
        <rFont val="Arial"/>
        <family val="2"/>
      </rPr>
      <t>RTGS/ICIC R4202111 120054361
0/BDBL000
1199/Bhar at gr</t>
    </r>
  </si>
  <si>
    <r>
      <rPr>
        <sz val="9"/>
        <rFont val="Arial"/>
        <family val="2"/>
      </rPr>
      <t>14-Nov-
2021</t>
    </r>
  </si>
  <si>
    <r>
      <rPr>
        <sz val="9"/>
        <rFont val="Arial"/>
        <family val="2"/>
      </rPr>
      <t>15-Nov-
2021</t>
    </r>
  </si>
  <si>
    <r>
      <rPr>
        <sz val="9"/>
        <rFont val="Arial"/>
        <family val="2"/>
      </rPr>
      <t>NEFT- IDIBH2131 9313664- SATANDR KUMAR-- 000000062
7827</t>
    </r>
  </si>
  <si>
    <r>
      <rPr>
        <sz val="9"/>
        <rFont val="Arial"/>
        <family val="2"/>
      </rPr>
      <t>MMT/IMPS
/13191427
6067/lookin gtilesDil/tya ldilsad/P</t>
    </r>
  </si>
  <si>
    <r>
      <rPr>
        <sz val="9"/>
        <rFont val="Arial"/>
        <family val="2"/>
      </rPr>
      <t>16-Nov-
2021</t>
    </r>
  </si>
  <si>
    <r>
      <rPr>
        <sz val="9"/>
        <rFont val="Arial"/>
        <family val="2"/>
      </rPr>
      <t>UPI/13200 8348874/U
PI/varunkm r2915@ok/ State Bank Of</t>
    </r>
  </si>
  <si>
    <r>
      <rPr>
        <sz val="9"/>
        <rFont val="Arial"/>
        <family val="2"/>
      </rPr>
      <t>NEFT- AXMB2132 07219062- RAVI KUMAR 201014361
/PTC--9</t>
    </r>
  </si>
  <si>
    <r>
      <rPr>
        <sz val="9"/>
        <rFont val="Arial"/>
        <family val="2"/>
      </rPr>
      <t>RTGS/ICIC R4202111 160054268
0/UTIB000
2688/avni eco</t>
    </r>
  </si>
  <si>
    <r>
      <rPr>
        <sz val="9"/>
        <rFont val="Arial"/>
        <family val="2"/>
      </rPr>
      <t>17-Nov-
2021</t>
    </r>
  </si>
  <si>
    <r>
      <rPr>
        <sz val="9"/>
        <rFont val="Arial"/>
        <family val="2"/>
      </rPr>
      <t>CLG/BRIJ PAL/62578 7/PNB/26.1
0.2021</t>
    </r>
  </si>
  <si>
    <r>
      <rPr>
        <sz val="9"/>
        <rFont val="Arial"/>
        <family val="2"/>
      </rPr>
      <t>MMT/IMPS
/13211402
3651/ceme nt/bharatce me/BDBL0 00119</t>
    </r>
  </si>
  <si>
    <r>
      <rPr>
        <sz val="9"/>
        <rFont val="Arial"/>
        <family val="2"/>
      </rPr>
      <t>CLG/PRA MOD KUMAR/15 7232/PNB/
11.11.2021</t>
    </r>
  </si>
  <si>
    <r>
      <rPr>
        <sz val="9"/>
        <rFont val="Arial"/>
        <family val="2"/>
      </rPr>
      <t>1395090.9
0</t>
    </r>
  </si>
  <si>
    <r>
      <rPr>
        <sz val="9"/>
        <rFont val="Arial"/>
        <family val="2"/>
      </rPr>
      <t>MMT/IMPS
/13211643
8911/officel ever/mainp al   /UBIN0</t>
    </r>
  </si>
  <si>
    <r>
      <rPr>
        <sz val="9"/>
        <rFont val="Arial"/>
        <family val="2"/>
      </rPr>
      <t>1360090.9
0</t>
    </r>
  </si>
  <si>
    <r>
      <rPr>
        <sz val="9"/>
        <rFont val="Arial"/>
        <family val="2"/>
      </rPr>
      <t>18-Nov-
2021</t>
    </r>
  </si>
  <si>
    <r>
      <rPr>
        <sz val="9"/>
        <rFont val="Arial"/>
        <family val="2"/>
      </rPr>
      <t>MMT/IMPS
/13221128
3891/refun dentry/arvi ndKUMA/C NRB0</t>
    </r>
  </si>
  <si>
    <r>
      <rPr>
        <sz val="9"/>
        <rFont val="Arial"/>
        <family val="2"/>
      </rPr>
      <t>1196090.9
0</t>
    </r>
  </si>
  <si>
    <r>
      <rPr>
        <sz val="9"/>
        <rFont val="Arial"/>
        <family val="2"/>
      </rPr>
      <t>RTGS/ICIC R4202111 180050741
6/SBIN000
1563/jagat sin</t>
    </r>
  </si>
  <si>
    <r>
      <rPr>
        <sz val="9"/>
        <rFont val="Arial"/>
        <family val="2"/>
      </rPr>
      <t>MMT/IMPS
/13221129
2393/refun dentry/aka sCHAUDH/ SBIN0</t>
    </r>
  </si>
  <si>
    <r>
      <rPr>
        <sz val="9"/>
        <rFont val="Arial"/>
        <family val="2"/>
      </rPr>
      <t>MMT/IMPS
/13221129
6957/refun dentry/arvi ndA17A/U TIB0</t>
    </r>
  </si>
  <si>
    <r>
      <rPr>
        <sz val="9"/>
        <rFont val="Arial"/>
        <family val="2"/>
      </rPr>
      <t>MMT/IMPS
/13221129
9206/refun dentry/arvi ndA17
/BARB0</t>
    </r>
  </si>
  <si>
    <r>
      <rPr>
        <sz val="9"/>
        <rFont val="Arial"/>
        <family val="2"/>
      </rPr>
      <t>MMT/IMPS
/13221498
3699/labou r/SHIVANA INs/SBIN0 00187</t>
    </r>
  </si>
  <si>
    <r>
      <rPr>
        <sz val="9"/>
        <rFont val="Arial"/>
        <family val="2"/>
      </rPr>
      <t>CLG/NISH ANT SAROHA/1 33512/AXI/
15.11.2021</t>
    </r>
  </si>
  <si>
    <r>
      <rPr>
        <sz val="9"/>
        <rFont val="Arial"/>
        <family val="2"/>
      </rPr>
      <t>1176590.9
0</t>
    </r>
  </si>
  <si>
    <r>
      <rPr>
        <sz val="9"/>
        <rFont val="Arial"/>
        <family val="2"/>
      </rPr>
      <t>19-Nov-
2021</t>
    </r>
  </si>
  <si>
    <r>
      <rPr>
        <sz val="9"/>
        <rFont val="Arial"/>
        <family val="2"/>
      </rPr>
      <t>MMT/IMPS
/13231458
1565/salar y/alokTYA GId/SBIN0 01660</t>
    </r>
  </si>
  <si>
    <r>
      <rPr>
        <sz val="9"/>
        <rFont val="Arial"/>
        <family val="2"/>
      </rPr>
      <t>20-Nov-
2021</t>
    </r>
  </si>
  <si>
    <r>
      <rPr>
        <sz val="9"/>
        <rFont val="Arial"/>
        <family val="2"/>
      </rPr>
      <t>RTGS- PUNBR52 021112016
698511- SHALAU DIN S/O WASIDH-</t>
    </r>
  </si>
  <si>
    <r>
      <rPr>
        <sz val="9"/>
        <rFont val="Arial"/>
        <family val="2"/>
      </rPr>
      <t>1250590.9
0</t>
    </r>
  </si>
  <si>
    <r>
      <rPr>
        <sz val="9"/>
        <rFont val="Arial"/>
        <family val="2"/>
      </rPr>
      <t>MMT/IMPS
/13241886
7750/salar y/avinashT YA/PUNB0 47160</t>
    </r>
  </si>
  <si>
    <r>
      <rPr>
        <sz val="9"/>
        <rFont val="Arial"/>
        <family val="2"/>
      </rPr>
      <t>1220590.9
0</t>
    </r>
  </si>
  <si>
    <r>
      <rPr>
        <sz val="9"/>
        <rFont val="Arial"/>
        <family val="2"/>
      </rPr>
      <t>23-Nov-
2021</t>
    </r>
  </si>
  <si>
    <r>
      <rPr>
        <sz val="9"/>
        <rFont val="Arial"/>
        <family val="2"/>
      </rPr>
      <t>NEFT- SBIN52132 7942249- MRS ANURADH A SHARMA-
/ATTN/</t>
    </r>
  </si>
  <si>
    <r>
      <rPr>
        <sz val="9"/>
        <rFont val="Arial"/>
        <family val="2"/>
      </rPr>
      <t>1320590.9
0</t>
    </r>
  </si>
  <si>
    <r>
      <rPr>
        <sz val="9"/>
        <rFont val="Arial"/>
        <family val="2"/>
      </rPr>
      <t>24-Nov-
2021</t>
    </r>
  </si>
  <si>
    <r>
      <rPr>
        <sz val="9"/>
        <rFont val="Arial"/>
        <family val="2"/>
      </rPr>
      <t>1527840.9
0</t>
    </r>
  </si>
  <si>
    <r>
      <rPr>
        <sz val="9"/>
        <rFont val="Arial"/>
        <family val="2"/>
      </rPr>
      <t>MMT/IMPS
/13281291
5001/jcv/J Sconstruc/I OBA00006 08</t>
    </r>
  </si>
  <si>
    <r>
      <rPr>
        <sz val="9"/>
        <rFont val="Arial"/>
        <family val="2"/>
      </rPr>
      <t>1482840.9
0</t>
    </r>
  </si>
  <si>
    <r>
      <rPr>
        <sz val="9"/>
        <rFont val="Arial"/>
        <family val="2"/>
      </rPr>
      <t>MMT/IMPS
/13281804
7199/salar y/AMITgdT OMA/PUN B000420</t>
    </r>
  </si>
  <si>
    <r>
      <rPr>
        <sz val="9"/>
        <rFont val="Arial"/>
        <family val="2"/>
      </rPr>
      <t>1452840.9
0</t>
    </r>
  </si>
  <si>
    <r>
      <rPr>
        <sz val="9"/>
        <rFont val="Arial"/>
        <family val="2"/>
      </rPr>
      <t>MMT/IMPS
/13281804
8820/salar y/ARUNbhi DG
/SBIN0016 60</t>
    </r>
  </si>
  <si>
    <r>
      <rPr>
        <sz val="9"/>
        <rFont val="Arial"/>
        <family val="2"/>
      </rPr>
      <t>1422840.9
0</t>
    </r>
  </si>
  <si>
    <r>
      <rPr>
        <sz val="9"/>
        <rFont val="Arial"/>
        <family val="2"/>
      </rPr>
      <t>MMT/IMPS
/13281804
9442/salar y/vinayMA LIK/SBIN0 00761</t>
    </r>
  </si>
  <si>
    <r>
      <rPr>
        <sz val="9"/>
        <rFont val="Arial"/>
        <family val="2"/>
      </rPr>
      <t>1392840.9
0</t>
    </r>
  </si>
  <si>
    <r>
      <rPr>
        <sz val="9"/>
        <rFont val="Arial"/>
        <family val="2"/>
      </rPr>
      <t>MMT/IMPS
/13281805
3395/salar y/sagarMA LIK/CNRB 000218</t>
    </r>
  </si>
  <si>
    <r>
      <rPr>
        <sz val="9"/>
        <rFont val="Arial"/>
        <family val="2"/>
      </rPr>
      <t>1362840.9
0</t>
    </r>
  </si>
  <si>
    <r>
      <rPr>
        <sz val="9"/>
        <rFont val="Arial"/>
        <family val="2"/>
      </rPr>
      <t>INF/INFT/0 255532575
61/salary
/aashu</t>
    </r>
  </si>
  <si>
    <r>
      <rPr>
        <sz val="9"/>
        <rFont val="Arial"/>
        <family val="2"/>
      </rPr>
      <t>1332840.9
0</t>
    </r>
  </si>
  <si>
    <r>
      <rPr>
        <sz val="9"/>
        <rFont val="Arial"/>
        <family val="2"/>
      </rPr>
      <t>INF/INFT/0 255532615
41/salary
/yogrshTY AGId</t>
    </r>
  </si>
  <si>
    <r>
      <rPr>
        <sz val="9"/>
        <rFont val="Arial"/>
        <family val="2"/>
      </rPr>
      <t>1302840.9
0</t>
    </r>
  </si>
  <si>
    <r>
      <rPr>
        <sz val="9"/>
        <rFont val="Arial"/>
        <family val="2"/>
      </rPr>
      <t>MMT/IMPS
/13281805
7688/salar y/mohiKU MARd/IOB A000356</t>
    </r>
  </si>
  <si>
    <r>
      <rPr>
        <sz val="9"/>
        <rFont val="Arial"/>
        <family val="2"/>
      </rPr>
      <t>1272840.9
0</t>
    </r>
  </si>
  <si>
    <r>
      <rPr>
        <sz val="9"/>
        <rFont val="Arial"/>
        <family val="2"/>
      </rPr>
      <t>MMT/IMPS
/13281806
2004/salar y/PRAVIN DRAk/PUN B002661</t>
    </r>
  </si>
  <si>
    <r>
      <rPr>
        <sz val="9"/>
        <rFont val="Arial"/>
        <family val="2"/>
      </rPr>
      <t>1242840.9
0</t>
    </r>
  </si>
  <si>
    <r>
      <rPr>
        <sz val="9"/>
        <rFont val="Arial"/>
        <family val="2"/>
      </rPr>
      <t>MMT/IMPS
/13281806
3375/salar y/PRAVIN DRAk/PUN B002661</t>
    </r>
  </si>
  <si>
    <r>
      <rPr>
        <sz val="9"/>
        <rFont val="Arial"/>
        <family val="2"/>
      </rPr>
      <t>1142840.9
0</t>
    </r>
  </si>
  <si>
    <r>
      <rPr>
        <sz val="9"/>
        <rFont val="Arial"/>
        <family val="2"/>
      </rPr>
      <t>INF/INFT/0 255532895
41/salary
/kuldeepici ci</t>
    </r>
  </si>
  <si>
    <r>
      <rPr>
        <sz val="9"/>
        <rFont val="Arial"/>
        <family val="2"/>
      </rPr>
      <t>1042840.9
0</t>
    </r>
  </si>
  <si>
    <r>
      <rPr>
        <sz val="9"/>
        <rFont val="Arial"/>
        <family val="2"/>
      </rPr>
      <t>MMT/IMPS
/13281807
0256/salar y/sumiti
/PUNB052 281</t>
    </r>
  </si>
  <si>
    <r>
      <rPr>
        <sz val="9"/>
        <rFont val="Arial"/>
        <family val="2"/>
      </rPr>
      <t>RTGS/ICIC R4202111 240054063
4/UBIN055
0256/ajs texti</t>
    </r>
  </si>
  <si>
    <r>
      <rPr>
        <sz val="9"/>
        <rFont val="Arial"/>
        <family val="2"/>
      </rPr>
      <t>25-Nov-
2021</t>
    </r>
  </si>
  <si>
    <r>
      <rPr>
        <sz val="9"/>
        <rFont val="Arial"/>
        <family val="2"/>
      </rPr>
      <t>MMT/IMPS
/13291548
0127/ceme nt/bharatce me/BDBL0 00119</t>
    </r>
  </si>
  <si>
    <r>
      <rPr>
        <sz val="9"/>
        <rFont val="Arial"/>
        <family val="2"/>
      </rPr>
      <t>26-Nov-
2021</t>
    </r>
  </si>
  <si>
    <r>
      <rPr>
        <sz val="9"/>
        <rFont val="Arial"/>
        <family val="2"/>
      </rPr>
      <t>MMT/IMPS
/13300942
6493/blank et/AJStextil e/UBIN055 02</t>
    </r>
  </si>
  <si>
    <r>
      <rPr>
        <sz val="9"/>
        <rFont val="Arial"/>
        <family val="2"/>
      </rPr>
      <t>UPI/13307 8872887/P
ayment from Ph/945752
8439@ybl/ St</t>
    </r>
  </si>
  <si>
    <r>
      <rPr>
        <sz val="9"/>
        <rFont val="Arial"/>
        <family val="2"/>
      </rPr>
      <t>MMT/IMPS
/13301791
7409/salar y/AMITyad av
/HDFC000 065</t>
    </r>
  </si>
  <si>
    <r>
      <rPr>
        <sz val="9"/>
        <rFont val="Arial"/>
        <family val="2"/>
      </rPr>
      <t>29-Nov-
2021</t>
    </r>
  </si>
  <si>
    <r>
      <rPr>
        <sz val="9"/>
        <rFont val="Arial"/>
        <family val="2"/>
      </rPr>
      <t>CLG/RAJE EV KUMAR/84 6528/SBI/1
9.11.2021</t>
    </r>
  </si>
  <si>
    <r>
      <rPr>
        <sz val="9"/>
        <rFont val="Arial"/>
        <family val="2"/>
      </rPr>
      <t>INF/INFT/0 255857770
51/salary
/kuldeepici ci</t>
    </r>
  </si>
  <si>
    <r>
      <rPr>
        <sz val="9"/>
        <rFont val="Arial"/>
        <family val="2"/>
      </rPr>
      <t>30-Nov-
2021</t>
    </r>
  </si>
  <si>
    <r>
      <rPr>
        <sz val="9"/>
        <rFont val="Arial"/>
        <family val="2"/>
      </rPr>
      <t>RTGS/ICIC R4202111 300051331
1/UTIB000
2688/avni eco</t>
    </r>
  </si>
  <si>
    <r>
      <rPr>
        <sz val="9"/>
        <rFont val="Arial"/>
        <family val="2"/>
      </rPr>
      <t>02-Dec-
2021</t>
    </r>
  </si>
  <si>
    <r>
      <rPr>
        <sz val="9"/>
        <rFont val="Arial"/>
        <family val="2"/>
      </rPr>
      <t>MMT/IMPS
/13362283
9124/salar y/MANISH
saga/PUN B007290</t>
    </r>
  </si>
  <si>
    <r>
      <rPr>
        <sz val="9"/>
        <rFont val="Arial"/>
        <family val="2"/>
      </rPr>
      <t>03-Dec-
2021</t>
    </r>
  </si>
  <si>
    <r>
      <rPr>
        <sz val="9"/>
        <rFont val="Arial"/>
        <family val="2"/>
      </rPr>
      <t>RTGS- SBINR520 211203550
36199- BRIJ PAL SINGH- 3022512</t>
    </r>
  </si>
  <si>
    <r>
      <rPr>
        <sz val="9"/>
        <rFont val="Arial"/>
        <family val="2"/>
      </rPr>
      <t>04-Dec-
2021</t>
    </r>
  </si>
  <si>
    <r>
      <rPr>
        <sz val="9"/>
        <rFont val="Arial"/>
        <family val="2"/>
      </rPr>
      <t>UPI/13382 4529818/P
ayment from Ph/992783
0484@ybl/ St</t>
    </r>
  </si>
  <si>
    <r>
      <rPr>
        <sz val="9"/>
        <rFont val="Arial"/>
        <family val="2"/>
      </rPr>
      <t>1004387.9
0</t>
    </r>
  </si>
  <si>
    <r>
      <rPr>
        <sz val="9"/>
        <rFont val="Arial"/>
        <family val="2"/>
      </rPr>
      <t>05-Dec-
2021</t>
    </r>
  </si>
  <si>
    <r>
      <rPr>
        <sz val="9"/>
        <rFont val="Arial"/>
        <family val="2"/>
      </rPr>
      <t>06-Dec-
2021</t>
    </r>
  </si>
  <si>
    <r>
      <rPr>
        <sz val="9"/>
        <rFont val="Arial"/>
        <family val="2"/>
      </rPr>
      <t>MMT/IMPS
/13391795
2656/refun dentry/ITE SHbansa/C NRB0</t>
    </r>
  </si>
  <si>
    <r>
      <rPr>
        <sz val="9"/>
        <rFont val="Arial"/>
        <family val="2"/>
      </rPr>
      <t>RTGS/ICIC R4202112 050050344
3/YESB00
00470/sate ndra</t>
    </r>
  </si>
  <si>
    <r>
      <rPr>
        <sz val="9"/>
        <rFont val="Arial"/>
        <family val="2"/>
      </rPr>
      <t>MMT/IMPS
/13401475
6290/jcv/J Sconstruc/I OBA00006 08</t>
    </r>
  </si>
  <si>
    <r>
      <rPr>
        <sz val="9"/>
        <rFont val="Arial"/>
        <family val="2"/>
      </rPr>
      <t>MMT/IMPS
/13401592
3180/ceme nt/bharatce me/BDBL0 00119</t>
    </r>
  </si>
  <si>
    <r>
      <rPr>
        <sz val="9"/>
        <rFont val="Arial"/>
        <family val="2"/>
      </rPr>
      <t>MMT/IMPS
/13401979
1054/salry/ alokTYAGI d/SBIN001 6609</t>
    </r>
  </si>
  <si>
    <r>
      <rPr>
        <sz val="9"/>
        <rFont val="Arial"/>
        <family val="2"/>
      </rPr>
      <t>07-Dec-
2021</t>
    </r>
  </si>
  <si>
    <r>
      <rPr>
        <sz val="9"/>
        <rFont val="Arial"/>
        <family val="2"/>
      </rPr>
      <t>CLG/JITEN DRA/3494 18/SBI/03.
12.2021</t>
    </r>
  </si>
  <si>
    <r>
      <rPr>
        <sz val="9"/>
        <rFont val="Arial"/>
        <family val="2"/>
      </rPr>
      <t>CLG/MUK ESH KUMAR/88 9160/PNB/
30.11.2021</t>
    </r>
  </si>
  <si>
    <r>
      <rPr>
        <sz val="9"/>
        <rFont val="Arial"/>
        <family val="2"/>
      </rPr>
      <t>09-Dec-
2021</t>
    </r>
  </si>
  <si>
    <r>
      <rPr>
        <sz val="9"/>
        <rFont val="Arial"/>
        <family val="2"/>
      </rPr>
      <t>MMT/IMPS
/13431006
9787/lockin gtiles/tyaldi lsad/PUNB</t>
    </r>
  </si>
  <si>
    <r>
      <rPr>
        <sz val="9"/>
        <rFont val="Arial"/>
        <family val="2"/>
      </rPr>
      <t>10-Dec-
2021</t>
    </r>
  </si>
  <si>
    <r>
      <rPr>
        <sz val="9"/>
        <rFont val="Arial"/>
        <family val="2"/>
      </rPr>
      <t>MMT/IMPS
/13441822
5750/saley/ goravDG
/CNRB000 2323</t>
    </r>
  </si>
  <si>
    <r>
      <rPr>
        <sz val="9"/>
        <rFont val="Arial"/>
        <family val="2"/>
      </rPr>
      <t>MMT/IMPS
/13441827
0420/salar y/goravDG
/CNRB000 232</t>
    </r>
  </si>
  <si>
    <r>
      <rPr>
        <sz val="9"/>
        <rFont val="Arial"/>
        <family val="2"/>
      </rPr>
      <t>11-Dec-
2021</t>
    </r>
  </si>
  <si>
    <r>
      <rPr>
        <sz val="9"/>
        <rFont val="Arial"/>
        <family val="2"/>
      </rPr>
      <t>13-Dec-
2021</t>
    </r>
  </si>
  <si>
    <r>
      <rPr>
        <sz val="9"/>
        <rFont val="Arial"/>
        <family val="2"/>
      </rPr>
      <t>NEFT- N3452117 49219794- NARESH KUMAR-A 10 EMI-
501002</t>
    </r>
  </si>
  <si>
    <r>
      <rPr>
        <sz val="9"/>
        <rFont val="Arial"/>
        <family val="2"/>
      </rPr>
      <t>12-Dec-
2021</t>
    </r>
  </si>
  <si>
    <r>
      <rPr>
        <sz val="9"/>
        <rFont val="Arial"/>
        <family val="2"/>
      </rPr>
      <t>MMT/IMPS
/13461432
5692/comp utertally/mit talTALE/H DF</t>
    </r>
  </si>
  <si>
    <r>
      <rPr>
        <sz val="9"/>
        <rFont val="Arial"/>
        <family val="2"/>
      </rPr>
      <t>NEFT- SBIN52134 6164648- MRS ANURADH A SHARMA-
/ATTN/</t>
    </r>
  </si>
  <si>
    <r>
      <rPr>
        <sz val="9"/>
        <rFont val="Arial"/>
        <family val="2"/>
      </rPr>
      <t>INF/INFT/0 257185424
41/refunda 11
/satendraA 11</t>
    </r>
  </si>
  <si>
    <r>
      <rPr>
        <sz val="9"/>
        <rFont val="Arial"/>
        <family val="2"/>
      </rPr>
      <t>17-Dec-
2021</t>
    </r>
  </si>
  <si>
    <r>
      <rPr>
        <sz val="9"/>
        <rFont val="Arial"/>
        <family val="2"/>
      </rPr>
      <t>MMT/IMPS
/13510802
1027/salar y/rahulCHA UD/HDFC0 00435</t>
    </r>
  </si>
  <si>
    <r>
      <rPr>
        <sz val="9"/>
        <rFont val="Arial"/>
        <family val="2"/>
      </rPr>
      <t>MMT/IMPS
/13511902
8821/ceme nt/bharatce me/BDBL0 00119</t>
    </r>
  </si>
  <si>
    <r>
      <rPr>
        <sz val="9"/>
        <rFont val="Arial"/>
        <family val="2"/>
      </rPr>
      <t>20-Dec-
2021</t>
    </r>
  </si>
  <si>
    <r>
      <rPr>
        <sz val="9"/>
        <rFont val="Arial"/>
        <family val="2"/>
      </rPr>
      <t>INF/INFT/0 257743779
31/salary
/kuldeepici ci</t>
    </r>
  </si>
  <si>
    <r>
      <rPr>
        <sz val="9"/>
        <rFont val="Arial"/>
        <family val="2"/>
      </rPr>
      <t>MMT/IMPS
/13541486
4324/salar y/sumiti
/PUNB052 281</t>
    </r>
  </si>
  <si>
    <r>
      <rPr>
        <sz val="9"/>
        <rFont val="Arial"/>
        <family val="2"/>
      </rPr>
      <t>21-Dec-
2021</t>
    </r>
  </si>
  <si>
    <r>
      <rPr>
        <sz val="9"/>
        <rFont val="Arial"/>
        <family val="2"/>
      </rPr>
      <t>RTGS- IDIBR5202 112212627
3505-MR PRAVEEN KUMAR- 0000</t>
    </r>
  </si>
  <si>
    <r>
      <rPr>
        <sz val="9"/>
        <rFont val="Arial"/>
        <family val="2"/>
      </rPr>
      <t>NEFT- PUNBH21 355888740
-PRITI PANWAR-- 403900010
01943</t>
    </r>
  </si>
  <si>
    <r>
      <rPr>
        <sz val="9"/>
        <rFont val="Arial"/>
        <family val="2"/>
      </rPr>
      <t>1021147.9
0</t>
    </r>
  </si>
  <si>
    <r>
      <rPr>
        <sz val="9"/>
        <rFont val="Arial"/>
        <family val="2"/>
      </rPr>
      <t>22-Dec-
2021</t>
    </r>
  </si>
  <si>
    <r>
      <rPr>
        <sz val="9"/>
        <rFont val="Arial"/>
        <family val="2"/>
      </rPr>
      <t>MMT/IMPS
/13561143
9049/lokun gtyal/AVNI ecoIND/UT IB00</t>
    </r>
  </si>
  <si>
    <r>
      <rPr>
        <sz val="9"/>
        <rFont val="Arial"/>
        <family val="2"/>
      </rPr>
      <t>NEFT- PUNBH21 356004928
-PRITI PANWAR-- 403900010
01943</t>
    </r>
  </si>
  <si>
    <r>
      <rPr>
        <sz val="9"/>
        <rFont val="Arial"/>
        <family val="2"/>
      </rPr>
      <t>1221147.9
0</t>
    </r>
  </si>
  <si>
    <r>
      <rPr>
        <sz val="9"/>
        <rFont val="Arial"/>
        <family val="2"/>
      </rPr>
      <t>RTGS/ICIC R4202112 220053092
1/CNRB00
02189/ites h ban</t>
    </r>
  </si>
  <si>
    <r>
      <rPr>
        <sz val="9"/>
        <rFont val="Arial"/>
        <family val="2"/>
      </rPr>
      <t>23-Dec-
2021</t>
    </r>
  </si>
  <si>
    <r>
      <rPr>
        <sz val="9"/>
        <rFont val="Arial"/>
        <family val="2"/>
      </rPr>
      <t>MMT/IMPS
/13571507 7479/BRIC
S/ASHAra mBRI/PUN B0371900</t>
    </r>
  </si>
  <si>
    <r>
      <rPr>
        <sz val="9"/>
        <rFont val="Arial"/>
        <family val="2"/>
      </rPr>
      <t>INF/INFT/0 258039737
31/severpi pes
/dayalpipes</t>
    </r>
  </si>
  <si>
    <r>
      <rPr>
        <sz val="9"/>
        <rFont val="Arial"/>
        <family val="2"/>
      </rPr>
      <t>24-Dec-
2021</t>
    </r>
  </si>
  <si>
    <r>
      <rPr>
        <sz val="9"/>
        <rFont val="Arial"/>
        <family val="2"/>
      </rPr>
      <t>26-Dec-
2021</t>
    </r>
  </si>
  <si>
    <r>
      <rPr>
        <sz val="9"/>
        <rFont val="Arial"/>
        <family val="2"/>
      </rPr>
      <t>27-Dec-
2021</t>
    </r>
  </si>
  <si>
    <r>
      <rPr>
        <sz val="9"/>
        <rFont val="Arial"/>
        <family val="2"/>
      </rPr>
      <t>UPI/13608 4749572/B
6 plot defence/vik rantmalik8 50/H</t>
    </r>
  </si>
  <si>
    <r>
      <rPr>
        <sz val="9"/>
        <rFont val="Arial"/>
        <family val="2"/>
      </rPr>
      <t>28-Dec-
2021</t>
    </r>
  </si>
  <si>
    <r>
      <rPr>
        <sz val="9"/>
        <rFont val="Arial"/>
        <family val="2"/>
      </rPr>
      <t>RTGS- UBINR220 211228016
43697- RAVI MALIK SON OF SOM</t>
    </r>
  </si>
  <si>
    <r>
      <rPr>
        <sz val="9"/>
        <rFont val="Arial"/>
        <family val="2"/>
      </rPr>
      <t>1003147.9
0</t>
    </r>
  </si>
  <si>
    <r>
      <rPr>
        <sz val="9"/>
        <rFont val="Arial"/>
        <family val="2"/>
      </rPr>
      <t>29-Dec-
2021</t>
    </r>
  </si>
  <si>
    <r>
      <rPr>
        <sz val="9"/>
        <rFont val="Arial"/>
        <family val="2"/>
      </rPr>
      <t>MMT/IMPS
/13632003
5239/lockin gtilelabo/ty aldilsad/P</t>
    </r>
  </si>
  <si>
    <r>
      <rPr>
        <sz val="9"/>
        <rFont val="Arial"/>
        <family val="2"/>
      </rPr>
      <t>MMT/IMPS
/13632004
1030/ceme nt/bharatce me/BDBL0 00119</t>
    </r>
  </si>
  <si>
    <r>
      <rPr>
        <sz val="9"/>
        <rFont val="Arial"/>
        <family val="2"/>
      </rPr>
      <t>30-Dec-
2021</t>
    </r>
  </si>
  <si>
    <r>
      <rPr>
        <sz val="9"/>
        <rFont val="Arial"/>
        <family val="2"/>
      </rPr>
      <t>UPI/13641 8730152/Bi
rpal singh/birpal singh8145/ Stat</t>
    </r>
  </si>
  <si>
    <r>
      <rPr>
        <sz val="9"/>
        <rFont val="Arial"/>
        <family val="2"/>
      </rPr>
      <t>UPI/13646 0974763/P
ayment from Ph/821842
8973@ybl/ St</t>
    </r>
  </si>
  <si>
    <r>
      <rPr>
        <sz val="9"/>
        <rFont val="Arial"/>
        <family val="2"/>
      </rPr>
      <t>1023647.9
0</t>
    </r>
  </si>
  <si>
    <r>
      <rPr>
        <sz val="9"/>
        <rFont val="Arial"/>
        <family val="2"/>
      </rPr>
      <t>03-Jan-
2022</t>
    </r>
  </si>
  <si>
    <r>
      <rPr>
        <sz val="9"/>
        <rFont val="Arial"/>
        <family val="2"/>
      </rPr>
      <t>MMT/IMPS
/20031545
9393/salar y/MANISH
saga/PUN B007290</t>
    </r>
  </si>
  <si>
    <r>
      <rPr>
        <sz val="9"/>
        <rFont val="Arial"/>
        <family val="2"/>
      </rPr>
      <t>1003647.9
0</t>
    </r>
  </si>
  <si>
    <r>
      <rPr>
        <sz val="9"/>
        <rFont val="Arial"/>
        <family val="2"/>
      </rPr>
      <t>MMT/IMPS
/20031546
2701/salar y/AMITyad av
/HDFC000 065</t>
    </r>
  </si>
  <si>
    <r>
      <rPr>
        <sz val="9"/>
        <rFont val="Arial"/>
        <family val="2"/>
      </rPr>
      <t>06-Jan-
2022</t>
    </r>
  </si>
  <si>
    <r>
      <rPr>
        <sz val="9"/>
        <rFont val="Arial"/>
        <family val="2"/>
      </rPr>
      <t>MMT/IMPS
/20061415
5566/salar y/AMITgdT OMA/PUN B000420</t>
    </r>
  </si>
  <si>
    <r>
      <rPr>
        <sz val="9"/>
        <rFont val="Arial"/>
        <family val="2"/>
      </rPr>
      <t>MMT/IMPS
/20061676
9949/lockin gtilelabo/ty aldilsad/P</t>
    </r>
  </si>
  <si>
    <r>
      <rPr>
        <sz val="9"/>
        <rFont val="Arial"/>
        <family val="2"/>
      </rPr>
      <t>INF/INFT/0 259256320
31/lockingti le
/avniECOin dus</t>
    </r>
  </si>
  <si>
    <r>
      <rPr>
        <sz val="9"/>
        <rFont val="Arial"/>
        <family val="2"/>
      </rPr>
      <t>RTGS/ICIC R4202201 060053673
2/UTIB000
2688/avni eco</t>
    </r>
  </si>
  <si>
    <r>
      <rPr>
        <sz val="9"/>
        <rFont val="Arial"/>
        <family val="2"/>
      </rPr>
      <t>INF/INFT/0 259266261
41/refund
/AVNI ECO IND</t>
    </r>
  </si>
  <si>
    <r>
      <rPr>
        <sz val="9"/>
        <rFont val="Arial"/>
        <family val="2"/>
      </rPr>
      <t>MMT/IMPS
/20061943
8418/selfie/ rahulCHAU D/HDFC00 0435</t>
    </r>
  </si>
  <si>
    <r>
      <rPr>
        <sz val="9"/>
        <rFont val="Arial"/>
        <family val="2"/>
      </rPr>
      <t>09-Jan-
2022</t>
    </r>
  </si>
  <si>
    <r>
      <rPr>
        <sz val="9"/>
        <rFont val="Arial"/>
        <family val="2"/>
      </rPr>
      <t>10-Jan-
2022</t>
    </r>
  </si>
  <si>
    <r>
      <rPr>
        <sz val="9"/>
        <rFont val="Arial"/>
        <family val="2"/>
      </rPr>
      <t>UPI/20091 3509074/A
5 plot - Shaml/987 3077782@
payt/I</t>
    </r>
  </si>
  <si>
    <r>
      <rPr>
        <sz val="9"/>
        <rFont val="Arial"/>
        <family val="2"/>
      </rPr>
      <t>CLG/CHE QUE/2166 77/PNB/28.
12.2021</t>
    </r>
  </si>
  <si>
    <r>
      <rPr>
        <sz val="9"/>
        <rFont val="Arial"/>
        <family val="2"/>
      </rPr>
      <t>UPI/20104 8731195/C
ommercial/ 987307778
2@payt/ICI CI</t>
    </r>
  </si>
  <si>
    <r>
      <rPr>
        <sz val="9"/>
        <rFont val="Arial"/>
        <family val="2"/>
      </rPr>
      <t>UPI/20104 2449704/P
ayment from Ph/992721
0730@ybl/ Pu</t>
    </r>
  </si>
  <si>
    <r>
      <rPr>
        <sz val="9"/>
        <rFont val="Arial"/>
        <family val="2"/>
      </rPr>
      <t>CLG/INUS H ALI/43744 6/PNB/04.0
1.2022</t>
    </r>
  </si>
  <si>
    <r>
      <rPr>
        <sz val="9"/>
        <rFont val="Arial"/>
        <family val="2"/>
      </rPr>
      <t>1454147.9
0</t>
    </r>
  </si>
  <si>
    <r>
      <rPr>
        <sz val="9"/>
        <rFont val="Arial"/>
        <family val="2"/>
      </rPr>
      <t>CLG/SHAL AU DIN/49171 8/PNB/04.0
1.2022</t>
    </r>
  </si>
  <si>
    <r>
      <rPr>
        <sz val="9"/>
        <rFont val="Arial"/>
        <family val="2"/>
      </rPr>
      <t>1974147.9
0</t>
    </r>
  </si>
  <si>
    <r>
      <rPr>
        <sz val="9"/>
        <rFont val="Arial"/>
        <family val="2"/>
      </rPr>
      <t>MMT/IMPS
/20101650
2658/salar y/goravDG
/CNRB000 232</t>
    </r>
  </si>
  <si>
    <r>
      <rPr>
        <sz val="9"/>
        <rFont val="Arial"/>
        <family val="2"/>
      </rPr>
      <t>1944147.9
0</t>
    </r>
  </si>
  <si>
    <r>
      <rPr>
        <sz val="9"/>
        <rFont val="Arial"/>
        <family val="2"/>
      </rPr>
      <t>1424147.9
0</t>
    </r>
  </si>
  <si>
    <r>
      <rPr>
        <sz val="9"/>
        <rFont val="Arial"/>
        <family val="2"/>
      </rPr>
      <t>11-Jan-
2022</t>
    </r>
  </si>
  <si>
    <r>
      <rPr>
        <sz val="9"/>
        <rFont val="Arial"/>
        <family val="2"/>
      </rPr>
      <t>INF/INFT/2 597338189
/refundentr ya37
/archanaK UMARIa</t>
    </r>
  </si>
  <si>
    <r>
      <rPr>
        <sz val="9"/>
        <rFont val="Arial"/>
        <family val="2"/>
      </rPr>
      <t>1224147.9
0</t>
    </r>
  </si>
  <si>
    <r>
      <rPr>
        <sz val="9"/>
        <rFont val="Arial"/>
        <family val="2"/>
      </rPr>
      <t>12-Jan-
2022</t>
    </r>
  </si>
  <si>
    <r>
      <rPr>
        <sz val="9"/>
        <rFont val="Arial"/>
        <family val="2"/>
      </rPr>
      <t>NEFT- P0122201 47886697- MAHARAJ SINGH-- 855520300
0218</t>
    </r>
  </si>
  <si>
    <r>
      <rPr>
        <sz val="9"/>
        <rFont val="Arial"/>
        <family val="2"/>
      </rPr>
      <t>1524147.9
0</t>
    </r>
  </si>
  <si>
    <r>
      <rPr>
        <sz val="9"/>
        <rFont val="Arial"/>
        <family val="2"/>
      </rPr>
      <t>13-Jan-
2022</t>
    </r>
  </si>
  <si>
    <r>
      <rPr>
        <sz val="9"/>
        <rFont val="Arial"/>
        <family val="2"/>
      </rPr>
      <t>MMT/IMPS
/20131237
0650/ceme nt/bharatce me/BDBL0 00119</t>
    </r>
  </si>
  <si>
    <r>
      <rPr>
        <sz val="9"/>
        <rFont val="Arial"/>
        <family val="2"/>
      </rPr>
      <t>1444147.9
0</t>
    </r>
  </si>
  <si>
    <r>
      <rPr>
        <sz val="9"/>
        <rFont val="Arial"/>
        <family val="2"/>
      </rPr>
      <t>INF/INFT/2 600687654
/salary
/kuldeepici ci</t>
    </r>
  </si>
  <si>
    <r>
      <rPr>
        <sz val="9"/>
        <rFont val="Arial"/>
        <family val="2"/>
      </rPr>
      <t>1294147.9
0</t>
    </r>
  </si>
  <si>
    <r>
      <rPr>
        <sz val="9"/>
        <rFont val="Arial"/>
        <family val="2"/>
      </rPr>
      <t>MMT/IMPS
/20132139
7887/salar y/sumiti
/PUNB052 281</t>
    </r>
  </si>
  <si>
    <r>
      <rPr>
        <sz val="9"/>
        <rFont val="Arial"/>
        <family val="2"/>
      </rPr>
      <t>1194147.9
0</t>
    </r>
  </si>
  <si>
    <r>
      <rPr>
        <sz val="9"/>
        <rFont val="Arial"/>
        <family val="2"/>
      </rPr>
      <t>15-Jan-
2022</t>
    </r>
  </si>
  <si>
    <r>
      <rPr>
        <sz val="9"/>
        <rFont val="Arial"/>
        <family val="2"/>
      </rPr>
      <t>CLG/ASSH U TYAGI/770 760/PNB/1
3.01.2022</t>
    </r>
  </si>
  <si>
    <r>
      <rPr>
        <sz val="9"/>
        <rFont val="Arial"/>
        <family val="2"/>
      </rPr>
      <t>1394147.9
0</t>
    </r>
  </si>
  <si>
    <r>
      <rPr>
        <sz val="9"/>
        <rFont val="Arial"/>
        <family val="2"/>
      </rPr>
      <t>RTGS- PUNBR52 022011518
477373- SHALAU DIN S/O WASIDH-</t>
    </r>
  </si>
  <si>
    <r>
      <rPr>
        <sz val="9"/>
        <rFont val="Arial"/>
        <family val="2"/>
      </rPr>
      <t>1914147.9
0</t>
    </r>
  </si>
  <si>
    <r>
      <rPr>
        <sz val="9"/>
        <rFont val="Arial"/>
        <family val="2"/>
      </rPr>
      <t>17-Jan-
2022</t>
    </r>
  </si>
  <si>
    <r>
      <rPr>
        <sz val="9"/>
        <rFont val="Arial"/>
        <family val="2"/>
      </rPr>
      <t>CLG/MAH ENDRA SINGH/229 337/CAB/0
9.01.2022</t>
    </r>
  </si>
  <si>
    <r>
      <rPr>
        <sz val="9"/>
        <rFont val="Arial"/>
        <family val="2"/>
      </rPr>
      <t>2821147.9
0</t>
    </r>
  </si>
  <si>
    <r>
      <rPr>
        <sz val="9"/>
        <rFont val="Arial"/>
        <family val="2"/>
      </rPr>
      <t>18-Jan-
2022</t>
    </r>
  </si>
  <si>
    <r>
      <rPr>
        <sz val="9"/>
        <rFont val="Arial"/>
        <family val="2"/>
      </rPr>
      <t>CLG/SATV EER SINGH/239 317/SBI/12
.01.2022</t>
    </r>
  </si>
  <si>
    <r>
      <rPr>
        <sz val="9"/>
        <rFont val="Arial"/>
        <family val="2"/>
      </rPr>
      <t>2921147.9
0</t>
    </r>
  </si>
  <si>
    <r>
      <rPr>
        <sz val="9"/>
        <rFont val="Arial"/>
        <family val="2"/>
      </rPr>
      <t>UPI/20181 6953132/D
efiance Garden/96 34249184
@upi/Pu</t>
    </r>
  </si>
  <si>
    <r>
      <rPr>
        <sz val="9"/>
        <rFont val="Arial"/>
        <family val="2"/>
      </rPr>
      <t>2929147.9
0</t>
    </r>
  </si>
  <si>
    <r>
      <rPr>
        <sz val="9"/>
        <rFont val="Arial"/>
        <family val="2"/>
      </rPr>
      <t>19-Jan-
2022</t>
    </r>
  </si>
  <si>
    <r>
      <rPr>
        <sz val="9"/>
        <rFont val="Arial"/>
        <family val="2"/>
      </rPr>
      <t>MMT/IMPS
/20191452
7875/b22re turnentry/R ATESHku
ma/SB</t>
    </r>
  </si>
  <si>
    <r>
      <rPr>
        <sz val="9"/>
        <rFont val="Arial"/>
        <family val="2"/>
      </rPr>
      <t>2899147.9
0</t>
    </r>
  </si>
  <si>
    <r>
      <rPr>
        <sz val="9"/>
        <rFont val="Arial"/>
        <family val="2"/>
      </rPr>
      <t>MMT/IMPS
/20191567
9802/b22re turnentry/R ENUb22
/SB</t>
    </r>
  </si>
  <si>
    <r>
      <rPr>
        <sz val="9"/>
        <rFont val="Arial"/>
        <family val="2"/>
      </rPr>
      <t>2729147.9
0</t>
    </r>
  </si>
  <si>
    <r>
      <rPr>
        <sz val="9"/>
        <rFont val="Arial"/>
        <family val="2"/>
      </rPr>
      <t>MMT/IMPS
/20191568
5636/b22re turnentry/A RJUNsingh
/SB</t>
    </r>
  </si>
  <si>
    <r>
      <rPr>
        <sz val="9"/>
        <rFont val="Arial"/>
        <family val="2"/>
      </rPr>
      <t>2684147.9
0</t>
    </r>
  </si>
  <si>
    <r>
      <rPr>
        <sz val="9"/>
        <rFont val="Arial"/>
        <family val="2"/>
      </rPr>
      <t>MMT/IMPS
/20191569
3712/b22re turnentry/H ARBEERsi
n/SB</t>
    </r>
  </si>
  <si>
    <r>
      <rPr>
        <sz val="9"/>
        <rFont val="Arial"/>
        <family val="2"/>
      </rPr>
      <t>2649147.9
0</t>
    </r>
  </si>
  <si>
    <r>
      <rPr>
        <sz val="9"/>
        <rFont val="Arial"/>
        <family val="2"/>
      </rPr>
      <t>MMT/IMPS
/20191841
4750/b22re turnentry/A RJUNsingh
/SB</t>
    </r>
  </si>
  <si>
    <r>
      <rPr>
        <sz val="9"/>
        <rFont val="Arial"/>
        <family val="2"/>
      </rPr>
      <t>2604147.9
0</t>
    </r>
  </si>
  <si>
    <r>
      <rPr>
        <sz val="9"/>
        <rFont val="Arial"/>
        <family val="2"/>
      </rPr>
      <t>20-Jan-
2022</t>
    </r>
  </si>
  <si>
    <r>
      <rPr>
        <sz val="9"/>
        <rFont val="Arial"/>
        <family val="2"/>
      </rPr>
      <t>CLG/DIGP AL SINGH/000 011/BOB/1
6.01.2022</t>
    </r>
  </si>
  <si>
    <r>
      <rPr>
        <sz val="9"/>
        <rFont val="Arial"/>
        <family val="2"/>
      </rPr>
      <t>2804147.9
0</t>
    </r>
  </si>
  <si>
    <r>
      <rPr>
        <sz val="9"/>
        <rFont val="Arial"/>
        <family val="2"/>
      </rPr>
      <t>CLG/PRAV IDRA KUMR/725 932/PNB/1
5.01.2022</t>
    </r>
  </si>
  <si>
    <r>
      <rPr>
        <sz val="9"/>
        <rFont val="Arial"/>
        <family val="2"/>
      </rPr>
      <t>2904147.9
0</t>
    </r>
  </si>
  <si>
    <r>
      <rPr>
        <sz val="9"/>
        <rFont val="Arial"/>
        <family val="2"/>
      </rPr>
      <t>RTGS- SBINR520 220120628
48120- SHIV ONKAR SHARMA- 2005</t>
    </r>
  </si>
  <si>
    <r>
      <rPr>
        <sz val="9"/>
        <rFont val="Arial"/>
        <family val="2"/>
      </rPr>
      <t>3219147.9
0</t>
    </r>
  </si>
  <si>
    <r>
      <rPr>
        <sz val="9"/>
        <rFont val="Arial"/>
        <family val="2"/>
      </rPr>
      <t>CLG/NISH ANT SAROHA/1 33514/AXI/
27.12.2021</t>
    </r>
  </si>
  <si>
    <r>
      <rPr>
        <sz val="9"/>
        <rFont val="Arial"/>
        <family val="2"/>
      </rPr>
      <t>3519147.9
0</t>
    </r>
  </si>
  <si>
    <r>
      <rPr>
        <sz val="9"/>
        <rFont val="Arial"/>
        <family val="2"/>
      </rPr>
      <t>3219029.9
0</t>
    </r>
  </si>
  <si>
    <r>
      <rPr>
        <sz val="9"/>
        <rFont val="Arial"/>
        <family val="2"/>
      </rPr>
      <t>24-Jan-
2022</t>
    </r>
  </si>
  <si>
    <r>
      <rPr>
        <sz val="9"/>
        <rFont val="Arial"/>
        <family val="2"/>
      </rPr>
      <t>UPI/20241 5682842/U
PI/manjitsi ngh.kus/St ate Bank Of</t>
    </r>
  </si>
  <si>
    <r>
      <rPr>
        <sz val="9"/>
        <rFont val="Arial"/>
        <family val="2"/>
      </rPr>
      <t>3230029.9
0</t>
    </r>
  </si>
  <si>
    <r>
      <rPr>
        <sz val="9"/>
        <rFont val="Arial"/>
        <family val="2"/>
      </rPr>
      <t>UPI/20241 6232485/B
ooking amount/97 20866703
@upi/Pun</t>
    </r>
  </si>
  <si>
    <r>
      <rPr>
        <sz val="9"/>
        <rFont val="Arial"/>
        <family val="2"/>
      </rPr>
      <t>3240029.9
0</t>
    </r>
  </si>
  <si>
    <r>
      <rPr>
        <sz val="9"/>
        <rFont val="Arial"/>
        <family val="2"/>
      </rPr>
      <t>28-Jan-
2022</t>
    </r>
  </si>
  <si>
    <r>
      <rPr>
        <sz val="9"/>
        <rFont val="Arial"/>
        <family val="2"/>
      </rPr>
      <t>UPI/20284 2518981/P
ayment from Ph/chauha nrajnish9/S</t>
    </r>
  </si>
  <si>
    <r>
      <rPr>
        <sz val="9"/>
        <rFont val="Arial"/>
        <family val="2"/>
      </rPr>
      <t>3245029.9
0</t>
    </r>
  </si>
  <si>
    <r>
      <rPr>
        <sz val="9"/>
        <rFont val="Arial"/>
        <family val="2"/>
      </rPr>
      <t>UPI/20288 6085009/P
ayment from Ph/chauha nrajnish9/S</t>
    </r>
  </si>
  <si>
    <r>
      <rPr>
        <sz val="9"/>
        <rFont val="Arial"/>
        <family val="2"/>
      </rPr>
      <t>3290029.9
0</t>
    </r>
  </si>
  <si>
    <r>
      <rPr>
        <sz val="9"/>
        <rFont val="Arial"/>
        <family val="2"/>
      </rPr>
      <t>29-Jan-
2022</t>
    </r>
  </si>
  <si>
    <r>
      <rPr>
        <sz val="9"/>
        <rFont val="Arial"/>
        <family val="2"/>
      </rPr>
      <t>RTGS/ICIC R4202201 290053012
3/PUNB00
26610/abhi shek</t>
    </r>
  </si>
  <si>
    <r>
      <rPr>
        <sz val="9"/>
        <rFont val="Arial"/>
        <family val="2"/>
      </rPr>
      <t>2484029.9
0</t>
    </r>
  </si>
  <si>
    <r>
      <rPr>
        <sz val="9"/>
        <rFont val="Arial"/>
        <family val="2"/>
      </rPr>
      <t>RTGS/ICIC R4202201 290053072
2/PUNB00
26610/shiv am ku</t>
    </r>
  </si>
  <si>
    <r>
      <rPr>
        <sz val="9"/>
        <rFont val="Arial"/>
        <family val="2"/>
      </rPr>
      <t>2178029.9
0</t>
    </r>
  </si>
  <si>
    <r>
      <rPr>
        <sz val="9"/>
        <rFont val="Arial"/>
        <family val="2"/>
      </rPr>
      <t>30-Jan-
2022</t>
    </r>
  </si>
  <si>
    <r>
      <rPr>
        <sz val="9"/>
        <rFont val="Arial"/>
        <family val="2"/>
      </rPr>
      <t>31-Jan-
2022</t>
    </r>
  </si>
  <si>
    <r>
      <rPr>
        <sz val="9"/>
        <rFont val="Arial"/>
        <family val="2"/>
      </rPr>
      <t>UPI/20302 8261763/P
ayment from Ph/991106
6430@ybl/ HD</t>
    </r>
  </si>
  <si>
    <r>
      <rPr>
        <sz val="9"/>
        <rFont val="Arial"/>
        <family val="2"/>
      </rPr>
      <t>2183029.9
0</t>
    </r>
  </si>
  <si>
    <r>
      <rPr>
        <sz val="9"/>
        <rFont val="Arial"/>
        <family val="2"/>
      </rPr>
      <t>NEFT- 000470042
947- RAJKUMA R-
/URGENT/- 536402030
00011</t>
    </r>
  </si>
  <si>
    <r>
      <rPr>
        <sz val="9"/>
        <rFont val="Arial"/>
        <family val="2"/>
      </rPr>
      <t>2283029.9
0</t>
    </r>
  </si>
  <si>
    <r>
      <rPr>
        <sz val="9"/>
        <rFont val="Arial"/>
        <family val="2"/>
      </rPr>
      <t>01-Feb-
2022</t>
    </r>
  </si>
  <si>
    <r>
      <rPr>
        <sz val="9"/>
        <rFont val="Arial"/>
        <family val="2"/>
      </rPr>
      <t>CLG/CHA RAN SINGH/187 989/PNB/2
8.01.2022</t>
    </r>
  </si>
  <si>
    <r>
      <rPr>
        <sz val="9"/>
        <rFont val="Arial"/>
        <family val="2"/>
      </rPr>
      <t>2674029.9
0</t>
    </r>
  </si>
  <si>
    <r>
      <rPr>
        <sz val="9"/>
        <rFont val="Arial"/>
        <family val="2"/>
      </rPr>
      <t>03-Feb-
2022</t>
    </r>
  </si>
  <si>
    <r>
      <rPr>
        <sz val="9"/>
        <rFont val="Arial"/>
        <family val="2"/>
      </rPr>
      <t>RTGS/ICIC R4202202 030053504
3/PUNB00
31800/Shri Shya</t>
    </r>
  </si>
  <si>
    <r>
      <rPr>
        <sz val="9"/>
        <rFont val="Arial"/>
        <family val="2"/>
      </rPr>
      <t>1974029.9
0</t>
    </r>
  </si>
  <si>
    <r>
      <rPr>
        <sz val="9"/>
        <rFont val="Arial"/>
        <family val="2"/>
      </rPr>
      <t>04-Feb-
2022</t>
    </r>
  </si>
  <si>
    <r>
      <rPr>
        <sz val="9"/>
        <rFont val="Arial"/>
        <family val="2"/>
      </rPr>
      <t>CLG/SHIV KUMAR/01 3406/SBI/2
8.01.2022</t>
    </r>
  </si>
  <si>
    <r>
      <rPr>
        <sz val="9"/>
        <rFont val="Arial"/>
        <family val="2"/>
      </rPr>
      <t>2102029.9
0</t>
    </r>
  </si>
  <si>
    <r>
      <rPr>
        <sz val="9"/>
        <rFont val="Arial"/>
        <family val="2"/>
      </rPr>
      <t>05-Feb-
2022</t>
    </r>
  </si>
  <si>
    <r>
      <rPr>
        <sz val="9"/>
        <rFont val="Arial"/>
        <family val="2"/>
      </rPr>
      <t>UPI/20365 5351087/N
A/shauryas harma@p/ Bank of India/</t>
    </r>
  </si>
  <si>
    <r>
      <rPr>
        <sz val="9"/>
        <rFont val="Arial"/>
        <family val="2"/>
      </rPr>
      <t>2112029.9
0</t>
    </r>
  </si>
  <si>
    <r>
      <rPr>
        <sz val="9"/>
        <rFont val="Arial"/>
        <family val="2"/>
      </rPr>
      <t>06-Feb-
2022</t>
    </r>
  </si>
  <si>
    <r>
      <rPr>
        <sz val="9"/>
        <rFont val="Arial"/>
        <family val="2"/>
      </rPr>
      <t>07-Feb-
2022</t>
    </r>
  </si>
  <si>
    <r>
      <rPr>
        <sz val="9"/>
        <rFont val="Arial"/>
        <family val="2"/>
      </rPr>
      <t>UPI/20371 2794911/k
uldeep/ravi kumar8273 63/State Ban</t>
    </r>
  </si>
  <si>
    <r>
      <rPr>
        <sz val="9"/>
        <rFont val="Arial"/>
        <family val="2"/>
      </rPr>
      <t>2142029.9
0</t>
    </r>
  </si>
  <si>
    <r>
      <rPr>
        <sz val="9"/>
        <rFont val="Arial"/>
        <family val="2"/>
      </rPr>
      <t>UPI/20371 3892421/k
uldeep/ravi kumar8273 63/State Ban</t>
    </r>
  </si>
  <si>
    <r>
      <rPr>
        <sz val="9"/>
        <rFont val="Arial"/>
        <family val="2"/>
      </rPr>
      <t>2182029.9
0</t>
    </r>
  </si>
  <si>
    <r>
      <rPr>
        <sz val="9"/>
        <rFont val="Arial"/>
        <family val="2"/>
      </rPr>
      <t>UPI/20371 3924693/k
uldeep/ravi kumar8273 63/State Ban</t>
    </r>
  </si>
  <si>
    <r>
      <rPr>
        <sz val="9"/>
        <rFont val="Arial"/>
        <family val="2"/>
      </rPr>
      <t>2212029.9
0</t>
    </r>
  </si>
  <si>
    <r>
      <rPr>
        <sz val="9"/>
        <rFont val="Arial"/>
        <family val="2"/>
      </rPr>
      <t>MMT/IMPS
/20371361 6484/MOB LT0602135 892/VINAY KUMA/S</t>
    </r>
  </si>
  <si>
    <r>
      <rPr>
        <sz val="9"/>
        <rFont val="Arial"/>
        <family val="2"/>
      </rPr>
      <t>2212030.9
0</t>
    </r>
  </si>
  <si>
    <r>
      <rPr>
        <sz val="9"/>
        <rFont val="Arial"/>
        <family val="2"/>
      </rPr>
      <t>INF/INFT/0 262607894
91/salary
/kuldeepici ci</t>
    </r>
  </si>
  <si>
    <r>
      <rPr>
        <sz val="9"/>
        <rFont val="Arial"/>
        <family val="2"/>
      </rPr>
      <t>2062030.9
0</t>
    </r>
  </si>
  <si>
    <r>
      <rPr>
        <sz val="9"/>
        <rFont val="Arial"/>
        <family val="2"/>
      </rPr>
      <t>MMT/IMPS
/20381237
1592/salar y/AMITyad av
/HDFC000 065</t>
    </r>
  </si>
  <si>
    <r>
      <rPr>
        <sz val="9"/>
        <rFont val="Arial"/>
        <family val="2"/>
      </rPr>
      <t>2042030.9
0</t>
    </r>
  </si>
  <si>
    <r>
      <rPr>
        <sz val="9"/>
        <rFont val="Arial"/>
        <family val="2"/>
      </rPr>
      <t>MMT/IMPS
/20381463 9111/MOB LT0702141 971/VINAY KUMA/S</t>
    </r>
  </si>
  <si>
    <r>
      <rPr>
        <sz val="9"/>
        <rFont val="Arial"/>
        <family val="2"/>
      </rPr>
      <t>2141030.9
0</t>
    </r>
  </si>
  <si>
    <r>
      <rPr>
        <sz val="9"/>
        <rFont val="Arial"/>
        <family val="2"/>
      </rPr>
      <t>UPI/20388 4629700/P
ayment from Ph/964348
4920@ibl/ St</t>
    </r>
  </si>
  <si>
    <r>
      <rPr>
        <sz val="9"/>
        <rFont val="Arial"/>
        <family val="2"/>
      </rPr>
      <t>2241030.9
0</t>
    </r>
  </si>
  <si>
    <r>
      <rPr>
        <sz val="9"/>
        <rFont val="Arial"/>
        <family val="2"/>
      </rPr>
      <t>08-Feb-
2022</t>
    </r>
  </si>
  <si>
    <r>
      <rPr>
        <sz val="9"/>
        <rFont val="Arial"/>
        <family val="2"/>
      </rPr>
      <t>UPI/20391 2371686/k
uldeep/ravi kumar8273 63/State Ban</t>
    </r>
  </si>
  <si>
    <r>
      <rPr>
        <sz val="9"/>
        <rFont val="Arial"/>
        <family val="2"/>
      </rPr>
      <t>2271030.9
0</t>
    </r>
  </si>
  <si>
    <r>
      <rPr>
        <sz val="9"/>
        <rFont val="Arial"/>
        <family val="2"/>
      </rPr>
      <t>UPI/20391 2399377/k
uldeep/ravi kumar8273 63/State Ban</t>
    </r>
  </si>
  <si>
    <r>
      <rPr>
        <sz val="9"/>
        <rFont val="Arial"/>
        <family val="2"/>
      </rPr>
      <t>2311030.9
0</t>
    </r>
  </si>
  <si>
    <r>
      <rPr>
        <sz val="9"/>
        <rFont val="Arial"/>
        <family val="2"/>
      </rPr>
      <t>UPI/20391 2427312/k
uldeep/ravi kumar8273 63/State Ban</t>
    </r>
  </si>
  <si>
    <r>
      <rPr>
        <sz val="9"/>
        <rFont val="Arial"/>
        <family val="2"/>
      </rPr>
      <t>2341030.9
0</t>
    </r>
  </si>
  <si>
    <r>
      <rPr>
        <sz val="9"/>
        <rFont val="Arial"/>
        <family val="2"/>
      </rPr>
      <t>UPI/20395 3724231/P
ayment from Ph/941075
6235@ybl/ St</t>
    </r>
  </si>
  <si>
    <r>
      <rPr>
        <sz val="9"/>
        <rFont val="Arial"/>
        <family val="2"/>
      </rPr>
      <t>2421030.9
0</t>
    </r>
  </si>
  <si>
    <r>
      <rPr>
        <sz val="9"/>
        <rFont val="Arial"/>
        <family val="2"/>
      </rPr>
      <t>UPI/20390 7320428/P
ayment from Ph/964348
4920@ibl/ St</t>
    </r>
  </si>
  <si>
    <r>
      <rPr>
        <sz val="9"/>
        <rFont val="Arial"/>
        <family val="2"/>
      </rPr>
      <t>2472030.9
0</t>
    </r>
  </si>
  <si>
    <r>
      <rPr>
        <sz val="9"/>
        <rFont val="Arial"/>
        <family val="2"/>
      </rPr>
      <t>09-Feb-
2022</t>
    </r>
  </si>
  <si>
    <r>
      <rPr>
        <sz val="9"/>
        <rFont val="Arial"/>
        <family val="2"/>
      </rPr>
      <t>CLG/KRIS HAN PAL/00003 0/HDF/02.0
2.2022</t>
    </r>
  </si>
  <si>
    <r>
      <rPr>
        <sz val="9"/>
        <rFont val="Arial"/>
        <family val="2"/>
      </rPr>
      <t>2672030.9
0</t>
    </r>
  </si>
  <si>
    <r>
      <rPr>
        <sz val="9"/>
        <rFont val="Arial"/>
        <family val="2"/>
      </rPr>
      <t>UPI/20409 2256245/P
ayment from Ph/chauha nrajnish9/S</t>
    </r>
  </si>
  <si>
    <r>
      <rPr>
        <sz val="9"/>
        <rFont val="Arial"/>
        <family val="2"/>
      </rPr>
      <t>2722030.9
0</t>
    </r>
  </si>
  <si>
    <r>
      <rPr>
        <sz val="9"/>
        <rFont val="Arial"/>
        <family val="2"/>
      </rPr>
      <t>UPI/20408 8517347/P
ayment from Ph/891742
6408@ybl/ St</t>
    </r>
  </si>
  <si>
    <r>
      <rPr>
        <sz val="9"/>
        <rFont val="Arial"/>
        <family val="2"/>
      </rPr>
      <t>2772030.9
0</t>
    </r>
  </si>
  <si>
    <r>
      <rPr>
        <sz val="9"/>
        <rFont val="Arial"/>
        <family val="2"/>
      </rPr>
      <t>2797030.9
0</t>
    </r>
  </si>
  <si>
    <r>
      <rPr>
        <sz val="9"/>
        <rFont val="Arial"/>
        <family val="2"/>
      </rPr>
      <t>UPI/20400 7189343/P
ayment from Ph/891742
6408@ybl/ St</t>
    </r>
  </si>
  <si>
    <r>
      <rPr>
        <sz val="9"/>
        <rFont val="Arial"/>
        <family val="2"/>
      </rPr>
      <t>2847030.9
0</t>
    </r>
  </si>
  <si>
    <r>
      <rPr>
        <sz val="9"/>
        <rFont val="Arial"/>
        <family val="2"/>
      </rPr>
      <t>NEFT- SBIN52204 0171954- JYOTI DEVI-
/ATTN//INB
-0000</t>
    </r>
  </si>
  <si>
    <r>
      <rPr>
        <sz val="9"/>
        <rFont val="Arial"/>
        <family val="2"/>
      </rPr>
      <t>2872030.9
0</t>
    </r>
  </si>
  <si>
    <r>
      <rPr>
        <sz val="9"/>
        <rFont val="Arial"/>
        <family val="2"/>
      </rPr>
      <t>12-Feb-
2022</t>
    </r>
  </si>
  <si>
    <r>
      <rPr>
        <sz val="9"/>
        <rFont val="Arial"/>
        <family val="2"/>
      </rPr>
      <t>14-Feb-
2022</t>
    </r>
  </si>
  <si>
    <r>
      <rPr>
        <sz val="9"/>
        <rFont val="Arial"/>
        <family val="2"/>
      </rPr>
      <t>RTGS/ICIC R4202202 120050647
5/UTIB000
2688/avni eco</t>
    </r>
  </si>
  <si>
    <r>
      <rPr>
        <sz val="9"/>
        <rFont val="Arial"/>
        <family val="2"/>
      </rPr>
      <t>2658530.9
0</t>
    </r>
  </si>
  <si>
    <r>
      <rPr>
        <sz val="9"/>
        <rFont val="Arial"/>
        <family val="2"/>
      </rPr>
      <t>MMT/IMPS
/20432100
1867/salar y/sumiti
/PUNB052 281</t>
    </r>
  </si>
  <si>
    <r>
      <rPr>
        <sz val="9"/>
        <rFont val="Arial"/>
        <family val="2"/>
      </rPr>
      <t>2558530.9
0</t>
    </r>
  </si>
  <si>
    <r>
      <rPr>
        <sz val="9"/>
        <rFont val="Arial"/>
        <family val="2"/>
      </rPr>
      <t>MMT/IMPS
/20431949
3127/salar y/rahulCHA UD/HDFC0 00435</t>
    </r>
  </si>
  <si>
    <r>
      <rPr>
        <sz val="9"/>
        <rFont val="Arial"/>
        <family val="2"/>
      </rPr>
      <t>2528530.9
0</t>
    </r>
  </si>
  <si>
    <r>
      <rPr>
        <sz val="9"/>
        <rFont val="Arial"/>
        <family val="2"/>
      </rPr>
      <t>13-Feb-
2022</t>
    </r>
  </si>
  <si>
    <r>
      <rPr>
        <sz val="9"/>
        <rFont val="Arial"/>
        <family val="2"/>
      </rPr>
      <t>UPI/20444 4378095/P
ayment from Ph/812618
7022@axl/ St</t>
    </r>
  </si>
  <si>
    <r>
      <rPr>
        <sz val="9"/>
        <rFont val="Arial"/>
        <family val="2"/>
      </rPr>
      <t>2533530.9
0</t>
    </r>
  </si>
  <si>
    <r>
      <rPr>
        <sz val="9"/>
        <rFont val="Arial"/>
        <family val="2"/>
      </rPr>
      <t>RTGS- PUNBR52 022021419
377245- SHREE SHYAM JI AUTOMOT</t>
    </r>
  </si>
  <si>
    <r>
      <rPr>
        <sz val="9"/>
        <rFont val="Arial"/>
        <family val="2"/>
      </rPr>
      <t>3233530.9
0</t>
    </r>
  </si>
  <si>
    <r>
      <rPr>
        <sz val="9"/>
        <rFont val="Arial"/>
        <family val="2"/>
      </rPr>
      <t>UPI/20455 2631717/N A/9643365
488@payt/ INDUSIND BANK/</t>
    </r>
  </si>
  <si>
    <r>
      <rPr>
        <sz val="9"/>
        <rFont val="Arial"/>
        <family val="2"/>
      </rPr>
      <t>3296530.9
0</t>
    </r>
  </si>
  <si>
    <r>
      <rPr>
        <sz val="9"/>
        <rFont val="Arial"/>
        <family val="2"/>
      </rPr>
      <t>RTGS/ICIC R4202202 140052629
0/UTIB000
1110/Indu Shar</t>
    </r>
  </si>
  <si>
    <r>
      <rPr>
        <sz val="9"/>
        <rFont val="Arial"/>
        <family val="2"/>
      </rPr>
      <t>2499029.9
0</t>
    </r>
  </si>
  <si>
    <r>
      <rPr>
        <sz val="9"/>
        <rFont val="Arial"/>
        <family val="2"/>
      </rPr>
      <t>RTGS/ICIC R4202202 140053396
6/UTIB000
1100/kavya ele</t>
    </r>
  </si>
  <si>
    <r>
      <rPr>
        <sz val="9"/>
        <rFont val="Arial"/>
        <family val="2"/>
      </rPr>
      <t>2203411.9
0</t>
    </r>
  </si>
  <si>
    <r>
      <rPr>
        <sz val="9"/>
        <rFont val="Arial"/>
        <family val="2"/>
      </rPr>
      <t>MMT/IMPS
/20451522
7703/salar y/goravDG
/CNRB000 232</t>
    </r>
  </si>
  <si>
    <r>
      <rPr>
        <sz val="9"/>
        <rFont val="Arial"/>
        <family val="2"/>
      </rPr>
      <t>2173411.9
0</t>
    </r>
  </si>
  <si>
    <r>
      <rPr>
        <sz val="9"/>
        <rFont val="Arial"/>
        <family val="2"/>
      </rPr>
      <t>MMT/IMPS
/20451801
0525/ceme nt/bharatce me/BDBL0 00119</t>
    </r>
  </si>
  <si>
    <r>
      <rPr>
        <sz val="9"/>
        <rFont val="Arial"/>
        <family val="2"/>
      </rPr>
      <t>2123411.9
0</t>
    </r>
  </si>
  <si>
    <r>
      <rPr>
        <sz val="9"/>
        <rFont val="Arial"/>
        <family val="2"/>
      </rPr>
      <t>17-Feb-
2022</t>
    </r>
  </si>
  <si>
    <r>
      <rPr>
        <sz val="9"/>
        <rFont val="Arial"/>
        <family val="2"/>
      </rPr>
      <t>UPI/20485 5971430/P
ayment from Ph/639538
4861@ybl/ Ai</t>
    </r>
  </si>
  <si>
    <r>
      <rPr>
        <sz val="9"/>
        <rFont val="Arial"/>
        <family val="2"/>
      </rPr>
      <t>2133411.9
0</t>
    </r>
  </si>
  <si>
    <r>
      <rPr>
        <sz val="9"/>
        <rFont val="Arial"/>
        <family val="2"/>
      </rPr>
      <t>MMT/IMPS
/20481810 8592/PRIY ANKA . to SHRI GANES</t>
    </r>
  </si>
  <si>
    <r>
      <rPr>
        <sz val="9"/>
        <rFont val="Arial"/>
        <family val="2"/>
      </rPr>
      <t>2138411.9
0</t>
    </r>
  </si>
  <si>
    <r>
      <rPr>
        <sz val="9"/>
        <rFont val="Arial"/>
        <family val="2"/>
      </rPr>
      <t>18-Feb-
2022</t>
    </r>
  </si>
  <si>
    <r>
      <rPr>
        <sz val="9"/>
        <rFont val="Arial"/>
        <family val="2"/>
      </rPr>
      <t>2483411.9
0</t>
    </r>
  </si>
  <si>
    <r>
      <rPr>
        <sz val="9"/>
        <rFont val="Arial"/>
        <family val="2"/>
      </rPr>
      <t>21-Feb-
2022</t>
    </r>
  </si>
  <si>
    <r>
      <rPr>
        <sz val="9"/>
        <rFont val="Arial"/>
        <family val="2"/>
      </rPr>
      <t>2683411.9
0</t>
    </r>
  </si>
  <si>
    <r>
      <rPr>
        <sz val="9"/>
        <rFont val="Arial"/>
        <family val="2"/>
      </rPr>
      <t>CLG/SHIV RAJ/17066 4/SBI/18.0
2.2022</t>
    </r>
  </si>
  <si>
    <r>
      <rPr>
        <sz val="9"/>
        <rFont val="Arial"/>
        <family val="2"/>
      </rPr>
      <t>3083411.9
0</t>
    </r>
  </si>
  <si>
    <r>
      <rPr>
        <sz val="9"/>
        <rFont val="Arial"/>
        <family val="2"/>
      </rPr>
      <t>CLG/SHIV RAJ/17066 5/SBI/18.0
2.2022</t>
    </r>
  </si>
  <si>
    <r>
      <rPr>
        <sz val="9"/>
        <rFont val="Arial"/>
        <family val="2"/>
      </rPr>
      <t>3483411.9
0</t>
    </r>
  </si>
  <si>
    <r>
      <rPr>
        <sz val="9"/>
        <rFont val="Arial"/>
        <family val="2"/>
      </rPr>
      <t>UPI/20522 0993994/U
PI/sharmaa nkit9019/P unjab Nation</t>
    </r>
  </si>
  <si>
    <r>
      <rPr>
        <sz val="9"/>
        <rFont val="Arial"/>
        <family val="2"/>
      </rPr>
      <t>3486411.9
0</t>
    </r>
  </si>
  <si>
    <r>
      <rPr>
        <sz val="9"/>
        <rFont val="Arial"/>
        <family val="2"/>
      </rPr>
      <t>UPI/20522 1021044/U
PI/sharmaa nkit9019/P unjab Nation</t>
    </r>
  </si>
  <si>
    <r>
      <rPr>
        <sz val="9"/>
        <rFont val="Arial"/>
        <family val="2"/>
      </rPr>
      <t>3488511.9
0</t>
    </r>
  </si>
  <si>
    <r>
      <rPr>
        <sz val="9"/>
        <rFont val="Arial"/>
        <family val="2"/>
      </rPr>
      <t>22-Feb-
2022</t>
    </r>
  </si>
  <si>
    <r>
      <rPr>
        <sz val="9"/>
        <rFont val="Arial"/>
        <family val="2"/>
      </rPr>
      <t>RTGS- PUNBR52 022022219
691015- KASAM ALI  SO RUSTAM-0</t>
    </r>
  </si>
  <si>
    <r>
      <rPr>
        <sz val="9"/>
        <rFont val="Arial"/>
        <family val="2"/>
      </rPr>
      <t>4088511.9
0</t>
    </r>
  </si>
  <si>
    <r>
      <rPr>
        <sz val="9"/>
        <rFont val="Arial"/>
        <family val="2"/>
      </rPr>
      <t>RTGS- PUNBR52 022022219
681727- KASAM ALI  SO RUSTAM-0</t>
    </r>
  </si>
  <si>
    <r>
      <rPr>
        <sz val="9"/>
        <rFont val="Arial"/>
        <family val="2"/>
      </rPr>
      <t>4588511.9
0</t>
    </r>
  </si>
  <si>
    <r>
      <rPr>
        <sz val="9"/>
        <rFont val="Arial"/>
        <family val="2"/>
      </rPr>
      <t>NEFT- PUNBH22 053611901
-KASAM ALI  SO RUSTAM-- 026620</t>
    </r>
  </si>
  <si>
    <r>
      <rPr>
        <sz val="9"/>
        <rFont val="Arial"/>
        <family val="2"/>
      </rPr>
      <t>4988511.9
0</t>
    </r>
  </si>
  <si>
    <r>
      <rPr>
        <sz val="9"/>
        <rFont val="Arial"/>
        <family val="2"/>
      </rPr>
      <t>23-Feb-
2022</t>
    </r>
  </si>
  <si>
    <r>
      <rPr>
        <sz val="9"/>
        <rFont val="Arial"/>
        <family val="2"/>
      </rPr>
      <t>CLG/BRIJ BIR SINGH/038 450/INB/18
.02.2022</t>
    </r>
  </si>
  <si>
    <r>
      <rPr>
        <sz val="9"/>
        <rFont val="Arial"/>
        <family val="2"/>
      </rPr>
      <t>5288511.9
0</t>
    </r>
  </si>
  <si>
    <r>
      <rPr>
        <sz val="9"/>
        <rFont val="Arial"/>
        <family val="2"/>
      </rPr>
      <t>CLG/PAW AN KUMAR/00 0038/HDF/
21.02.2022</t>
    </r>
  </si>
  <si>
    <r>
      <rPr>
        <sz val="9"/>
        <rFont val="Arial"/>
        <family val="2"/>
      </rPr>
      <t>5488511.9
0</t>
    </r>
  </si>
  <si>
    <r>
      <rPr>
        <sz val="9"/>
        <rFont val="Arial"/>
        <family val="2"/>
      </rPr>
      <t>5188511.9
0</t>
    </r>
  </si>
  <si>
    <r>
      <rPr>
        <sz val="9"/>
        <rFont val="Arial"/>
        <family val="2"/>
      </rPr>
      <t>24-Feb-
2022</t>
    </r>
  </si>
  <si>
    <r>
      <rPr>
        <sz val="9"/>
        <rFont val="Arial"/>
        <family val="2"/>
      </rPr>
      <t>MMT/IMPS
/20551527
0711/count ingmachine
/YogeshEn te/I</t>
    </r>
  </si>
  <si>
    <r>
      <rPr>
        <sz val="9"/>
        <rFont val="Arial"/>
        <family val="2"/>
      </rPr>
      <t>5172611.9
0</t>
    </r>
  </si>
  <si>
    <r>
      <rPr>
        <sz val="9"/>
        <rFont val="Arial"/>
        <family val="2"/>
      </rPr>
      <t>25-Feb-
2022</t>
    </r>
  </si>
  <si>
    <r>
      <rPr>
        <sz val="9"/>
        <rFont val="Arial"/>
        <family val="2"/>
      </rPr>
      <t>RTGS/ICIC R4202202 250050911
0/HDFC00
00088/kon cept a</t>
    </r>
  </si>
  <si>
    <r>
      <rPr>
        <sz val="9"/>
        <rFont val="Arial"/>
        <family val="2"/>
      </rPr>
      <t>4532611.9
0</t>
    </r>
  </si>
  <si>
    <r>
      <rPr>
        <sz val="9"/>
        <rFont val="Arial"/>
        <family val="2"/>
      </rPr>
      <t>RTGS/ICIC R4202202 250050943
8/HDFC00
00088/kon cept a</t>
    </r>
  </si>
  <si>
    <r>
      <rPr>
        <sz val="9"/>
        <rFont val="Arial"/>
        <family val="2"/>
      </rPr>
      <t>3532611.9
0</t>
    </r>
  </si>
  <si>
    <r>
      <rPr>
        <sz val="9"/>
        <rFont val="Arial"/>
        <family val="2"/>
      </rPr>
      <t>MMT/IMPS
/20561187
1217/4Mah indraThar/k onceptPvt/ HDF</t>
    </r>
  </si>
  <si>
    <r>
      <rPr>
        <sz val="9"/>
        <rFont val="Arial"/>
        <family val="2"/>
      </rPr>
      <t>3432611.9
0</t>
    </r>
  </si>
  <si>
    <r>
      <rPr>
        <sz val="9"/>
        <rFont val="Arial"/>
        <family val="2"/>
      </rPr>
      <t>MMT/IMPS
/20561462
2156/forMa hindraThar/ konceptPvt
/H</t>
    </r>
  </si>
  <si>
    <r>
      <rPr>
        <sz val="9"/>
        <rFont val="Arial"/>
        <family val="2"/>
      </rPr>
      <t>3412011.9
0</t>
    </r>
  </si>
  <si>
    <r>
      <rPr>
        <sz val="9"/>
        <rFont val="Arial"/>
        <family val="2"/>
      </rPr>
      <t>3417111.9
0</t>
    </r>
  </si>
  <si>
    <r>
      <rPr>
        <sz val="9"/>
        <rFont val="Arial"/>
        <family val="2"/>
      </rPr>
      <t>02-Mar-
2022</t>
    </r>
  </si>
  <si>
    <r>
      <rPr>
        <sz val="9"/>
        <rFont val="Arial"/>
        <family val="2"/>
      </rPr>
      <t>RTGS- PUNBR52 022030219
931372- KRISHANP AL SHORAN- 0431</t>
    </r>
  </si>
  <si>
    <r>
      <rPr>
        <sz val="9"/>
        <rFont val="Arial"/>
        <family val="2"/>
      </rPr>
      <t>3786111.9
0</t>
    </r>
  </si>
  <si>
    <r>
      <rPr>
        <sz val="9"/>
        <rFont val="Arial"/>
        <family val="2"/>
      </rPr>
      <t>RTGS- UPCBR52 022030200
137490- VINAY KUMAR GUPTA- 0029</t>
    </r>
  </si>
  <si>
    <r>
      <rPr>
        <sz val="9"/>
        <rFont val="Arial"/>
        <family val="2"/>
      </rPr>
      <t>4157111.9
0</t>
    </r>
  </si>
  <si>
    <r>
      <rPr>
        <sz val="9"/>
        <rFont val="Arial"/>
        <family val="2"/>
      </rPr>
      <t>RTGS- IDIBR5202 203022730
2385-MR BRIJBIR SINGH- 0000</t>
    </r>
  </si>
  <si>
    <r>
      <rPr>
        <sz val="9"/>
        <rFont val="Arial"/>
        <family val="2"/>
      </rPr>
      <t>4457111.9
0</t>
    </r>
  </si>
  <si>
    <r>
      <rPr>
        <sz val="9"/>
        <rFont val="Arial"/>
        <family val="2"/>
      </rPr>
      <t>MMT/IMPS
/20612091
4411/salar y/MANISH
saga/PUN B007290</t>
    </r>
  </si>
  <si>
    <r>
      <rPr>
        <sz val="9"/>
        <rFont val="Arial"/>
        <family val="2"/>
      </rPr>
      <t>4437111.9
0</t>
    </r>
  </si>
  <si>
    <r>
      <rPr>
        <sz val="9"/>
        <rFont val="Arial"/>
        <family val="2"/>
      </rPr>
      <t>03-Mar-
2022</t>
    </r>
  </si>
  <si>
    <r>
      <rPr>
        <sz val="9"/>
        <rFont val="Arial"/>
        <family val="2"/>
      </rPr>
      <t>RTGS- CNRBR52 022030377
962348- AJAY BINDAL S/O-  GU-2</t>
    </r>
  </si>
  <si>
    <r>
      <rPr>
        <sz val="9"/>
        <rFont val="Arial"/>
        <family val="2"/>
      </rPr>
      <t>4736111.9
0</t>
    </r>
  </si>
  <si>
    <r>
      <rPr>
        <sz val="9"/>
        <rFont val="Arial"/>
        <family val="2"/>
      </rPr>
      <t>MMT/IMPS
/20621982
3208/return entrya1/an kitMalok/S BI</t>
    </r>
  </si>
  <si>
    <r>
      <rPr>
        <sz val="9"/>
        <rFont val="Arial"/>
        <family val="2"/>
      </rPr>
      <t>4731111.9
0</t>
    </r>
  </si>
  <si>
    <r>
      <rPr>
        <sz val="9"/>
        <rFont val="Arial"/>
        <family val="2"/>
      </rPr>
      <t>MMT/IMPS
/20621982
7744/salar y/AMITyad av
/HDFC000 065</t>
    </r>
  </si>
  <si>
    <r>
      <rPr>
        <sz val="9"/>
        <rFont val="Arial"/>
        <family val="2"/>
      </rPr>
      <t>4711111.9
0</t>
    </r>
  </si>
  <si>
    <r>
      <rPr>
        <sz val="9"/>
        <rFont val="Arial"/>
        <family val="2"/>
      </rPr>
      <t>04-Mar-
2022</t>
    </r>
  </si>
  <si>
    <r>
      <rPr>
        <sz val="9"/>
        <rFont val="Arial"/>
        <family val="2"/>
      </rPr>
      <t>MMT/IMPS
/20631694
0287/salar y/rahulCHA UD/HDFC0 00435</t>
    </r>
  </si>
  <si>
    <r>
      <rPr>
        <sz val="9"/>
        <rFont val="Arial"/>
        <family val="2"/>
      </rPr>
      <t>4681111.9
0</t>
    </r>
  </si>
  <si>
    <r>
      <rPr>
        <sz val="9"/>
        <rFont val="Arial"/>
        <family val="2"/>
      </rPr>
      <t>RTGS/ICIC R4202203 040054122
2/IOBA000
1615/Shri Gane</t>
    </r>
  </si>
  <si>
    <r>
      <rPr>
        <sz val="9"/>
        <rFont val="Arial"/>
        <family val="2"/>
      </rPr>
      <t>3681111.9
0</t>
    </r>
  </si>
  <si>
    <r>
      <rPr>
        <sz val="9"/>
        <rFont val="Arial"/>
        <family val="2"/>
      </rPr>
      <t>07-Mar-
2022</t>
    </r>
  </si>
  <si>
    <r>
      <rPr>
        <sz val="9"/>
        <rFont val="Arial"/>
        <family val="2"/>
      </rPr>
      <t>RTGS- PUNBR52 022030710
151401- DINESH KUMAR AND SMT A</t>
    </r>
  </si>
  <si>
    <r>
      <rPr>
        <sz val="9"/>
        <rFont val="Arial"/>
        <family val="2"/>
      </rPr>
      <t>4281111.9
0</t>
    </r>
  </si>
  <si>
    <r>
      <rPr>
        <sz val="9"/>
        <rFont val="Arial"/>
        <family val="2"/>
      </rPr>
      <t>08-Mar-
2022</t>
    </r>
  </si>
  <si>
    <r>
      <rPr>
        <sz val="9"/>
        <rFont val="Arial"/>
        <family val="2"/>
      </rPr>
      <t>CLG/CHE QUE/6794 16/PSB/02.
03.2022</t>
    </r>
  </si>
  <si>
    <r>
      <rPr>
        <sz val="9"/>
        <rFont val="Arial"/>
        <family val="2"/>
      </rPr>
      <t>4321111.9
0</t>
    </r>
  </si>
  <si>
    <r>
      <rPr>
        <sz val="9"/>
        <rFont val="Arial"/>
        <family val="2"/>
      </rPr>
      <t>UPI/20673 5574312/P
ayment from Ph/628010
6699@ybl/ St</t>
    </r>
  </si>
  <si>
    <r>
      <rPr>
        <sz val="9"/>
        <rFont val="Arial"/>
        <family val="2"/>
      </rPr>
      <t>4332111.9
0</t>
    </r>
  </si>
  <si>
    <r>
      <rPr>
        <sz val="9"/>
        <rFont val="Arial"/>
        <family val="2"/>
      </rPr>
      <t>CLG/MAM TA DEVI/7096 22/PNB/02.
03.2022</t>
    </r>
  </si>
  <si>
    <r>
      <rPr>
        <sz val="9"/>
        <rFont val="Arial"/>
        <family val="2"/>
      </rPr>
      <t>4632111.9
0</t>
    </r>
  </si>
  <si>
    <r>
      <rPr>
        <sz val="9"/>
        <rFont val="Arial"/>
        <family val="2"/>
      </rPr>
      <t>10-Mar-
2022</t>
    </r>
  </si>
  <si>
    <r>
      <rPr>
        <sz val="9"/>
        <rFont val="Arial"/>
        <family val="2"/>
      </rPr>
      <t>NEFT- PUNBE220 69828643- JITENDRA GIRI-- 937001000
2942</t>
    </r>
  </si>
  <si>
    <r>
      <rPr>
        <sz val="9"/>
        <rFont val="Arial"/>
        <family val="2"/>
      </rPr>
      <t>4932111.9
0</t>
    </r>
  </si>
  <si>
    <r>
      <rPr>
        <sz val="9"/>
        <rFont val="Arial"/>
        <family val="2"/>
      </rPr>
      <t>11-Mar-
2022</t>
    </r>
  </si>
  <si>
    <r>
      <rPr>
        <sz val="9"/>
        <rFont val="Arial"/>
        <family val="2"/>
      </rPr>
      <t>TRF/KONC EPT AUTOMOB ILES PVT
/168035/IC I/10.03.202 2</t>
    </r>
  </si>
  <si>
    <r>
      <rPr>
        <sz val="9"/>
        <rFont val="Arial"/>
        <family val="2"/>
      </rPr>
      <t>1959645.0
0</t>
    </r>
  </si>
  <si>
    <r>
      <rPr>
        <sz val="9"/>
        <rFont val="Arial"/>
        <family val="2"/>
      </rPr>
      <t>6591756.9
0</t>
    </r>
  </si>
  <si>
    <r>
      <rPr>
        <sz val="9"/>
        <rFont val="Arial"/>
        <family val="2"/>
      </rPr>
      <t>14-Mar-
2022</t>
    </r>
  </si>
  <si>
    <r>
      <rPr>
        <sz val="9"/>
        <rFont val="Arial"/>
        <family val="2"/>
      </rPr>
      <t>UPI/20738 8473154/P
ayment from Ph/855905
3341@ybl/ St</t>
    </r>
  </si>
  <si>
    <r>
      <rPr>
        <sz val="9"/>
        <rFont val="Arial"/>
        <family val="2"/>
      </rPr>
      <t>6601756.9
0</t>
    </r>
  </si>
  <si>
    <r>
      <rPr>
        <sz val="9"/>
        <rFont val="Arial"/>
        <family val="2"/>
      </rPr>
      <t>MMT/IMPS
/20731503
4125/salar y/ARUNbhi DG
/SBIN0016 60</t>
    </r>
  </si>
  <si>
    <r>
      <rPr>
        <sz val="9"/>
        <rFont val="Arial"/>
        <family val="2"/>
      </rPr>
      <t>6485356.9
0</t>
    </r>
  </si>
  <si>
    <r>
      <rPr>
        <sz val="9"/>
        <rFont val="Arial"/>
        <family val="2"/>
      </rPr>
      <t>15-Mar-
2022</t>
    </r>
  </si>
  <si>
    <r>
      <rPr>
        <sz val="9"/>
        <rFont val="Arial"/>
        <family val="2"/>
      </rPr>
      <t>INF/INFT/0 267318854
31/Balajias sociate/Bal ajiAssoci</t>
    </r>
  </si>
  <si>
    <r>
      <rPr>
        <sz val="9"/>
        <rFont val="Arial"/>
        <family val="2"/>
      </rPr>
      <t>5485356.9
0</t>
    </r>
  </si>
  <si>
    <r>
      <rPr>
        <sz val="9"/>
        <rFont val="Arial"/>
        <family val="2"/>
      </rPr>
      <t>UPI/20742 1534715/N
A/shauryas harma@p/ State Bank Of</t>
    </r>
  </si>
  <si>
    <r>
      <rPr>
        <sz val="9"/>
        <rFont val="Arial"/>
        <family val="2"/>
      </rPr>
      <t>5525356.9
0</t>
    </r>
  </si>
  <si>
    <r>
      <rPr>
        <sz val="9"/>
        <rFont val="Arial"/>
        <family val="2"/>
      </rPr>
      <t>RTGS- PUNBR52 022031510
453541- MAMTA DEVI W/O ARJUN C</t>
    </r>
  </si>
  <si>
    <r>
      <rPr>
        <sz val="9"/>
        <rFont val="Arial"/>
        <family val="2"/>
      </rPr>
      <t>5825356.9
0</t>
    </r>
  </si>
  <si>
    <r>
      <rPr>
        <sz val="9"/>
        <rFont val="Arial"/>
        <family val="2"/>
      </rPr>
      <t>16-Mar-
2022</t>
    </r>
  </si>
  <si>
    <r>
      <rPr>
        <sz val="9"/>
        <rFont val="Arial"/>
        <family val="2"/>
      </rPr>
      <t>CLG/SATP AL SINGH/157 172/PNB/1
2.03.2022</t>
    </r>
  </si>
  <si>
    <r>
      <rPr>
        <sz val="9"/>
        <rFont val="Arial"/>
        <family val="2"/>
      </rPr>
      <t>5925356.9
0</t>
    </r>
  </si>
  <si>
    <r>
      <rPr>
        <sz val="9"/>
        <rFont val="Arial"/>
        <family val="2"/>
      </rPr>
      <t>CLG/ARU N KUMAR/00 0006/HDF/
12.03.2022</t>
    </r>
  </si>
  <si>
    <r>
      <rPr>
        <sz val="9"/>
        <rFont val="Arial"/>
        <family val="2"/>
      </rPr>
      <t>5985356.9
0</t>
    </r>
  </si>
  <si>
    <r>
      <rPr>
        <sz val="9"/>
        <rFont val="Arial"/>
        <family val="2"/>
      </rPr>
      <t>UPI/20754 8980138/U PI/vk96924
-
1@okaxi/A xis Bank Ltd</t>
    </r>
  </si>
  <si>
    <r>
      <rPr>
        <sz val="9"/>
        <rFont val="Arial"/>
        <family val="2"/>
      </rPr>
      <t>5990356.9
0</t>
    </r>
  </si>
  <si>
    <r>
      <rPr>
        <sz val="9"/>
        <rFont val="Arial"/>
        <family val="2"/>
      </rPr>
      <t>UPI/20754 9013006/U PI/vk96924
-
1@okaxi/A xis Bank Ltd</t>
    </r>
  </si>
  <si>
    <r>
      <rPr>
        <sz val="9"/>
        <rFont val="Arial"/>
        <family val="2"/>
      </rPr>
      <t>5995356.9
0</t>
    </r>
  </si>
  <si>
    <r>
      <rPr>
        <sz val="9"/>
        <rFont val="Arial"/>
        <family val="2"/>
      </rPr>
      <t>5935356.9
0</t>
    </r>
  </si>
  <si>
    <r>
      <rPr>
        <sz val="9"/>
        <rFont val="Arial"/>
        <family val="2"/>
      </rPr>
      <t>5935238.9
0</t>
    </r>
  </si>
  <si>
    <r>
      <rPr>
        <sz val="9"/>
        <rFont val="Arial"/>
        <family val="2"/>
      </rPr>
      <t>17-Mar-
2022</t>
    </r>
  </si>
  <si>
    <r>
      <rPr>
        <sz val="9"/>
        <rFont val="Arial"/>
        <family val="2"/>
      </rPr>
      <t>MMT/IMPS
/20760805
0547/salar y/goravDG
/CNRB000 232</t>
    </r>
  </si>
  <si>
    <r>
      <rPr>
        <sz val="9"/>
        <rFont val="Arial"/>
        <family val="2"/>
      </rPr>
      <t>5905238.9
0</t>
    </r>
  </si>
  <si>
    <r>
      <rPr>
        <sz val="9"/>
        <rFont val="Arial"/>
        <family val="2"/>
      </rPr>
      <t>22-Mar-
2022</t>
    </r>
  </si>
  <si>
    <r>
      <rPr>
        <sz val="9"/>
        <rFont val="Arial"/>
        <family val="2"/>
      </rPr>
      <t>INF/INFT/0 268219096
11/RahulK umarToma r/RAULner malDG</t>
    </r>
  </si>
  <si>
    <r>
      <rPr>
        <sz val="9"/>
        <rFont val="Arial"/>
        <family val="2"/>
      </rPr>
      <t>5805238.9
0</t>
    </r>
  </si>
  <si>
    <r>
      <rPr>
        <sz val="9"/>
        <rFont val="Arial"/>
        <family val="2"/>
      </rPr>
      <t>6187488.9
0</t>
    </r>
  </si>
  <si>
    <r>
      <rPr>
        <sz val="9"/>
        <rFont val="Arial"/>
        <family val="2"/>
      </rPr>
      <t>MMT/IMPS
/20811605
3123/salry/ bharatcem e/BDBL000 1199</t>
    </r>
  </si>
  <si>
    <r>
      <rPr>
        <sz val="9"/>
        <rFont val="Arial"/>
        <family val="2"/>
      </rPr>
      <t>6107488.9
0</t>
    </r>
  </si>
  <si>
    <r>
      <rPr>
        <sz val="9"/>
        <rFont val="Arial"/>
        <family val="2"/>
      </rPr>
      <t>25-Mar-
2022</t>
    </r>
  </si>
  <si>
    <r>
      <rPr>
        <sz val="9"/>
        <rFont val="Arial"/>
        <family val="2"/>
      </rPr>
      <t>MMT/IMPS
/20841286
8338/salar y/avinashT YA/PUNB0 47160</t>
    </r>
  </si>
  <si>
    <r>
      <rPr>
        <sz val="9"/>
        <rFont val="Arial"/>
        <family val="2"/>
      </rPr>
      <t>5991088.9
0</t>
    </r>
  </si>
  <si>
    <r>
      <rPr>
        <sz val="9"/>
        <rFont val="Arial"/>
        <family val="2"/>
      </rPr>
      <t>MMT/IMPS
/20841287
8779/salar y/AMITgdT OMA/PUN B000420</t>
    </r>
  </si>
  <si>
    <r>
      <rPr>
        <sz val="9"/>
        <rFont val="Arial"/>
        <family val="2"/>
      </rPr>
      <t>5903788.9
0</t>
    </r>
  </si>
  <si>
    <r>
      <rPr>
        <sz val="9"/>
        <rFont val="Arial"/>
        <family val="2"/>
      </rPr>
      <t>MMT/IMPS
/20841288
7789/salar y/alokTYA GId/SBIN0 01660</t>
    </r>
  </si>
  <si>
    <r>
      <rPr>
        <sz val="9"/>
        <rFont val="Arial"/>
        <family val="2"/>
      </rPr>
      <t>5816488.9
0</t>
    </r>
  </si>
  <si>
    <r>
      <rPr>
        <sz val="9"/>
        <rFont val="Arial"/>
        <family val="2"/>
      </rPr>
      <t>INF/INFT/0 268675568
71/salary
/yogrshTY AGId</t>
    </r>
  </si>
  <si>
    <r>
      <rPr>
        <sz val="9"/>
        <rFont val="Arial"/>
        <family val="2"/>
      </rPr>
      <t>5583688.9
0</t>
    </r>
  </si>
  <si>
    <r>
      <rPr>
        <sz val="9"/>
        <rFont val="Arial"/>
        <family val="2"/>
      </rPr>
      <t>INF/INFT/0 268675803
91/salary
/aashu</t>
    </r>
  </si>
  <si>
    <r>
      <rPr>
        <sz val="9"/>
        <rFont val="Arial"/>
        <family val="2"/>
      </rPr>
      <t>5467288.9
0</t>
    </r>
  </si>
  <si>
    <r>
      <rPr>
        <sz val="9"/>
        <rFont val="Arial"/>
        <family val="2"/>
      </rPr>
      <t>MMT/IMPS
/20841292
5364/salar y/mohiKU MARd/IOB A000356</t>
    </r>
  </si>
  <si>
    <r>
      <rPr>
        <sz val="9"/>
        <rFont val="Arial"/>
        <family val="2"/>
      </rPr>
      <t>5350888.9
0</t>
    </r>
  </si>
  <si>
    <r>
      <rPr>
        <sz val="9"/>
        <rFont val="Arial"/>
        <family val="2"/>
      </rPr>
      <t>INF/INFT/0 268687729
41/Balajias sociate/Bal ajiAssoci</t>
    </r>
  </si>
  <si>
    <r>
      <rPr>
        <sz val="9"/>
        <rFont val="Arial"/>
        <family val="2"/>
      </rPr>
      <t>4350888.9
0</t>
    </r>
  </si>
  <si>
    <r>
      <rPr>
        <sz val="9"/>
        <rFont val="Arial"/>
        <family val="2"/>
      </rPr>
      <t>INF/INFT/0 268688418
61/Balajias sociate/Bal ajiAssoci</t>
    </r>
  </si>
  <si>
    <r>
      <rPr>
        <sz val="9"/>
        <rFont val="Arial"/>
        <family val="2"/>
      </rPr>
      <t>3350888.9
0</t>
    </r>
  </si>
  <si>
    <r>
      <rPr>
        <sz val="9"/>
        <rFont val="Arial"/>
        <family val="2"/>
      </rPr>
      <t>INF/INFT/0 268688987
61/Balajias sociate/Bal ajiAssoci</t>
    </r>
  </si>
  <si>
    <r>
      <rPr>
        <sz val="9"/>
        <rFont val="Arial"/>
        <family val="2"/>
      </rPr>
      <t>2350888.9
0</t>
    </r>
  </si>
  <si>
    <r>
      <rPr>
        <sz val="9"/>
        <rFont val="Arial"/>
        <family val="2"/>
      </rPr>
      <t>INF/INFT/0 268689347
31/Balajias sociate/Bal ajiAssoci</t>
    </r>
  </si>
  <si>
    <r>
      <rPr>
        <sz val="9"/>
        <rFont val="Arial"/>
        <family val="2"/>
      </rPr>
      <t>1350888.9
0</t>
    </r>
  </si>
  <si>
    <r>
      <rPr>
        <sz val="9"/>
        <rFont val="Arial"/>
        <family val="2"/>
      </rPr>
      <t>26-Mar-
2022</t>
    </r>
  </si>
  <si>
    <r>
      <rPr>
        <sz val="9"/>
        <rFont val="Arial"/>
        <family val="2"/>
      </rPr>
      <t>28-Mar-
2022</t>
    </r>
  </si>
  <si>
    <r>
      <rPr>
        <sz val="9"/>
        <rFont val="Arial"/>
        <family val="2"/>
      </rPr>
      <t>INF/INFT/0 268769781
21/salary
/kuldeepici ci</t>
    </r>
  </si>
  <si>
    <r>
      <rPr>
        <sz val="9"/>
        <rFont val="Arial"/>
        <family val="2"/>
      </rPr>
      <t>1200888.9
0</t>
    </r>
  </si>
  <si>
    <r>
      <rPr>
        <sz val="9"/>
        <rFont val="Arial"/>
        <family val="2"/>
      </rPr>
      <t>27-Mar-
2022</t>
    </r>
  </si>
  <si>
    <r>
      <rPr>
        <sz val="9"/>
        <rFont val="Arial"/>
        <family val="2"/>
      </rPr>
      <t>UPI/20868 3606049/U
PI/rahulhud dao777@/ Punjab Nation</t>
    </r>
  </si>
  <si>
    <r>
      <rPr>
        <sz val="9"/>
        <rFont val="Arial"/>
        <family val="2"/>
      </rPr>
      <t>1220888.9
0</t>
    </r>
  </si>
  <si>
    <r>
      <rPr>
        <sz val="9"/>
        <rFont val="Arial"/>
        <family val="2"/>
      </rPr>
      <t>29-Mar-
2022</t>
    </r>
  </si>
  <si>
    <r>
      <rPr>
        <sz val="9"/>
        <rFont val="Arial"/>
        <family val="2"/>
      </rPr>
      <t>INF/INFT/0 269094645
11/SHRIga neshassoc/ BALAJI ASSOC</t>
    </r>
  </si>
  <si>
    <r>
      <rPr>
        <sz val="9"/>
        <rFont val="Arial"/>
        <family val="2"/>
      </rPr>
      <t>2220888.9
0</t>
    </r>
  </si>
  <si>
    <r>
      <rPr>
        <sz val="9"/>
        <rFont val="Arial"/>
        <family val="2"/>
      </rPr>
      <t>INF/INFT/0 269094938
61/SHRIga neshassoc/ BALAJI ASSOC</t>
    </r>
  </si>
  <si>
    <r>
      <rPr>
        <sz val="9"/>
        <rFont val="Arial"/>
        <family val="2"/>
      </rPr>
      <t>3220888.9
0</t>
    </r>
  </si>
  <si>
    <r>
      <rPr>
        <sz val="9"/>
        <rFont val="Arial"/>
        <family val="2"/>
      </rPr>
      <t>RTGS/ICIC R4202203 290052797
3/IOBA000
1615/Shri Gane</t>
    </r>
  </si>
  <si>
    <r>
      <rPr>
        <sz val="9"/>
        <rFont val="Arial"/>
        <family val="2"/>
      </rPr>
      <t>RTGS/ICIC R4202203 290052818
9/IOBA000
1615/Shri Gane</t>
    </r>
  </si>
  <si>
    <r>
      <rPr>
        <sz val="9"/>
        <rFont val="Arial"/>
        <family val="2"/>
      </rPr>
      <t>UPI/20881 5235710/U
PI/jitendras ingh12/Stat e Bank Of</t>
    </r>
  </si>
  <si>
    <r>
      <rPr>
        <sz val="9"/>
        <rFont val="Arial"/>
        <family val="2"/>
      </rPr>
      <t>1230888.9
0</t>
    </r>
  </si>
  <si>
    <r>
      <rPr>
        <sz val="9"/>
        <rFont val="Arial"/>
        <family val="2"/>
      </rPr>
      <t>30-Mar-
2022</t>
    </r>
  </si>
  <si>
    <r>
      <rPr>
        <sz val="9"/>
        <rFont val="Arial"/>
        <family val="2"/>
      </rPr>
      <t>MMT/IMPS
/20891599
1894/ceme nt/bharatce me/BDBL0 00119</t>
    </r>
  </si>
  <si>
    <r>
      <rPr>
        <sz val="9"/>
        <rFont val="Arial"/>
        <family val="2"/>
      </rPr>
      <t>1165888.9
0</t>
    </r>
  </si>
  <si>
    <r>
      <rPr>
        <sz val="9"/>
        <rFont val="Arial"/>
        <family val="2"/>
      </rPr>
      <t>31-Mar-
2022</t>
    </r>
  </si>
  <si>
    <r>
      <rPr>
        <sz val="9"/>
        <rFont val="Arial"/>
        <family val="2"/>
      </rPr>
      <t>1365888.9
0</t>
    </r>
  </si>
  <si>
    <r>
      <rPr>
        <sz val="9"/>
        <rFont val="Arial"/>
        <family val="2"/>
      </rPr>
      <t>CLG/DIPA NSHU GOEL/180 134/SBI/27
.03.2022</t>
    </r>
  </si>
  <si>
    <r>
      <rPr>
        <sz val="9"/>
        <rFont val="Arial"/>
        <family val="2"/>
      </rPr>
      <t>1416888.9
0</t>
    </r>
  </si>
  <si>
    <r>
      <rPr>
        <sz val="9"/>
        <rFont val="Arial"/>
        <family val="2"/>
      </rPr>
      <t>CLG/ASH WANI SHARMA/0 00090/HDF
/19.03.202 2</t>
    </r>
  </si>
  <si>
    <r>
      <rPr>
        <sz val="9"/>
        <rFont val="Arial"/>
        <family val="2"/>
      </rPr>
      <t>1808888.9
0</t>
    </r>
  </si>
  <si>
    <r>
      <rPr>
        <sz val="9"/>
        <rFont val="Arial"/>
        <family val="2"/>
      </rPr>
      <t>01-Apr-
2022</t>
    </r>
  </si>
  <si>
    <r>
      <rPr>
        <sz val="9"/>
        <rFont val="Arial"/>
        <family val="2"/>
      </rPr>
      <t>02-Apr-
2022</t>
    </r>
  </si>
  <si>
    <r>
      <rPr>
        <sz val="9"/>
        <rFont val="Arial"/>
        <family val="2"/>
      </rPr>
      <t>UPI/20911 9999583/P
ayment from Ph/827312
1911@axl/ St</t>
    </r>
  </si>
  <si>
    <r>
      <rPr>
        <sz val="9"/>
        <rFont val="Arial"/>
        <family val="2"/>
      </rPr>
      <t>1818888.9
0</t>
    </r>
  </si>
  <si>
    <r>
      <rPr>
        <sz val="9"/>
        <rFont val="Arial"/>
        <family val="2"/>
      </rPr>
      <t>04-Apr-
2022</t>
    </r>
  </si>
  <si>
    <r>
      <rPr>
        <sz val="9"/>
        <rFont val="Arial"/>
        <family val="2"/>
      </rPr>
      <t>MMT/IMPS
/20941216
5658/salar y/MANISH
saga/PUN B007290</t>
    </r>
  </si>
  <si>
    <r>
      <rPr>
        <sz val="9"/>
        <rFont val="Arial"/>
        <family val="2"/>
      </rPr>
      <t>1799488.9
0</t>
    </r>
  </si>
  <si>
    <r>
      <rPr>
        <sz val="9"/>
        <rFont val="Arial"/>
        <family val="2"/>
      </rPr>
      <t>BIL/INFT/0 003665031
75/Return entry/</t>
    </r>
  </si>
  <si>
    <r>
      <rPr>
        <sz val="9"/>
        <rFont val="Arial"/>
        <family val="2"/>
      </rPr>
      <t>1899488.9
0</t>
    </r>
  </si>
  <si>
    <r>
      <rPr>
        <sz val="9"/>
        <rFont val="Arial"/>
        <family val="2"/>
      </rPr>
      <t>05-Apr-
2022</t>
    </r>
  </si>
  <si>
    <r>
      <rPr>
        <sz val="9"/>
        <rFont val="Arial"/>
        <family val="2"/>
      </rPr>
      <t>RTGS/ICIC R4202204 050054685
3/PUNB00
26610/ANI TA FAR</t>
    </r>
  </si>
  <si>
    <r>
      <rPr>
        <sz val="9"/>
        <rFont val="Arial"/>
        <family val="2"/>
      </rPr>
      <t>1093488.9
0</t>
    </r>
  </si>
  <si>
    <r>
      <rPr>
        <sz val="9"/>
        <rFont val="Arial"/>
        <family val="2"/>
      </rPr>
      <t>06-Apr-
2022</t>
    </r>
  </si>
  <si>
    <r>
      <rPr>
        <sz val="9"/>
        <rFont val="Arial"/>
        <family val="2"/>
      </rPr>
      <t>RTGS/ICIC R4202204 060050679
7/UTIB000
2688/avni eco</t>
    </r>
  </si>
  <si>
    <r>
      <rPr>
        <sz val="9"/>
        <rFont val="Arial"/>
        <family val="2"/>
      </rPr>
      <t>UPI/20963 6801494/N A/6395075
349@payt/ State Bank Of</t>
    </r>
  </si>
  <si>
    <r>
      <rPr>
        <sz val="9"/>
        <rFont val="Arial"/>
        <family val="2"/>
      </rPr>
      <t>07-Apr-
2022</t>
    </r>
  </si>
  <si>
    <r>
      <rPr>
        <sz val="9"/>
        <rFont val="Arial"/>
        <family val="2"/>
      </rPr>
      <t>CLG/SHAL AU DIN/49171 9/PNB/04.0
4.2022</t>
    </r>
  </si>
  <si>
    <r>
      <rPr>
        <sz val="9"/>
        <rFont val="Arial"/>
        <family val="2"/>
      </rPr>
      <t>1197988.9
0</t>
    </r>
  </si>
  <si>
    <r>
      <rPr>
        <sz val="9"/>
        <rFont val="Arial"/>
        <family val="2"/>
      </rPr>
      <t>CLG/PRAD EEP KUMAR/51 1962/SBI/0
4.04.2022</t>
    </r>
  </si>
  <si>
    <r>
      <rPr>
        <sz val="9"/>
        <rFont val="Arial"/>
        <family val="2"/>
      </rPr>
      <t>1463988.9
0</t>
    </r>
  </si>
  <si>
    <r>
      <rPr>
        <sz val="9"/>
        <rFont val="Arial"/>
        <family val="2"/>
      </rPr>
      <t>CLG/SIYA NAND SHARMA/2 92126/SBI/
06.04.2022</t>
    </r>
  </si>
  <si>
    <r>
      <rPr>
        <sz val="9"/>
        <rFont val="Arial"/>
        <family val="2"/>
      </rPr>
      <t>1893988.9
0</t>
    </r>
  </si>
  <si>
    <r>
      <rPr>
        <sz val="9"/>
        <rFont val="Arial"/>
        <family val="2"/>
      </rPr>
      <t>1627988.9
0</t>
    </r>
  </si>
  <si>
    <r>
      <rPr>
        <sz val="9"/>
        <rFont val="Arial"/>
        <family val="2"/>
      </rPr>
      <t>1627870.9
0</t>
    </r>
  </si>
  <si>
    <r>
      <rPr>
        <sz val="9"/>
        <rFont val="Arial"/>
        <family val="2"/>
      </rPr>
      <t>08-Apr-
2022</t>
    </r>
  </si>
  <si>
    <r>
      <rPr>
        <sz val="9"/>
        <rFont val="Arial"/>
        <family val="2"/>
      </rPr>
      <t>MMT/IMPS
/20981381
9226/ceme nt/bharatce me/BDBL0 00119</t>
    </r>
  </si>
  <si>
    <r>
      <rPr>
        <sz val="9"/>
        <rFont val="Arial"/>
        <family val="2"/>
      </rPr>
      <t>1552870.9
0</t>
    </r>
  </si>
  <si>
    <r>
      <rPr>
        <sz val="9"/>
        <rFont val="Arial"/>
        <family val="2"/>
      </rPr>
      <t>UPI/20981 6713428/A
24/903656
8112@apl/ Punjab Nationa</t>
    </r>
  </si>
  <si>
    <r>
      <rPr>
        <sz val="9"/>
        <rFont val="Arial"/>
        <family val="2"/>
      </rPr>
      <t>1557870.9
0</t>
    </r>
  </si>
  <si>
    <r>
      <rPr>
        <sz val="9"/>
        <rFont val="Arial"/>
        <family val="2"/>
      </rPr>
      <t>RTGS/ICIC R4202204 080053682
6/PUNB00
26610/vika s tom</t>
    </r>
  </si>
  <si>
    <r>
      <rPr>
        <sz val="9"/>
        <rFont val="Arial"/>
        <family val="2"/>
      </rPr>
      <t>1186870.9
0</t>
    </r>
  </si>
  <si>
    <r>
      <rPr>
        <sz val="9"/>
        <rFont val="Arial"/>
        <family val="2"/>
      </rPr>
      <t>MMT/IMPS
/20981734
8027/Vikra nt malik p/VIKRAN T KU/H</t>
    </r>
  </si>
  <si>
    <r>
      <rPr>
        <sz val="9"/>
        <rFont val="Arial"/>
        <family val="2"/>
      </rPr>
      <t>1361870.9
0</t>
    </r>
  </si>
  <si>
    <r>
      <rPr>
        <sz val="9"/>
        <rFont val="Arial"/>
        <family val="2"/>
      </rPr>
      <t>09-Apr-
2022</t>
    </r>
  </si>
  <si>
    <r>
      <rPr>
        <sz val="9"/>
        <rFont val="Arial"/>
        <family val="2"/>
      </rPr>
      <t>11-Apr-
2022</t>
    </r>
  </si>
  <si>
    <r>
      <rPr>
        <sz val="9"/>
        <rFont val="Arial"/>
        <family val="2"/>
      </rPr>
      <t>MMT/IMPS
/20991562
3679/salar y/sumiti
/PUNB052 281</t>
    </r>
  </si>
  <si>
    <r>
      <rPr>
        <sz val="9"/>
        <rFont val="Arial"/>
        <family val="2"/>
      </rPr>
      <t>1161870.9
0</t>
    </r>
  </si>
  <si>
    <r>
      <rPr>
        <sz val="9"/>
        <rFont val="Arial"/>
        <family val="2"/>
      </rPr>
      <t>MMT/IMPS
/20991571
4776/salar y/avinashT YA/PUNB0 47160</t>
    </r>
  </si>
  <si>
    <r>
      <rPr>
        <sz val="9"/>
        <rFont val="Arial"/>
        <family val="2"/>
      </rPr>
      <t>1123070.9
0</t>
    </r>
  </si>
  <si>
    <r>
      <rPr>
        <sz val="9"/>
        <rFont val="Arial"/>
        <family val="2"/>
      </rPr>
      <t>MMT/IMPS
/20991672
0166/salar y/AMITgdT OMA/PUN B000420</t>
    </r>
  </si>
  <si>
    <r>
      <rPr>
        <sz val="9"/>
        <rFont val="Arial"/>
        <family val="2"/>
      </rPr>
      <t>1084270.9
0</t>
    </r>
  </si>
  <si>
    <r>
      <rPr>
        <sz val="9"/>
        <rFont val="Arial"/>
        <family val="2"/>
      </rPr>
      <t>MMT/IMPS
/20991672
5041/salar y/AMITgdT OMA/PUN B000420</t>
    </r>
  </si>
  <si>
    <r>
      <rPr>
        <sz val="9"/>
        <rFont val="Arial"/>
        <family val="2"/>
      </rPr>
      <t>1055170.9
0</t>
    </r>
  </si>
  <si>
    <r>
      <rPr>
        <sz val="9"/>
        <rFont val="Arial"/>
        <family val="2"/>
      </rPr>
      <t>MMT/IMPS
/20991673
0045/salar y/goravDG
/CNRB000 232</t>
    </r>
  </si>
  <si>
    <r>
      <rPr>
        <sz val="9"/>
        <rFont val="Arial"/>
        <family val="2"/>
      </rPr>
      <t>1026070.9
0</t>
    </r>
  </si>
  <si>
    <r>
      <rPr>
        <sz val="9"/>
        <rFont val="Arial"/>
        <family val="2"/>
      </rPr>
      <t>MMT/IMPS
/20991673
2738/salar y/alokTYA GId/SBIN0 01660</t>
    </r>
  </si>
  <si>
    <r>
      <rPr>
        <sz val="9"/>
        <rFont val="Arial"/>
        <family val="2"/>
      </rPr>
      <t>INF/INFT/0 270689889
31/salary
/yogrshTY AGId</t>
    </r>
  </si>
  <si>
    <r>
      <rPr>
        <sz val="9"/>
        <rFont val="Arial"/>
        <family val="2"/>
      </rPr>
      <t>INF/INFT/0 270689947
51/salary
/aashu</t>
    </r>
  </si>
  <si>
    <r>
      <rPr>
        <sz val="9"/>
        <rFont val="Arial"/>
        <family val="2"/>
      </rPr>
      <t>MMT/IMPS
/20991674
9400/salar y/rahulCHA UD/HDFC0 00435</t>
    </r>
  </si>
  <si>
    <r>
      <rPr>
        <sz val="9"/>
        <rFont val="Arial"/>
        <family val="2"/>
      </rPr>
      <t>MMT/IMPS
/20991676
1295/salar y/mohiKU MARd/IOB A000356</t>
    </r>
  </si>
  <si>
    <r>
      <rPr>
        <sz val="9"/>
        <rFont val="Arial"/>
        <family val="2"/>
      </rPr>
      <t>MMT/IMPS
/20991676
5874/salar y/AMITyad av
/HDFC000 065</t>
    </r>
  </si>
  <si>
    <r>
      <rPr>
        <sz val="9"/>
        <rFont val="Arial"/>
        <family val="2"/>
      </rPr>
      <t>INF/INFT/0 270690854
91/salary
/kuldeepici ci</t>
    </r>
  </si>
  <si>
    <r>
      <rPr>
        <sz val="9"/>
        <rFont val="Arial"/>
        <family val="2"/>
      </rPr>
      <t>INF/INFT/0 270706008
81/retinentr y
/BALAJI ASSOC</t>
    </r>
  </si>
  <si>
    <r>
      <rPr>
        <sz val="9"/>
        <rFont val="Arial"/>
        <family val="2"/>
      </rPr>
      <t>RTGS/ICIC R4202204 090051803
2/PUNB04
71600/mul ash ku</t>
    </r>
  </si>
  <si>
    <r>
      <rPr>
        <sz val="9"/>
        <rFont val="Arial"/>
        <family val="2"/>
      </rPr>
      <t>UPI/21011 0897850/N O REMARKS
/76786064
34@upi/St ate B</t>
    </r>
  </si>
  <si>
    <r>
      <rPr>
        <sz val="9"/>
        <rFont val="Arial"/>
        <family val="2"/>
      </rPr>
      <t>MMT/IMPS
/21011390
8063/salar y/ARUNbhi DG
/SBIN0016 60</t>
    </r>
  </si>
  <si>
    <r>
      <rPr>
        <sz val="9"/>
        <rFont val="Arial"/>
        <family val="2"/>
      </rPr>
      <t>MMT/IMPS
/21011332 6687/RAVI KUMAR2/A
xis Bank</t>
    </r>
  </si>
  <si>
    <r>
      <rPr>
        <sz val="9"/>
        <rFont val="Arial"/>
        <family val="2"/>
      </rPr>
      <t>12-Apr-
2022</t>
    </r>
  </si>
  <si>
    <r>
      <rPr>
        <sz val="9"/>
        <rFont val="Arial"/>
        <family val="2"/>
      </rPr>
      <t>UPI/21029 1577272/P
ayment from Ph/885956
1200@ybl/ St</t>
    </r>
  </si>
  <si>
    <r>
      <rPr>
        <sz val="9"/>
        <rFont val="Arial"/>
        <family val="2"/>
      </rPr>
      <t>13-Apr-
2022</t>
    </r>
  </si>
  <si>
    <r>
      <rPr>
        <sz val="9"/>
        <rFont val="Arial"/>
        <family val="2"/>
      </rPr>
      <t>1378970.9
0</t>
    </r>
  </si>
  <si>
    <r>
      <rPr>
        <sz val="9"/>
        <rFont val="Arial"/>
        <family val="2"/>
      </rPr>
      <t>14-Apr-
2022</t>
    </r>
  </si>
  <si>
    <r>
      <rPr>
        <sz val="9"/>
        <rFont val="Arial"/>
        <family val="2"/>
      </rPr>
      <t>RTGS/ICIC R4202204 140051120
0/SBIN000
7619/SHIV
rajS</t>
    </r>
  </si>
  <si>
    <r>
      <rPr>
        <sz val="9"/>
        <rFont val="Arial"/>
        <family val="2"/>
      </rPr>
      <t>1028970.9
0</t>
    </r>
  </si>
  <si>
    <r>
      <rPr>
        <sz val="9"/>
        <rFont val="Arial"/>
        <family val="2"/>
      </rPr>
      <t>15-Apr-
2022</t>
    </r>
  </si>
  <si>
    <r>
      <rPr>
        <sz val="9"/>
        <rFont val="Arial"/>
        <family val="2"/>
      </rPr>
      <t>RTGS/ICIC R4202204 150051130
2/UTIB000
2688/avni eco</t>
    </r>
  </si>
  <si>
    <r>
      <rPr>
        <sz val="9"/>
        <rFont val="Arial"/>
        <family val="2"/>
      </rPr>
      <t>MMT/IMPS
/21051896
0218/ceme nt/bharatce me/BDBL0 00119</t>
    </r>
  </si>
  <si>
    <r>
      <rPr>
        <sz val="9"/>
        <rFont val="Arial"/>
        <family val="2"/>
      </rPr>
      <t>18-Apr-
2022</t>
    </r>
  </si>
  <si>
    <r>
      <rPr>
        <sz val="9"/>
        <rFont val="Arial"/>
        <family val="2"/>
      </rPr>
      <t>CLG/MAN OJ KUMAR/17 6119/SBI/2
2.03.2022</t>
    </r>
  </si>
  <si>
    <r>
      <rPr>
        <sz val="9"/>
        <rFont val="Arial"/>
        <family val="2"/>
      </rPr>
      <t>22-Apr-
2022</t>
    </r>
  </si>
  <si>
    <r>
      <rPr>
        <sz val="9"/>
        <rFont val="Arial"/>
        <family val="2"/>
      </rPr>
      <t>MMT/IMPS
/21121798
7421/Toyot afortunerb/ Uttarancha
/K</t>
    </r>
  </si>
  <si>
    <r>
      <rPr>
        <sz val="9"/>
        <rFont val="Arial"/>
        <family val="2"/>
      </rPr>
      <t>25-Apr-
2022</t>
    </r>
  </si>
  <si>
    <r>
      <rPr>
        <sz val="9"/>
        <rFont val="Arial"/>
        <family val="2"/>
      </rPr>
      <t>NEFT- IDIBH2211 5481948- MR  SUNIL
-- 000000500
502576</t>
    </r>
  </si>
  <si>
    <r>
      <rPr>
        <sz val="9"/>
        <rFont val="Arial"/>
        <family val="2"/>
      </rPr>
      <t>MMT/IMPS
/21151758 7803/0266
025004960
57/MUNES H WO</t>
    </r>
  </si>
  <si>
    <r>
      <rPr>
        <sz val="9"/>
        <rFont val="Arial"/>
        <family val="2"/>
      </rPr>
      <t>1042970.9
0</t>
    </r>
  </si>
  <si>
    <r>
      <rPr>
        <sz val="9"/>
        <rFont val="Arial"/>
        <family val="2"/>
      </rPr>
      <t>26-Apr-
2022</t>
    </r>
  </si>
  <si>
    <r>
      <rPr>
        <sz val="9"/>
        <rFont val="Arial"/>
        <family val="2"/>
      </rPr>
      <t>RTGS- IOBAR520 220426006
38721- SHRI GANESH ASSOCIAT ES</t>
    </r>
  </si>
  <si>
    <r>
      <rPr>
        <sz val="9"/>
        <rFont val="Arial"/>
        <family val="2"/>
      </rPr>
      <t>2000000.0
0</t>
    </r>
  </si>
  <si>
    <r>
      <rPr>
        <sz val="9"/>
        <rFont val="Arial"/>
        <family val="2"/>
      </rPr>
      <t>3042970.9
0</t>
    </r>
  </si>
  <si>
    <r>
      <rPr>
        <sz val="9"/>
        <rFont val="Arial"/>
        <family val="2"/>
      </rPr>
      <t>27-Apr-
2022</t>
    </r>
  </si>
  <si>
    <r>
      <rPr>
        <sz val="9"/>
        <rFont val="Arial"/>
        <family val="2"/>
      </rPr>
      <t>CLG/NISH ANT SAROHA/1 33517/AXI/
24.04.2022</t>
    </r>
  </si>
  <si>
    <r>
      <rPr>
        <sz val="9"/>
        <rFont val="Arial"/>
        <family val="2"/>
      </rPr>
      <t>3342970.9
0</t>
    </r>
  </si>
  <si>
    <t>I F PLOT NO A79</t>
  </si>
  <si>
    <t>FROM PLOT NO A84</t>
  </si>
  <si>
    <t>I F PLOT NO A129</t>
  </si>
  <si>
    <t>IF PLOT NO A132</t>
  </si>
  <si>
    <t>UPI/20562 3364232/P
ayment from Ph/salinder singh40/P</t>
  </si>
  <si>
    <t>CLG/APPE KSHA/556 884/SBI/17
.02.2022</t>
  </si>
  <si>
    <t>I F PLOT NO B45</t>
  </si>
  <si>
    <t>I FPLOT NO B47</t>
  </si>
  <si>
    <t>I F SHOP NO S11</t>
  </si>
  <si>
    <t>I F PLOT NO A101</t>
  </si>
  <si>
    <t>I F OF PLOT NO A73</t>
  </si>
  <si>
    <t>KIRAN PAL</t>
  </si>
  <si>
    <t>16/09/2022</t>
  </si>
  <si>
    <t xml:space="preserve">16/09/2022 09:57:21 PM </t>
  </si>
  <si>
    <t>RTGS/ICICR42022091600548142/PUNB0404700/DEVENDERKUMAR</t>
  </si>
  <si>
    <t>.</t>
  </si>
  <si>
    <t>I F OF PLOT NO A20</t>
  </si>
  <si>
    <t>FROM RAHUL TOMAR CAPITAL</t>
  </si>
  <si>
    <t>IN FABOUR OF RAHUL TOMAR CAPITAL</t>
  </si>
  <si>
    <t>25/03/2022</t>
  </si>
  <si>
    <t xml:space="preserve">25/03/2022 12:14:35 PM </t>
  </si>
  <si>
    <t>MMT/IMPS/208412896817/salary/sagarMALIK/CNRB0002185</t>
  </si>
  <si>
    <t>JITENDAR KUMAR</t>
  </si>
  <si>
    <t>FROM PLOT NO A61</t>
  </si>
  <si>
    <t>IF OF PLOT NO A29</t>
  </si>
  <si>
    <t>IF OF PLOT NO A101</t>
  </si>
  <si>
    <t>DDN PAL</t>
  </si>
  <si>
    <t>IF OF PLOT NO A56</t>
  </si>
  <si>
    <t xml:space="preserve">22/09/2022 04:17:43 PM </t>
  </si>
  <si>
    <t>INF/INFT/029416371421/ADVANCE        /D G ASSOCIATES</t>
  </si>
  <si>
    <t xml:space="preserve">22/09/2022 05:42:51 PM </t>
  </si>
  <si>
    <t>RTGS/ICICR42022092200538695/BDBL0001334/VINAY KUMAR</t>
  </si>
  <si>
    <t>FROM  PLOT NO A88</t>
  </si>
  <si>
    <t xml:space="preserve">26/09/2022 02:13:52 PM </t>
  </si>
  <si>
    <t>RTGS/ICICR42022092600525511/PUNB0471600/avinash tyagi</t>
  </si>
  <si>
    <t xml:space="preserve">26/09/2022 02:19:03 PM </t>
  </si>
  <si>
    <t>INF/INFT/029448768031/ADVANCE        /D G ASSOCIATES</t>
  </si>
  <si>
    <t xml:space="preserve">26/09/2022 02:21:15 PM </t>
  </si>
  <si>
    <t>MMT/IMPS/226914208583/ADVANCE/avinashTYA/PUNB0471600</t>
  </si>
  <si>
    <t xml:space="preserve">27/09/2022 10:20:07 AM </t>
  </si>
  <si>
    <t>INF/INFT/029457835391/ADVANCE        /D G ASSOCIATES</t>
  </si>
  <si>
    <t xml:space="preserve">27/09/2022 11:00:01 AM </t>
  </si>
  <si>
    <t>RTGS/ICICR42022092700507512/HDFC0009481/ASHWANI SHARMA</t>
  </si>
  <si>
    <t>DG ASSOCIATES</t>
  </si>
  <si>
    <t>ADVANCE SALARY</t>
  </si>
  <si>
    <t>BANK DONE</t>
  </si>
  <si>
    <t>FROM PLOT NO A98</t>
  </si>
  <si>
    <t>BANK UPDATE IN TALLY</t>
  </si>
  <si>
    <t xml:space="preserve">30/09/2022 08:18:23 AM </t>
  </si>
  <si>
    <t>CLG/VINOD KUMAR/664369/SBI/29.09.2022</t>
  </si>
  <si>
    <t>CLG/SUNIL SONU/691663/SBI/28.09.2022</t>
  </si>
  <si>
    <t xml:space="preserve">03/10/2022 10:48:44 AM </t>
  </si>
  <si>
    <t>MMT/IMPS/227610832626/stamp dutty/HARPALsing/SBIN0017876</t>
  </si>
  <si>
    <t>SUNIL SONU</t>
  </si>
  <si>
    <t>I F OF PLOT NO A101</t>
  </si>
  <si>
    <t xml:space="preserve">06/10/2022 03:47:40 PM </t>
  </si>
  <si>
    <t>MMT/IMPS/227915138041/SALARY/AMITyadav /HDFC0000655</t>
  </si>
  <si>
    <t xml:space="preserve">06/10/2022 03:50:17 PM </t>
  </si>
  <si>
    <t>MMT/IMPS/227915147062/SALARY/MANISHsaga/PUNB0072900</t>
  </si>
  <si>
    <t xml:space="preserve">06/10/2022 03:51:40 PM </t>
  </si>
  <si>
    <t>MMT/IMPS/227915150791/SALARY/goravDG   /CNRB0002323</t>
  </si>
  <si>
    <t xml:space="preserve">08/10/2022 03:50:56 PM </t>
  </si>
  <si>
    <t>MMT/IMPS/228115947134/SALARY/rahulCHAUD/HDFC0004358</t>
  </si>
  <si>
    <t xml:space="preserve">14/10/2022 10:07:38 AM </t>
  </si>
  <si>
    <t>RTGS/ICICR42022101400504061/SBIN0000685/RAKHI TOMAR</t>
  </si>
  <si>
    <t>IF OF PLOT NO B17</t>
  </si>
  <si>
    <t xml:space="preserve">18/10/2022 03:52:58 PM </t>
  </si>
  <si>
    <t>CLG/SEOPUY VITTU/694503/SBI/15.10.2022</t>
  </si>
  <si>
    <t xml:space="preserve">18/10/2022 06:05:20 PM </t>
  </si>
  <si>
    <t>UPI/229165973425/Payment from Ph/7302045334@ybl/State Bank Of I/YBL4d7bcd17a1b8</t>
  </si>
  <si>
    <t>VITTU</t>
  </si>
  <si>
    <t>IF OF PLOT NO -A48</t>
  </si>
  <si>
    <t>IF OF PLOT NO -A102</t>
  </si>
  <si>
    <t xml:space="preserve">19/10/2022 03:24:17 PM </t>
  </si>
  <si>
    <t>CLG/PARMAL SINGH/312711/SBI/17.10.2022</t>
  </si>
  <si>
    <t xml:space="preserve">19/10/2022 03:34:30 PM </t>
  </si>
  <si>
    <t>MMT/IMPS/229215921776/MOBLTA59L5KBNME/SHUBHAM S /State Bank of I</t>
  </si>
  <si>
    <t>PARMAL SINGH</t>
  </si>
  <si>
    <t>IF OF PLOT NO A127</t>
  </si>
  <si>
    <t>SHUBHAM</t>
  </si>
  <si>
    <t>SUSPENCE</t>
  </si>
  <si>
    <t xml:space="preserve">21/10/2022 11:26:52 AM </t>
  </si>
  <si>
    <t>RTGS/ICICR42022102100510166/PUNB0026610/kasam alo</t>
  </si>
  <si>
    <t xml:space="preserve">21/10/2022 11:29:09 AM </t>
  </si>
  <si>
    <t>RTGS/ICICR42022102100510418/SBIN0018955/YOGESH SHARMA</t>
  </si>
  <si>
    <t xml:space="preserve">21/10/2022 11:33:54 AM </t>
  </si>
  <si>
    <t>MMT/IMPS/229411713226/REFUND/YOGESHshar/SBIN0018955</t>
  </si>
  <si>
    <t>FROM PLOT NO A40</t>
  </si>
  <si>
    <t>FROM  PLOT NO A40</t>
  </si>
  <si>
    <t xml:space="preserve">21/10/2022 04:09:59 PM </t>
  </si>
  <si>
    <t>CLG/VIKAS VERMA/016026/AXI/20.10.2022</t>
  </si>
  <si>
    <t>vikas verma</t>
  </si>
  <si>
    <t>IF OF PLOT NO A81</t>
  </si>
  <si>
    <t xml:space="preserve">22/10/2022 05:01:00 PM </t>
  </si>
  <si>
    <t>MMT/IMPS/229517346604/SALARY ADVANCE/MANISHsaga/PUNB0072900</t>
  </si>
  <si>
    <t xml:space="preserve">22/10/2022 09:11:25 PM </t>
  </si>
  <si>
    <t>MMT/IMPS/229521208294/salary/sagarMALIK/CNRB0002185</t>
  </si>
  <si>
    <t xml:space="preserve">02/11/2022 06:22:19 PM </t>
  </si>
  <si>
    <t>INF/INFT/029911598821/REFUND         /BALAJI ASSOCIAT</t>
  </si>
  <si>
    <t xml:space="preserve">02/11/2022 06:24:50 PM </t>
  </si>
  <si>
    <t>RTGS/ICICR42022110200541970/PUNB0026610/kasam alo</t>
  </si>
  <si>
    <t xml:space="preserve">02/11/2022 06:27:04 PM </t>
  </si>
  <si>
    <t>RTGS/ICICR42022110200542117/PUNB0026610/kasam alo</t>
  </si>
  <si>
    <t xml:space="preserve">03/11/2022 07:56:03 AM </t>
  </si>
  <si>
    <t>CLG/VITTTU KUAMR/694501/SBI/01.11.2022</t>
  </si>
  <si>
    <t>VITTU KUMAR</t>
  </si>
  <si>
    <t>IF OF PLOT NO A48</t>
  </si>
  <si>
    <t xml:space="preserve">03/11/2022 03:22:55 PM </t>
  </si>
  <si>
    <t>CLG/AJAY KUMAR/989253/PNB/01.11.2022</t>
  </si>
  <si>
    <t xml:space="preserve">03/11/2022 03:22:57 PM </t>
  </si>
  <si>
    <t>CLG/ISHA GARG/531451/PNB/02.11.2022</t>
  </si>
  <si>
    <t xml:space="preserve">03/11/2022 05:32:23 PM </t>
  </si>
  <si>
    <t>REJECT:989253:ADVICE NOT RECEIVED</t>
  </si>
  <si>
    <t xml:space="preserve">03/11/2022 09:26:25 PM </t>
  </si>
  <si>
    <t>MMT/IMPS/230721698811/salary/AMITyadav /HDFC0000655</t>
  </si>
  <si>
    <t xml:space="preserve">03/11/2022 09:29:06 PM </t>
  </si>
  <si>
    <t>MMT/IMPS/230721704634/salary/MANISHsaga/PUNB0072900</t>
  </si>
  <si>
    <t xml:space="preserve">03/11/2022 09:30:56 PM </t>
  </si>
  <si>
    <t>MMT/IMPS/230721709804/salary/goravDG/CNRB0002323</t>
  </si>
  <si>
    <t xml:space="preserve">03/11/2022 09:32:31 PM </t>
  </si>
  <si>
    <t>MMT/IMPS/230721713603/salary/rahulCHAUD/HDFC0004358</t>
  </si>
  <si>
    <t>ISHA GARG</t>
  </si>
  <si>
    <t>BOUNS</t>
  </si>
  <si>
    <t xml:space="preserve">GORAV </t>
  </si>
  <si>
    <t>IF OF PLOT NO A6</t>
  </si>
  <si>
    <t>IF OF PLOT NO A33</t>
  </si>
  <si>
    <t xml:space="preserve">08/11/2022 05:09:07 PM </t>
  </si>
  <si>
    <t>CLG/RAMGOPAL/080634/SBI/05.11.2022</t>
  </si>
  <si>
    <t xml:space="preserve">08/11/2022 06:50:56 PM </t>
  </si>
  <si>
    <t>INF/INFT/029989851861/ADVANCE        /RAULnermalDG</t>
  </si>
  <si>
    <t>RAM GOPAL</t>
  </si>
  <si>
    <t xml:space="preserve">09/11/2022 11:44:53 AM </t>
  </si>
  <si>
    <t>INF/INFT/029996844361/ADVANCE        /BalajiAssociate</t>
  </si>
  <si>
    <t xml:space="preserve">10/11/2022 12:27:05 PM </t>
  </si>
  <si>
    <t>ACH/AEFFS0241G-AY2022-23/CE22204376508</t>
  </si>
  <si>
    <t xml:space="preserve">10/11/2022 02:23:57 PM </t>
  </si>
  <si>
    <t>RTGS/ICICR42022111000524503/PUNB0662300/SHIV CHARAN SACHDEV</t>
  </si>
  <si>
    <t>SHIV CHARAN SACHDEV</t>
  </si>
  <si>
    <t xml:space="preserve">15/11/2022 06:32:21 PM </t>
  </si>
  <si>
    <t>NEFT-PUNBH22319244389-GAURAV GARG--0042000101190244-PUNB0004200</t>
  </si>
  <si>
    <t>GAURAV GARG</t>
  </si>
  <si>
    <t>IF OF PLOT NO A54</t>
  </si>
  <si>
    <t xml:space="preserve">16/11/2022 11:33:06 AM </t>
  </si>
  <si>
    <t>RTGS-HDFCR52022111660483793-ASHWANI SHARMA-50100177840927-HDFC0009481</t>
  </si>
  <si>
    <t xml:space="preserve">16/11/2022 05:29:32 PM </t>
  </si>
  <si>
    <t>MMT/IMPS/232017489671/REFUND ENTRY/AMITyadav /HDFC0000655</t>
  </si>
  <si>
    <t xml:space="preserve">18/11/2022 01:10:05 PM </t>
  </si>
  <si>
    <t>RTGS/ICICR42022111800517282/PUNB0182200/dharam pal singh</t>
  </si>
  <si>
    <t xml:space="preserve">18/11/2022 08:21:31 PM </t>
  </si>
  <si>
    <t>MMT/IMPS/232220454947/refund entry/YOGESHshar/SBIN0002484</t>
  </si>
  <si>
    <t xml:space="preserve">18/11/2022 08:24:36 PM </t>
  </si>
  <si>
    <t>RTGS/ICICR42022111800548157/SBIN0007434/MAHIPAL SINGH</t>
  </si>
  <si>
    <t xml:space="preserve">18/11/2022 08:34:52 PM </t>
  </si>
  <si>
    <t>MMT/IMPS/232220488381/SALARY/MANISHsaga/PUNB0072900</t>
  </si>
  <si>
    <t>FROM PLOT NO A131</t>
  </si>
  <si>
    <t xml:space="preserve">22/11/2022 06:50:58 PM </t>
  </si>
  <si>
    <t>UPI/232600858584/Payment from Ph/8218428973@ybl/State Bank Of I/YBLb05f1388fa90</t>
  </si>
  <si>
    <t>FROM PLOT NO A81</t>
  </si>
  <si>
    <t xml:space="preserve">25/11/2022 04:48:04 PM </t>
  </si>
  <si>
    <t>RTGS-HDFCR52022112563037334-ASHWANI SHARMA-50100177840927-HDFC0009481</t>
  </si>
  <si>
    <t xml:space="preserve">25/11/2022 06:41:24 PM </t>
  </si>
  <si>
    <t>BIL/ONL/000543831428/UP Power C/electricity pay</t>
  </si>
  <si>
    <t>IF OF PLOT NO A98</t>
  </si>
  <si>
    <t>IF OF PLOT NO A1</t>
  </si>
  <si>
    <t xml:space="preserve">02/12/2022 02:28:19 PM </t>
  </si>
  <si>
    <t>BIL/INFT/000549527375/NA/ GAURAV MALIK</t>
  </si>
  <si>
    <t xml:space="preserve">02/12/2022 03:09:39 PM </t>
  </si>
  <si>
    <t>BIL/INFT/000549565175/NA/ GAURAV MALIK</t>
  </si>
  <si>
    <t xml:space="preserve">02/12/2022 03:33:43 PM </t>
  </si>
  <si>
    <t>CLG/SHIKHA/046446/CAB/01.12.2022</t>
  </si>
  <si>
    <t xml:space="preserve">02/12/2022 04:53:17 PM </t>
  </si>
  <si>
    <t>MMT/IMPS/233616920823/SALARY/goravDG   /CNRB0002323</t>
  </si>
  <si>
    <t xml:space="preserve">02/12/2022 04:55:54 PM </t>
  </si>
  <si>
    <t>INF/NEFT/030276297161/HDFC0000655/TALLY PAYMENT  /mittalTALE</t>
  </si>
  <si>
    <t xml:space="preserve">02/12/2022 08:43:17 PM </t>
  </si>
  <si>
    <t>BIL/INFT/000549863843/Plot Booking A4/ GAURAV MALIK</t>
  </si>
  <si>
    <t>GAURAV MALIK</t>
  </si>
  <si>
    <t>IF OF PLOT NO A141</t>
  </si>
  <si>
    <t>TALLY RENEWAL</t>
  </si>
  <si>
    <t>IF OF PLOT NO A45</t>
  </si>
  <si>
    <t xml:space="preserve">03/12/2022 03:17:22 PM </t>
  </si>
  <si>
    <t>MMT/IMPS/233715927455/REFUND/ARUNkumarA/UTIB0000177</t>
  </si>
  <si>
    <t xml:space="preserve">04/12/2022 10:55:52 AM </t>
  </si>
  <si>
    <t>MMT/IMPS/233810734118/salary/rahulCHAUD/HDFC0004358</t>
  </si>
  <si>
    <t xml:space="preserve">04/12/2022 04:29:26 PM </t>
  </si>
  <si>
    <t>MMT/IMPS/233816740227/salary/MANISHsaga/PUNB0072900</t>
  </si>
  <si>
    <t>REFUND PLOT NO A1</t>
  </si>
  <si>
    <t xml:space="preserve">06/12/2022 07:48:58 PM </t>
  </si>
  <si>
    <t>MMT/IMPS/234019887031/refund entry/LOKINDRAku/SBIN0007619</t>
  </si>
  <si>
    <t xml:space="preserve">07/12/2022 02:45:43 PM </t>
  </si>
  <si>
    <t>CLG/INUSH ALI/154988/PNB/06.12.2022</t>
  </si>
  <si>
    <t xml:space="preserve">07/12/2022 05:58:38 PM </t>
  </si>
  <si>
    <t>REJECT:154988:ADVICE NOT RECEIVED</t>
  </si>
  <si>
    <t xml:space="preserve">08/12/2022 03:08:33 PM </t>
  </si>
  <si>
    <t>CLG/SURESH PAL SINGH/153359/SBI/06.12.2022</t>
  </si>
  <si>
    <t>CLG/BHARAT/176072/SBI/06.12.2022</t>
  </si>
  <si>
    <t xml:space="preserve">08/12/2022 05:51:24 PM </t>
  </si>
  <si>
    <t>REJECT:153359:DRAWERS SIGNATURE DIFFERS</t>
  </si>
  <si>
    <t>REFUND FROM PLOT NO A41</t>
  </si>
  <si>
    <t>SURESH PAL SINGH</t>
  </si>
  <si>
    <t>IF OF PLOT NO A30</t>
  </si>
  <si>
    <t xml:space="preserve">BHARAT  </t>
  </si>
  <si>
    <t xml:space="preserve">09/12/2022 11:46:06 AM </t>
  </si>
  <si>
    <t>MMT/IMPS/234311475960/SALARY/AMITyadav /HDFC0000655</t>
  </si>
  <si>
    <t xml:space="preserve">12/12/2022 11:23:55 AM </t>
  </si>
  <si>
    <t>RTGS-PUNBR52022121219273224-AJAY KUMAR SO RISHI KUMAR-0424000100250129-PUNB0042</t>
  </si>
  <si>
    <t xml:space="preserve">15/12/2022 07:58:52 AM </t>
  </si>
  <si>
    <t>CLG/GEETA DEVI/840207/SBI/13.12.2022</t>
  </si>
  <si>
    <t>GEETA DEVI</t>
  </si>
  <si>
    <t>IF OF PLOT NO B40</t>
  </si>
  <si>
    <t xml:space="preserve">19/12/2022 08:05:16 AM </t>
  </si>
  <si>
    <t>CLG/GEETA DEVI/840209/SBI/15.12.2022</t>
  </si>
  <si>
    <t xml:space="preserve">19/12/2022 02:16:42 PM </t>
  </si>
  <si>
    <t>CLG/NIDHI KAMAL KUMAR/000662/UBI/15.12.2022</t>
  </si>
  <si>
    <t xml:space="preserve">19/12/2022 05:10:26 PM </t>
  </si>
  <si>
    <t>REJECT:662:OTHER REASONS</t>
  </si>
  <si>
    <t>NIDHI KAMAL</t>
  </si>
  <si>
    <t>IF OF PLOT NO A32</t>
  </si>
  <si>
    <t>FROM PLOT NO A32</t>
  </si>
  <si>
    <t xml:space="preserve">20/12/2022 04:14:16 PM </t>
  </si>
  <si>
    <t>RTGS/ICICR42022122000535524/SBIN0000685/YASHPAL SINGH</t>
  </si>
  <si>
    <t xml:space="preserve">20/12/2022 04:15:59 PM </t>
  </si>
  <si>
    <t>RTGS/ICICR42022122000535683/SBIN0007619/BRIJ PALSINGH</t>
  </si>
  <si>
    <t xml:space="preserve">20/12/2022 04:18:08 PM </t>
  </si>
  <si>
    <t>RTGS/ICICR42022122000535841/PUNB0471600/VINAY KUMAR MALIK</t>
  </si>
  <si>
    <t xml:space="preserve">20/12/2022 04:20:19 PM </t>
  </si>
  <si>
    <t>RTGS/ICICR42022122000536047/SBIN0007619/vinay kumar malik</t>
  </si>
  <si>
    <t xml:space="preserve">20/12/2022 04:24:03 PM </t>
  </si>
  <si>
    <t>RTGS/ICICR42022122000536367/SBIN0016609/SURENDRASINGH</t>
  </si>
  <si>
    <t xml:space="preserve">20/12/2022 04:26:50 PM </t>
  </si>
  <si>
    <t>INF/NEFT/030506618921/PUNB0471600/REFUND B35     /SAAKSHIdhamaPNB</t>
  </si>
  <si>
    <t xml:space="preserve">20/12/2022 04:30:07 PM </t>
  </si>
  <si>
    <t>INF/NEFT/030506669221/SBIN0007619/REFUND PAYMENT /YASPALsinghSBI</t>
  </si>
  <si>
    <t>SAAKSHI DHAMA</t>
  </si>
  <si>
    <t>FROM  PLOT NO A89</t>
  </si>
  <si>
    <t>FROM OF PLOT B35</t>
  </si>
  <si>
    <t>FROM  of plon no A110</t>
  </si>
  <si>
    <t>FROM PLOT no A64</t>
  </si>
  <si>
    <t>FROM  PLOT NO A111</t>
  </si>
  <si>
    <t>FROM  PLOT NO A30</t>
  </si>
  <si>
    <t>RTGS-PUNBR52022122219689355-SHALAU DIN S O WASIDH-02662010025140-PUNB0026610</t>
  </si>
  <si>
    <t xml:space="preserve">21/12/2022 03:02:17 PM </t>
  </si>
  <si>
    <t xml:space="preserve">22/12/2022 03:52:48 PM </t>
  </si>
  <si>
    <t xml:space="preserve">KAMAL </t>
  </si>
  <si>
    <t>IN FABOUR OF KULDEEP TOMAR CAPITAL</t>
  </si>
  <si>
    <t>FROM PLOT NO A111 &amp; A147</t>
  </si>
  <si>
    <t>IF OF  PLOT NO A147</t>
  </si>
  <si>
    <t>IF OF PLOT NO A132</t>
  </si>
  <si>
    <t xml:space="preserve">25/12/2022 07:28:22 PM </t>
  </si>
  <si>
    <t>RTGS/ICICR42022122500503472/SBIN0007619/NIMMI CHOUDHARY</t>
  </si>
  <si>
    <t xml:space="preserve">26/12/2022 03:52:34 PM </t>
  </si>
  <si>
    <t>CLG/SURESH PAL SINGH/153360/SBI/22.12.2022</t>
  </si>
  <si>
    <t xml:space="preserve">27/12/2022 03:09:19 PM </t>
  </si>
  <si>
    <t>RTGS/ICICR42022122700531008/PUNB0030310/INDERKALI</t>
  </si>
  <si>
    <t xml:space="preserve">27/12/2022 05:00:50 PM </t>
  </si>
  <si>
    <t>TRFR FROM: VINOD  KUMAR</t>
  </si>
  <si>
    <t xml:space="preserve">27/12/2022 06:10:55 PM </t>
  </si>
  <si>
    <t>RTGS/ICICR42022122700547209/PUNB0017500/SUNITA</t>
  </si>
  <si>
    <t xml:space="preserve">28/12/2022 02:02:41 PM </t>
  </si>
  <si>
    <t>UPI/236230695133/NA/75359591@paytm/Punjab National/PTM4a2fa0ef999241029a43dece8</t>
  </si>
  <si>
    <t xml:space="preserve">29/12/2022 10:09:57 AM </t>
  </si>
  <si>
    <t>UPI/236313118988/NA/75359591@paytm/Punjab National/PTMbe66977aa9b94eda97882d293</t>
  </si>
  <si>
    <t>WRONG ENTRY</t>
  </si>
  <si>
    <t>FROM PLOT NO A49</t>
  </si>
  <si>
    <t xml:space="preserve">31/12/2022 11:01:01 AM </t>
  </si>
  <si>
    <t>UPI/273115626410/NA/75359591@paytm/Punjab National/PTMbcdcf652d7a04460893f2a71a</t>
  </si>
  <si>
    <t xml:space="preserve">31/12/2022 01:48:48 PM </t>
  </si>
  <si>
    <t>CLG/GAURAV/499427/SBI/16.12.2022</t>
  </si>
  <si>
    <t xml:space="preserve">GAURAV </t>
  </si>
  <si>
    <t xml:space="preserve">21/12/2022 01:30:21 PM </t>
  </si>
  <si>
    <t>RTGS-PUNBR52022122119638183-INUSH ALI S O VASID-02662010044120-PUNB0026610</t>
  </si>
  <si>
    <t>RETURN FARMAR PAYMENT</t>
  </si>
  <si>
    <t xml:space="preserve">04/01/2023 02:39:19 PM </t>
  </si>
  <si>
    <t>MMT/IMPS/300414733034/SALARY/rahulCHAUD/HDFC0004358</t>
  </si>
  <si>
    <t xml:space="preserve">04/01/2023 04:42:38 PM </t>
  </si>
  <si>
    <t>MMT/IMPS/300416292521/SALARY/goravDG/CNRB0002323</t>
  </si>
  <si>
    <t xml:space="preserve">04/01/2023 04:44:45 PM </t>
  </si>
  <si>
    <t>MMT/IMPS/300416302330/SALARY/AMITyadav /HDFC0000655</t>
  </si>
  <si>
    <t xml:space="preserve">06/01/2023 03:54:02 PM </t>
  </si>
  <si>
    <t>CLG/RAKHI GARG/330397/PNB/01.01.2023</t>
  </si>
  <si>
    <t>RAKHI GARG</t>
  </si>
  <si>
    <t xml:space="preserve">07/01/2023 04:32:49 PM </t>
  </si>
  <si>
    <t>INF/INFT/030719014681/REFUND         /GAURAVmalikA45</t>
  </si>
  <si>
    <t xml:space="preserve">07/01/2023 04:43:46 PM </t>
  </si>
  <si>
    <t>MMT/IMPS/300716253213/REFUND/AMITkumarc/INDB0001102</t>
  </si>
  <si>
    <t>REFUND FROM PLOT NO A45</t>
  </si>
  <si>
    <t>CEMENT PAYMENT</t>
  </si>
  <si>
    <t xml:space="preserve">08/01/2023 10:52:23 AM </t>
  </si>
  <si>
    <t>UPI/300818124917/NA/75359591@paytm/Punjab National/PTM5c9671f479ca4e3a8f993b513eaea8b8</t>
  </si>
  <si>
    <t xml:space="preserve">10/01/2023 11:52:49 AM </t>
  </si>
  <si>
    <t>UPI/337619712893/NA/75359591@paytm/Punjab National/PTMc8f9ec1456a543d6802386967b1d7cb6</t>
  </si>
  <si>
    <t xml:space="preserve">11/01/2023 03:43:06 PM </t>
  </si>
  <si>
    <t>UPI/337734890976/NA/75359591@paytm/Punjab National/PTM9402ce4801f3402dbae2984f49408b61</t>
  </si>
  <si>
    <t xml:space="preserve">16/01/2023 12:12:40 PM </t>
  </si>
  <si>
    <t>INF/INFT/030818264381/ADVANCE PAYMENT/BalajiAssociate</t>
  </si>
  <si>
    <t xml:space="preserve">16/01/2023 12:15:16 PM </t>
  </si>
  <si>
    <t>INF/INFT/030818291501/ADVANCE        /BalajiAssociate</t>
  </si>
  <si>
    <t xml:space="preserve">16/01/2023 12:17:22 PM </t>
  </si>
  <si>
    <t>INF/INFT/030818317851/ADVANCE        /BalajiAssociate</t>
  </si>
  <si>
    <t xml:space="preserve">17/01/2023 02:08:30 PM </t>
  </si>
  <si>
    <t>RTGS/ICICR42023011700522006/IOBA0003569/mohit kumar</t>
  </si>
  <si>
    <t xml:space="preserve">20/01/2023 11:09:46 AM </t>
  </si>
  <si>
    <t>MMT/IMPS/302011164012/SELF/ShriGanesh/IOBA0001615</t>
  </si>
  <si>
    <t xml:space="preserve">30/01/2023 03:18:58 PM </t>
  </si>
  <si>
    <t>MMT/IMPS/303015503576/IMPS/PANKAJ SHR/Punjab National</t>
  </si>
  <si>
    <t xml:space="preserve">04/02/2023 07:33:50 PM </t>
  </si>
  <si>
    <t>MMT/IMPS/303519368602/salary/rahulCHAUD/HDFC0004358</t>
  </si>
  <si>
    <t xml:space="preserve">05/02/2023 10:12:18 PM </t>
  </si>
  <si>
    <t>MMT/IMPS/303622634763/SALARY/goravDG/CNRB0002323</t>
  </si>
  <si>
    <t xml:space="preserve">06/02/2023 02:34:53 PM </t>
  </si>
  <si>
    <t>CLG/HITESH KUMAR/113830/SBI/03.02.2023</t>
  </si>
  <si>
    <t xml:space="preserve">08/02/2023 08:27:47 PM </t>
  </si>
  <si>
    <t>MMT/IMPS/303920016465/SALARY/AMITyadav/HDFC0000655</t>
  </si>
  <si>
    <t xml:space="preserve">10/02/2023 03:54:01 PM </t>
  </si>
  <si>
    <t>RTGS-PUNBR52023021011399170-INUSH ALI S O VASID-02662010044120-PUNB0026610</t>
  </si>
  <si>
    <t xml:space="preserve">10/02/2023 06:24:06 PM </t>
  </si>
  <si>
    <t>RTGS/ICICR42023021000545108/SBIN0002484/SAROJ</t>
  </si>
  <si>
    <t xml:space="preserve">10/02/2023 06:48:35 PM </t>
  </si>
  <si>
    <t>INF/INFT/031110824691/REFUND         /SANDEEPkumarA5</t>
  </si>
  <si>
    <t xml:space="preserve">11/02/2023 05:14:20 PM </t>
  </si>
  <si>
    <t>BIL/ONL/000602517883/UP Power C/bill payment</t>
  </si>
  <si>
    <t xml:space="preserve">11/02/2023 05:20:18 PM </t>
  </si>
  <si>
    <t>BIL/ONL/000602521307/UP Power C/bill payment</t>
  </si>
  <si>
    <t xml:space="preserve">11/02/2023 05:24:12 PM </t>
  </si>
  <si>
    <t>BIL/ONL/000602523528/UP Power C/bill payment</t>
  </si>
  <si>
    <t xml:space="preserve">17/02/2023 04:09:54 PM </t>
  </si>
  <si>
    <t>RTGS-PUNBR52023021711666627-SHALAU DIN S O WASIDH-02662010025140-PUNB0026610</t>
  </si>
  <si>
    <t>SHRI GANESH ASSOCIATES IOB</t>
  </si>
  <si>
    <t>SAROJ</t>
  </si>
  <si>
    <t>FROM PLOT NO A5</t>
  </si>
  <si>
    <t>BILL PAYMENT</t>
  </si>
  <si>
    <t>HITESH KUMAR</t>
  </si>
  <si>
    <t xml:space="preserve">PANKAJ  </t>
  </si>
  <si>
    <t>20/02/2023</t>
  </si>
  <si>
    <t xml:space="preserve">20/02/2023 08:10:40 PM </t>
  </si>
  <si>
    <t>INF/INFT/031213659321/REFUND         /BALAJI ASSOCIAT</t>
  </si>
  <si>
    <t xml:space="preserve">20/02/2023 08:17:04 PM </t>
  </si>
  <si>
    <t>RTGS/ICICR42023022000560943/UBIN0908487/VINEET SANGAL</t>
  </si>
  <si>
    <t xml:space="preserve">20/02/2023 08:20:41 PM </t>
  </si>
  <si>
    <t>RTGS/ICICR42023022000561097/HDFC0000003/PARTAP PANWAR</t>
  </si>
  <si>
    <t>22/02/2023</t>
  </si>
  <si>
    <t xml:space="preserve">22/02/2023 05:44:25 PM </t>
  </si>
  <si>
    <t>RTGS/ICICR42023022200542516/HDFC0000003/PARTAP PANWAR</t>
  </si>
  <si>
    <t>VINET SANGAL</t>
  </si>
  <si>
    <t>FROM PLOT NO A86</t>
  </si>
  <si>
    <t>FROM PLOT NO A12</t>
  </si>
  <si>
    <t>IF OF PLOT NO B46</t>
  </si>
  <si>
    <t>REFUND FROM FARMAR PAYMENT</t>
  </si>
  <si>
    <t>FROM PLOT NO A64</t>
  </si>
  <si>
    <t>UP POWER COMMERCIAL</t>
  </si>
  <si>
    <t>refund(17/9/20)</t>
  </si>
  <si>
    <t>refund(16/9/21,18/9/21)</t>
  </si>
  <si>
    <t>REFUND(20/12/22)</t>
  </si>
  <si>
    <t>REFUND(6/12/22)</t>
  </si>
  <si>
    <t>REFUND(14/2/22)</t>
  </si>
  <si>
    <t>REFUND(28/9/21)</t>
  </si>
  <si>
    <t>REFUND(21/10/22)</t>
  </si>
  <si>
    <t>REFUND(14/6/22)</t>
  </si>
  <si>
    <t>REFUND(28/5/22)</t>
  </si>
  <si>
    <t>REFUND(22/9/22)</t>
  </si>
  <si>
    <t>REFUND(11/4/22)</t>
  </si>
  <si>
    <t>REFUND(16/9/22)</t>
  </si>
  <si>
    <t>REFUND(8/4/22)</t>
  </si>
  <si>
    <t>REFUND(14/10/22)</t>
  </si>
  <si>
    <t>REFUND(13/12/21)</t>
  </si>
  <si>
    <t>REFUND(26/8/22)</t>
  </si>
  <si>
    <t>REFUND(7/12/21)</t>
  </si>
  <si>
    <t>REFUND(7/7/22)</t>
  </si>
  <si>
    <t>REFUND(6/12/21)</t>
  </si>
  <si>
    <t>REFUND(25/12/22)</t>
  </si>
  <si>
    <t>REFUND(2/9/22)</t>
  </si>
  <si>
    <t>REFUND(28/12/21)</t>
  </si>
  <si>
    <t>REFUND(22/12/21)</t>
  </si>
  <si>
    <t>REFUND(6/6/22)</t>
  </si>
  <si>
    <t>REFUND(14/4/22)</t>
  </si>
  <si>
    <t>REFUND(22/6/22)</t>
  </si>
  <si>
    <t>REFUN(16/6/22)</t>
  </si>
  <si>
    <t>REFUND(18/11/22)</t>
  </si>
  <si>
    <t>REFUND(16/7/21</t>
  </si>
  <si>
    <t>REFUND(4/7/22)</t>
  </si>
  <si>
    <t>REFUND(30/7/21)</t>
  </si>
  <si>
    <t>REFUND(13/9/21)</t>
  </si>
  <si>
    <t>REFUND(27/8/21)</t>
  </si>
  <si>
    <t>REFUND(23/8/21)</t>
  </si>
  <si>
    <t>REFUND(26/8/21,27/8/21)</t>
  </si>
  <si>
    <t>REFUND(15/9/21)</t>
  </si>
  <si>
    <t>REFUND(28/8/22)</t>
  </si>
  <si>
    <t>REFUND(2/9/21)</t>
  </si>
  <si>
    <t>refund(9/8/21,22/10/21)</t>
  </si>
  <si>
    <t>REFUND(27/8/22)</t>
  </si>
  <si>
    <t>REFUND(7/10/21)</t>
  </si>
  <si>
    <t>REFUND(7/12/21,8/11/21)</t>
  </si>
  <si>
    <t>bounce</t>
  </si>
  <si>
    <t xml:space="preserve">OPEN IN REGISTRY </t>
  </si>
  <si>
    <t>REFUND(3/3/22)</t>
  </si>
  <si>
    <t>REFUND23/7/21,26/7/21,7/9/21)</t>
  </si>
  <si>
    <t>REFUND(9/6/22)</t>
  </si>
  <si>
    <t>REFUND(7/6/22)</t>
  </si>
  <si>
    <t>REFUND(27/6/22)</t>
  </si>
  <si>
    <t>REFUND(14/2/22</t>
  </si>
  <si>
    <t>REFUND(06/5/22)</t>
  </si>
  <si>
    <t>REFUND(27/9/22)</t>
  </si>
  <si>
    <t>REFUND(18/8/21,7/12/21)</t>
  </si>
  <si>
    <t>REFUND(13/7/22)</t>
  </si>
  <si>
    <t>REFUND(17/5/22)</t>
  </si>
  <si>
    <t>REFUND(8/9/21,10/9/21)</t>
  </si>
  <si>
    <t>REFUND(3/12/22)</t>
  </si>
  <si>
    <t>REFUND(31/3/22)</t>
  </si>
  <si>
    <t>REFUND(12/4/22)</t>
  </si>
  <si>
    <t>refund (9/6/22)</t>
  </si>
  <si>
    <t>REFUND(11/6/22)</t>
  </si>
  <si>
    <t>REFUND(27/12/22)</t>
  </si>
  <si>
    <t>REFUND(5/8/21,6/8/21)</t>
  </si>
  <si>
    <t>REFUND(1/9/21)</t>
  </si>
  <si>
    <t>REFUND(12/8/21,6/9/21,7/9/21,13/9/21)</t>
  </si>
  <si>
    <t>REFUND(6/9/22,7/9/22)</t>
  </si>
  <si>
    <t>REFUND(21/2/22)</t>
  </si>
  <si>
    <t>REFUND(23/2/22)</t>
  </si>
  <si>
    <t>refund (19/5/22)</t>
  </si>
  <si>
    <t>REFUND(17/2/22)</t>
  </si>
  <si>
    <t>CAR</t>
  </si>
  <si>
    <t>REFUND(19/5/22)</t>
  </si>
  <si>
    <t>REFUND(22/4/22)</t>
  </si>
  <si>
    <t>REFUND(2/8/22)</t>
  </si>
  <si>
    <t>REFUND(26/9/22)</t>
  </si>
  <si>
    <t>REFUND(14/9/21)</t>
  </si>
  <si>
    <t>REFUND(8/9,14/9,30/9,1/10,4/10,26/11/21)</t>
  </si>
  <si>
    <t>REFUND(20/9/21,24/9/21)</t>
  </si>
  <si>
    <t>REFUND(26/8/21,20/9/21,13/12/21)</t>
  </si>
  <si>
    <t>REFUND(23/11/21,13/12/21)</t>
  </si>
  <si>
    <t>REFUND(16/8/21,8/9/21,7/12/21)</t>
  </si>
  <si>
    <t>REFUND(25/8/21)</t>
  </si>
  <si>
    <t>REFUND(21/12/22,22/12/22)</t>
  </si>
  <si>
    <t>REFUND(18/8/21)</t>
  </si>
  <si>
    <t>REFUND(15/6/22)</t>
  </si>
  <si>
    <t>REFUND(4/8/21,11/8/22,22/9/21)</t>
  </si>
  <si>
    <t>REFUND(28/7/21)</t>
  </si>
  <si>
    <t>REFUND(18/4/22)</t>
  </si>
  <si>
    <t>REFUND(22/7/21)</t>
  </si>
  <si>
    <t>REFUND(3/12/21)</t>
  </si>
  <si>
    <t>REFUND(26/7/21,25/10/21)</t>
  </si>
  <si>
    <t>REFUND(29/6/22)</t>
  </si>
  <si>
    <t>REFUND(25/10/21)</t>
  </si>
  <si>
    <t>REFUND(30/8/21)</t>
  </si>
  <si>
    <t>open in registry</t>
  </si>
  <si>
    <t>OPEN IN REGISTRY</t>
  </si>
  <si>
    <t>02/03/2023</t>
  </si>
  <si>
    <t xml:space="preserve">02/03/2023 10:12:01 AM </t>
  </si>
  <si>
    <t>INF/INFT/031322506551/refund         /BALAJI ASSOCIAT</t>
  </si>
  <si>
    <t xml:space="preserve">02/03/2023 10:19:43 AM </t>
  </si>
  <si>
    <t>RTGS/ICICR42023030200504827/PUNB0745400/REENA</t>
  </si>
  <si>
    <t>IF OF PLOT NO A143</t>
  </si>
  <si>
    <t>IF OF PLOT NO A124</t>
  </si>
  <si>
    <t>IF OF PLOT NO A131</t>
  </si>
  <si>
    <t>FROM PLOT NO B7,B5,B4,B14</t>
  </si>
  <si>
    <t>04/03/2023</t>
  </si>
  <si>
    <t xml:space="preserve">04/03/2023 02:15:37 PM </t>
  </si>
  <si>
    <t>UPI/306335838930/NA/75359591@paytm/Punjab National/PTM78bf733cda4a456093b9e1f13a9ac874</t>
  </si>
  <si>
    <t>05/03/2023</t>
  </si>
  <si>
    <t xml:space="preserve">05/03/2023 08:10:18 PM </t>
  </si>
  <si>
    <t>MMT/IMPS/306420925606/SALARY/AMITyadav/HDFC0000655</t>
  </si>
  <si>
    <t xml:space="preserve">05/03/2023 08:11:47 PM </t>
  </si>
  <si>
    <t>MMT/IMPS/306420930877/SALARY/goravDG/CNRB0002323</t>
  </si>
  <si>
    <t xml:space="preserve">05/03/2023 08:13:26 PM </t>
  </si>
  <si>
    <t>MMT/IMPS/306420936233/SALARY/rahulCHAUD/HDFC0004358</t>
  </si>
  <si>
    <t xml:space="preserve">05/03/2023 09:32:35 PM </t>
  </si>
  <si>
    <t>RTGS/ICICR42023030500507481/HDFC0002732/RAJEEV SHARMA</t>
  </si>
  <si>
    <t>GORAV</t>
  </si>
  <si>
    <t>10/03/2023</t>
  </si>
  <si>
    <t xml:space="preserve">10/03/2023 01:13:22 PM </t>
  </si>
  <si>
    <t>NEFT-PUNBH23069540171-SHALAU DIN S O WASIDH--02662010025140-PUNB0026610</t>
  </si>
  <si>
    <t>17/03/2023</t>
  </si>
  <si>
    <t xml:space="preserve">17/03/2023 12:43:20 PM </t>
  </si>
  <si>
    <t>UPI/307629940045/NA/75359591@paytm/Punjab National/PTMa9abc60a134b4481ad56744b60fe4de2</t>
  </si>
  <si>
    <t>22/03/2023</t>
  </si>
  <si>
    <t xml:space="preserve">22/03/2023 03:40:44 PM </t>
  </si>
  <si>
    <t>CLG/GEETA DEVI/840210/SBI/20.03.2023</t>
  </si>
  <si>
    <t xml:space="preserve">22/03/2023 05:16:19 PM </t>
  </si>
  <si>
    <t>REJECT:840210:DRAWERS SIGNATURE DIFFERS</t>
  </si>
  <si>
    <t>23/03/2023</t>
  </si>
  <si>
    <t xml:space="preserve">23/03/2023 10:46:34 AM </t>
  </si>
  <si>
    <t>UPI/308214250530/NA/75359591@paytm/Punjab National/PTMacdef26c6ecb4d3f91f556dc50db70c7</t>
  </si>
  <si>
    <t>FROM  PLOT NO B40</t>
  </si>
  <si>
    <t xml:space="preserve">23/03/2023 02:44:49 PM </t>
  </si>
  <si>
    <t>RTGS/ICICR42023032300530916/SBIN0016609/PRAMOD KUMAR</t>
  </si>
  <si>
    <t xml:space="preserve">23/03/2023 09:54:34 PM </t>
  </si>
  <si>
    <t>INF/INFT/031599190251/ADVANCE        /D G ASSOCIATES</t>
  </si>
  <si>
    <t>PRAMOD KUMAR</t>
  </si>
  <si>
    <t>FROMPLOTNO B41</t>
  </si>
  <si>
    <t>27/03/2023</t>
  </si>
  <si>
    <t xml:space="preserve">27/03/2023 11:31:43 AM </t>
  </si>
  <si>
    <t>241</t>
  </si>
  <si>
    <t>CASH PAID:GAURAV 0668 SHAMLICHQ,000241</t>
  </si>
  <si>
    <t>28/03/2023</t>
  </si>
  <si>
    <t xml:space="preserve">28/03/2023 09:14:45 PM </t>
  </si>
  <si>
    <t>INF/INFT/031652455011/ADVANCE        /D G ASSOCIATES</t>
  </si>
  <si>
    <t xml:space="preserve">28/03/2023 09:17:09 PM </t>
  </si>
  <si>
    <t>RTGS/ICICR42023032800575657/UBIN0553646/RAJKUMAR</t>
  </si>
  <si>
    <t xml:space="preserve">28/03/2023 09:18:55 PM </t>
  </si>
  <si>
    <t>INF/NEFT/031652479151/RATN0000266/REFUND         /SUMANb40</t>
  </si>
  <si>
    <t>29/03/2023</t>
  </si>
  <si>
    <t xml:space="preserve">29/03/2023 04:24:44 PM </t>
  </si>
  <si>
    <t>INF/INFT/031661508841/ADVANCE        /D G ASSOCIATES</t>
  </si>
  <si>
    <t xml:space="preserve">29/03/2023 04:28:24 PM </t>
  </si>
  <si>
    <t>INF/NEFT/031661579441/SBIN0000074/REFUND B41     /RAJNISHchauhanB</t>
  </si>
  <si>
    <t xml:space="preserve">29/03/2023 04:30:08 PM </t>
  </si>
  <si>
    <t>MMT/IMPS/308816615836/REFUND B42/JYOTIdeviB/SBIN0000074</t>
  </si>
  <si>
    <t>CASH</t>
  </si>
  <si>
    <t>FROM PLOT NO B40</t>
  </si>
  <si>
    <t>FROM PLOT NO B42</t>
  </si>
  <si>
    <t>FROM PLOT NO B41</t>
  </si>
  <si>
    <t>03/04/2023</t>
  </si>
  <si>
    <t xml:space="preserve">03/04/2023 12:01:08 PM </t>
  </si>
  <si>
    <t>INF/INFT/031712891081/REFUND         /MOHITkumarA144</t>
  </si>
  <si>
    <t xml:space="preserve">03/04/2023 12:03:09 PM </t>
  </si>
  <si>
    <t>RTGS/ICICR42023040300518206/UTIB0003330/RAVI KUMAR</t>
  </si>
  <si>
    <t xml:space="preserve">03/04/2023 07:33:58 PM </t>
  </si>
  <si>
    <t>MMT/IMPS/309319010756/REFUND/SURENDRAsi/SBIN0016609</t>
  </si>
  <si>
    <t xml:space="preserve">03/04/2023 07:34:00 PM </t>
  </si>
  <si>
    <t>FROM PLOT NO A142</t>
  </si>
  <si>
    <t>FROM PLOT NO A144</t>
  </si>
  <si>
    <t>IF OF PLOT NO B35</t>
  </si>
  <si>
    <t>04/04/2023</t>
  </si>
  <si>
    <t xml:space="preserve">04/04/2023 04:48:02 PM </t>
  </si>
  <si>
    <t>MMT/IMPS/309416079755/SALARY/rahulCHAUD/HDFC0004358</t>
  </si>
  <si>
    <t xml:space="preserve">04/04/2023 04:49:21 PM </t>
  </si>
  <si>
    <t>MMT/IMPS/309416085378/SALARY/goravDG   /CNRB0002323</t>
  </si>
  <si>
    <t xml:space="preserve">04/04/2023 05:16:35 PM </t>
  </si>
  <si>
    <t>MMT/IMPS/309417208156/SALARY/BABITAdham/PUNB0471600</t>
  </si>
  <si>
    <t xml:space="preserve">04/04/2023 05:18:30 PM </t>
  </si>
  <si>
    <t>MMT/IMPS/309417216044/REFUND/SURENDRAsi/SBIN0016609</t>
  </si>
  <si>
    <t>17/04/2023</t>
  </si>
  <si>
    <t xml:space="preserve">17/04/2023 08:08:25 PM </t>
  </si>
  <si>
    <t>MMT/IMPS/310720424926/salary/AMITyadav /HDFC0000655</t>
  </si>
  <si>
    <t>19/04/2023</t>
  </si>
  <si>
    <t xml:space="preserve">19/04/2023 03:34:09 PM </t>
  </si>
  <si>
    <t>CLG/CHEQUE/403086/PNB/17.04.2023</t>
  </si>
  <si>
    <t xml:space="preserve">19/04/2023 06:36:40 PM </t>
  </si>
  <si>
    <t>REJECT:403086:ADVICE NOT RECEIVED</t>
  </si>
  <si>
    <t>24/04/2023</t>
  </si>
  <si>
    <t xml:space="preserve">24/04/2023 02:41:58 PM </t>
  </si>
  <si>
    <t xml:space="preserve">24/04/2023 06:54:42 PM </t>
  </si>
  <si>
    <t>25/04/2023</t>
  </si>
  <si>
    <t xml:space="preserve">25/04/2023 12:28:28 PM </t>
  </si>
  <si>
    <t>CLG/INUSH ALI/154997/PNB/24.04.2023</t>
  </si>
  <si>
    <t xml:space="preserve">25/04/2023 12:28:33 PM </t>
  </si>
  <si>
    <t>CLG/SHALAU DIN/136463/PNB/24.03.2023</t>
  </si>
  <si>
    <t>27/04/2023</t>
  </si>
  <si>
    <t xml:space="preserve">27/04/2023 12:18:24 PM </t>
  </si>
  <si>
    <t>RTGS-PUNBR52023042714186652-KASAM SO RUSTAM-02662010019640-PUNB0026610</t>
  </si>
  <si>
    <t>02/05/2023</t>
  </si>
  <si>
    <t xml:space="preserve">02/05/2023 10:41:55 AM </t>
  </si>
  <si>
    <t>MMT/IMPS/312210407621/REFUND PAYMENT/GEETAdeviB/SBIN0002383</t>
  </si>
  <si>
    <t>DETAILED STATEMENT
Account Number: 066805003989</t>
  </si>
  <si>
    <t>CLG/BRIJ ESH/531343/CAB/16.0
8.2021</t>
  </si>
  <si>
    <t>NEFT- PUNBH21 243402928
-REENA WO SUNIL KUMAR-- 043121</t>
  </si>
  <si>
    <t>06/05/2023</t>
  </si>
  <si>
    <t xml:space="preserve">06/05/2023 01:04:01 PM </t>
  </si>
  <si>
    <t>INF/INFT/032102342751/REFUND         /aashu</t>
  </si>
  <si>
    <t xml:space="preserve">06/05/2023 01:06:39 PM </t>
  </si>
  <si>
    <t>MMT/IMPS/312613643388/SALARY/rahulCHAUD/HDFC0004358</t>
  </si>
  <si>
    <t xml:space="preserve">06/05/2023 01:07:50 PM </t>
  </si>
  <si>
    <t>MMT/IMPS/312613647980/SALARY/AMITyadav/HDFC0000655</t>
  </si>
  <si>
    <t xml:space="preserve">06/05/2023 01:09:17 PM </t>
  </si>
  <si>
    <t>MMT/IMPS/312613654185/SALARY/goravDG/CNRB0002323</t>
  </si>
  <si>
    <t xml:space="preserve">06/05/2023 01:11:58 PM </t>
  </si>
  <si>
    <t>RTGS/ICICR42023050600515905/PUNB0776900/CHARAN SINGH</t>
  </si>
  <si>
    <t>IF OF PLOT NO B129</t>
  </si>
  <si>
    <t>18/05/2023</t>
  </si>
  <si>
    <t xml:space="preserve">18/05/2023 12:08:00 PM </t>
  </si>
  <si>
    <t>RTGS-PUNBR52023051814934536-KASIM SO RUSTAM-02662010019640-PUNB0026610</t>
  </si>
  <si>
    <t xml:space="preserve">18/05/2023 02:14:12 PM </t>
  </si>
  <si>
    <t>RTGS/ICICR42023051800524469/PUNB0776900/CHARAN SINGH</t>
  </si>
  <si>
    <t xml:space="preserve">18/05/2023 04:03:39 PM </t>
  </si>
  <si>
    <t>RTGS-PUNBR52023051814954729-INUSH ALI S O VASID-02662010044120-PUNB0026610</t>
  </si>
  <si>
    <t>KASIM ALI</t>
  </si>
  <si>
    <t>19/05/2023</t>
  </si>
  <si>
    <t xml:space="preserve">19/05/2023 05:54:22 PM </t>
  </si>
  <si>
    <t>RTGS/ICICR42023051900542785/SBIN0007619/LOKINDRAKUMAR</t>
  </si>
  <si>
    <t xml:space="preserve">19/05/2023 06:00:39 PM </t>
  </si>
  <si>
    <t>RTGS/ICICR42023051900543276/SBIN0016609/PRAMOD KUMAR</t>
  </si>
  <si>
    <t xml:space="preserve">19/05/2023 06:03:16 PM </t>
  </si>
  <si>
    <t>MMT/IMPS/313918227167/refund payment/RAKHItomar/SBIN0000685</t>
  </si>
  <si>
    <t>FROM PLOT NO A58</t>
  </si>
  <si>
    <t>23/05/2023</t>
  </si>
  <si>
    <t xml:space="preserve">23/05/2023 03:28:13 PM </t>
  </si>
  <si>
    <t>INF/NEFT/032297766781/PUNB0471600/refund a34     /ASHOKkumarTYAGI</t>
  </si>
  <si>
    <t>ASHOK KUMAR TYAGI</t>
  </si>
  <si>
    <t>FROM PLOT NO A34</t>
  </si>
  <si>
    <t>FROM PLOT NO B33</t>
  </si>
  <si>
    <t>26/05/2023</t>
  </si>
  <si>
    <t xml:space="preserve">26/05/2023 06:15:30 PM </t>
  </si>
  <si>
    <t>INF/NEFT/032333663041/ICIC00MERUT/REFUND A85     /AJAYkumarA85</t>
  </si>
  <si>
    <t xml:space="preserve">26/05/2023 06:17:04 PM </t>
  </si>
  <si>
    <t>INF/INFT/032333732211/ADVANCE        /yogrshTYAGIdg</t>
  </si>
  <si>
    <t>FROM PLOT NO A85</t>
  </si>
  <si>
    <t>01/06/2023</t>
  </si>
  <si>
    <t xml:space="preserve">01/06/2023 01:33:05 PM </t>
  </si>
  <si>
    <t>MMT/IMPS/315213960856/REFUND PAYMENT/SEEMAa20/BARB0BARAUT</t>
  </si>
  <si>
    <t xml:space="preserve">01/06/2023 01:33:06 PM </t>
  </si>
  <si>
    <t xml:space="preserve">01/06/2023 01:37:44 PM </t>
  </si>
  <si>
    <t>MMT/IMPS/315213980587/REFUND PAYMENT/SEEMAa20/BARB0BARAUT</t>
  </si>
  <si>
    <t xml:space="preserve">01/06/2023 01:37:45 PM </t>
  </si>
  <si>
    <t xml:space="preserve">01/06/2023 01:40:25 PM </t>
  </si>
  <si>
    <t>MMT/IMPS/315213990986/refundpayment/SEEMAa20/BARB0BARAUT</t>
  </si>
  <si>
    <t xml:space="preserve">01/06/2023 01:40:26 PM </t>
  </si>
  <si>
    <t xml:space="preserve">01/06/2023 01:41:35 PM </t>
  </si>
  <si>
    <t>MMT/IMPS/315213996087/REFUND PAYMEND/VIMLESHa20/BARB0BARAUT</t>
  </si>
  <si>
    <t xml:space="preserve">01/06/2023 01:41:36 PM </t>
  </si>
  <si>
    <t xml:space="preserve">01/06/2023 01:44:00 PM </t>
  </si>
  <si>
    <t>INF/INFT/032391577561/REFUND PAYMENT /VIPINnitteBHAI</t>
  </si>
  <si>
    <t>02/06/2023</t>
  </si>
  <si>
    <t xml:space="preserve">02/06/2023 11:03:30 AM </t>
  </si>
  <si>
    <t>BIL/ONL/000673509778/UP Power C/BILL PAYMENT</t>
  </si>
  <si>
    <t xml:space="preserve">02/06/2023 11:07:39 AM </t>
  </si>
  <si>
    <t>BIL/ONL/000673513621/UP Power C/BILL PAYMNET</t>
  </si>
  <si>
    <t xml:space="preserve">02/06/2023 11:11:41 AM </t>
  </si>
  <si>
    <t>BIL/ONL/000673517755/UP Power C/FIX CHARGE BILL</t>
  </si>
  <si>
    <t>VIPIN NITTE BHAI</t>
  </si>
  <si>
    <t>ELECTRICITY BILL PAYMENT</t>
  </si>
  <si>
    <t>03/06/2023</t>
  </si>
  <si>
    <t xml:space="preserve">03/06/2023 05:14:05 PM </t>
  </si>
  <si>
    <t>RTGS/ICICR42023060300533448/BARB0KANMEE/DIGPAL SINGH</t>
  </si>
  <si>
    <t>05/06/2023</t>
  </si>
  <si>
    <t xml:space="preserve">05/06/2023 06:18:40 PM </t>
  </si>
  <si>
    <t>MMT/IMPS/315618880904/BULD24814438/RAHUL CHAU/HDFC0004358</t>
  </si>
  <si>
    <t xml:space="preserve">05/06/2023 06:18:42 PM </t>
  </si>
  <si>
    <t>MMT/IMPS/315618880998/BULD24814438/GORAV/CNRB0002323</t>
  </si>
  <si>
    <t xml:space="preserve">05/06/2023 06:18:45 PM </t>
  </si>
  <si>
    <t>MMT/IMPS/315618881140/BULD24814438/AMIT YADAV/HDFC0000655</t>
  </si>
  <si>
    <t>250000-PERSONAL A/C</t>
  </si>
  <si>
    <t>FROM PLOT NO A20</t>
  </si>
  <si>
    <t>FROM PLOT NO A53 7 yogesh tyagi ji capital</t>
  </si>
  <si>
    <t>07/06/2023</t>
  </si>
  <si>
    <t xml:space="preserve">07/06/2023 02:30:54 PM </t>
  </si>
  <si>
    <t>RTGS/ICICR42023060700524999/SBIN0002484/24886170/                    /D N PAUL</t>
  </si>
  <si>
    <t>08/06/2023</t>
  </si>
  <si>
    <t xml:space="preserve">08/06/2023 10:53:29 AM </t>
  </si>
  <si>
    <t>INF/INFT/032478065671/REFUND         /BALAJI ASSOCIAT</t>
  </si>
  <si>
    <t xml:space="preserve">08/06/2023 11:09:47 AM </t>
  </si>
  <si>
    <t>INF/INFT/032478295461/24922951     /AMIT YADAV/</t>
  </si>
  <si>
    <t>11/06/2023</t>
  </si>
  <si>
    <t xml:space="preserve">11/06/2023 05:54:32 PM </t>
  </si>
  <si>
    <t>MMT/IMPS/316217390132/TDS/DHAWALmalh/IOBA0002803</t>
  </si>
  <si>
    <t xml:space="preserve">DN PAL </t>
  </si>
  <si>
    <t>FROM PLOT NO A79</t>
  </si>
  <si>
    <t>DHAWAL MALHOTRA</t>
  </si>
  <si>
    <t xml:space="preserve">TDS </t>
  </si>
  <si>
    <t>FROM PLOT NO A34 &amp; YOGESH TYAGI JI CAPITAL</t>
  </si>
  <si>
    <t>13/06/2023</t>
  </si>
  <si>
    <t xml:space="preserve">13/06/2023 04:38:44 PM </t>
  </si>
  <si>
    <t>MMT/IMPS/316416696350/TDS/DHAWALmalh/IOBA0002803</t>
  </si>
  <si>
    <t>22/06/2023</t>
  </si>
  <si>
    <t xml:space="preserve">22/06/2023 11:24:48 AM </t>
  </si>
  <si>
    <t>RTGS-PUNBR52023062216160127-SHALAU DIN S O WASIDH-02662010025140-PUNB0026610</t>
  </si>
  <si>
    <t>28/06/2023</t>
  </si>
  <si>
    <t xml:space="preserve">28/06/2023 11:47:48 AM </t>
  </si>
  <si>
    <t>RTGS/ICICR42023062800511135/SBIN0016609/PRAMOD KUMAR</t>
  </si>
  <si>
    <t>29/06/2023</t>
  </si>
  <si>
    <t xml:space="preserve">29/06/2023 03:23:25 PM </t>
  </si>
  <si>
    <t>BIL/ONL/000686170271/THE NEW AS</t>
  </si>
  <si>
    <t>02/07/2023</t>
  </si>
  <si>
    <t xml:space="preserve">02/07/2023 07:12:29 PM </t>
  </si>
  <si>
    <t>RTGS/ICICR42023070200506132/PSIB0000816/SATPAL TYAGI</t>
  </si>
  <si>
    <t xml:space="preserve">THE NEWAS   </t>
  </si>
  <si>
    <t>SATPAL TYAGI</t>
  </si>
  <si>
    <t>FROM PLOT NO A57</t>
  </si>
  <si>
    <t>FROM PLOT NO A36</t>
  </si>
  <si>
    <t>03/07/2023</t>
  </si>
  <si>
    <t xml:space="preserve">03/07/2023 06:07:37 PM </t>
  </si>
  <si>
    <t>MMT/IMPS/318418027291/BULD25687107/RAHUL CHAU/HDFC0004358</t>
  </si>
  <si>
    <t xml:space="preserve">03/07/2023 06:07:41 PM </t>
  </si>
  <si>
    <t>MMT/IMPS/318418027408/BULD25687107/GORAV     /CNRB0002323</t>
  </si>
  <si>
    <t xml:space="preserve">03/07/2023 06:07:43 PM </t>
  </si>
  <si>
    <t>MMT/IMPS/318418028503/BULD25687107/AMIT YADAV/HDFC0000655</t>
  </si>
  <si>
    <t>04/07/2023</t>
  </si>
  <si>
    <t xml:space="preserve">04/07/2023 03:30:24 PM </t>
  </si>
  <si>
    <t>RTGS/ICICR42023070400530607/SBIN0011558/25713354/                    /BIRPAL SINGH</t>
  </si>
  <si>
    <t>FROM PLOT NO B46</t>
  </si>
  <si>
    <t>06/07/2023</t>
  </si>
  <si>
    <t xml:space="preserve">06/07/2023 09:46:01 PM </t>
  </si>
  <si>
    <t>RTGS/ICICR42023070600554958/SBIN0007619/LOKINDRAKUMAR</t>
  </si>
  <si>
    <t>10/07/2023</t>
  </si>
  <si>
    <t xml:space="preserve">10/07/2023 11:02:22 AM </t>
  </si>
  <si>
    <t>MMT/IMPS/319111466498/BULD25921132/SHIV KUMAR/SBIN0011441</t>
  </si>
  <si>
    <t>SHIV KUMAR</t>
  </si>
  <si>
    <t>17/07/2023</t>
  </si>
  <si>
    <t xml:space="preserve">17/07/2023 03:18:22 PM </t>
  </si>
  <si>
    <t>RTGS/ICICR42023071700530706/BDBL0001169/BRIJBIR SINGH</t>
  </si>
  <si>
    <t>19/07/2023</t>
  </si>
  <si>
    <t xml:space="preserve">19/07/2023 05:04:52 PM </t>
  </si>
  <si>
    <t>INF/NEFT/032978250321/SBIN0007619/REFUND PAYMENT /LOKINDRAkumarDG</t>
  </si>
  <si>
    <t>21/07/2023</t>
  </si>
  <si>
    <t xml:space="preserve">21/07/2023 07:11:37 PM </t>
  </si>
  <si>
    <t>MMT/IMPS/320219447468/refund payment/ARUNbhiDG /SBIN0016608</t>
  </si>
  <si>
    <t>FROM PLOT NO B2</t>
  </si>
  <si>
    <t>FROM  PLOT NO A96</t>
  </si>
  <si>
    <t>02/08/2023</t>
  </si>
  <si>
    <t xml:space="preserve">02/08/2023 12:13:11 PM </t>
  </si>
  <si>
    <t>000242</t>
  </si>
  <si>
    <t>RTGS:ICICR52023080200279056/PUNB0042400/AJAY KUMAR SO RISHI KUMAR</t>
  </si>
  <si>
    <t xml:space="preserve">02/08/2023 03:16:25 PM </t>
  </si>
  <si>
    <t>MMT/IMPS/321415207450/BULD26651479/RAHUL CHAU/HDFC0004358</t>
  </si>
  <si>
    <t xml:space="preserve">02/08/2023 03:16:28 PM </t>
  </si>
  <si>
    <t>MMT/IMPS/321415207535/BULD26651479/GORAV     /CNRB0002323</t>
  </si>
  <si>
    <t xml:space="preserve">02/08/2023 03:16:30 PM </t>
  </si>
  <si>
    <t>MMT/IMPS/321415207633/BULD26651479/AMIT YADAV/HDFC0000655</t>
  </si>
  <si>
    <t>FROM PLOT NO A6</t>
  </si>
  <si>
    <t>EXP</t>
  </si>
  <si>
    <t>REFUND (4/10/21, 15/1/22)</t>
  </si>
  <si>
    <t>REFUND AS ON DATE 11/8/21</t>
  </si>
  <si>
    <t>REFUND ( 06/5/23)</t>
  </si>
  <si>
    <t>REFUND AS ON DATE( 4/7/22)</t>
  </si>
  <si>
    <t>REFUND AS ON DATE( 11/8/21)</t>
  </si>
  <si>
    <t>ADVANCE (50000 REFUND 6/5//23)</t>
  </si>
  <si>
    <t>REFUND (3/9/21)</t>
  </si>
  <si>
    <t>REFUND AS ON DATE (2/9/21)</t>
  </si>
  <si>
    <t>REFUND (26/5/23)</t>
  </si>
  <si>
    <t>REFUND AS ON DATE (10/9/21)</t>
  </si>
  <si>
    <t>REFUND (2/8/23)</t>
  </si>
  <si>
    <t>REFUND AS ON DATE (12/12/22)</t>
  </si>
  <si>
    <t>REFUND IN CASH</t>
  </si>
  <si>
    <t>REFUND (17/5/22)</t>
  </si>
  <si>
    <t>REFUND AS ON DATE(12/4/22)</t>
  </si>
  <si>
    <t>REFUND (18/11/21)</t>
  </si>
  <si>
    <t>REFUND AS ON DATE (13/9/21)</t>
  </si>
  <si>
    <t>REFUND (7/1/23)</t>
  </si>
  <si>
    <t>REFUND AS ON DATE (14/2/22)</t>
  </si>
  <si>
    <t>REFUND (16/11/22)&amp; (8/6/23)</t>
  </si>
  <si>
    <t>REFUND (8/6/23)</t>
  </si>
  <si>
    <t>REFUND AS ON DATE (18/10/21, 28/6/22, 30/6/22, )</t>
  </si>
  <si>
    <t>REFUND AS ON DATE (8/6/22)</t>
  </si>
  <si>
    <t>REFUND (7/6/22)</t>
  </si>
  <si>
    <t>REFUND AS ON DATE (21/2/22)</t>
  </si>
  <si>
    <t>REFUND (3/3/22)</t>
  </si>
  <si>
    <t>REFUND (2/9/22)</t>
  </si>
  <si>
    <t>REFUND AS ON DATE (2/9/21,3/9/21, 4/9/21,13/9/21,15/9/21,17/9/21, 12/11/21)</t>
  </si>
  <si>
    <t>REGISTRY DONE</t>
  </si>
  <si>
    <t>REFUND (7/7/22)</t>
  </si>
  <si>
    <t>REFUND AS ON DATE (23/11/21,  13/12/21)</t>
  </si>
  <si>
    <t>REFUND (11/1/22)</t>
  </si>
  <si>
    <t>REFUND AS ON DATE (9/8/21, 22/10/21)</t>
  </si>
  <si>
    <t>REFUND (9/6/22)</t>
  </si>
  <si>
    <t>REFUND AS ON DATE (19/5/22)</t>
  </si>
  <si>
    <t>REFUND (19/1/22)</t>
  </si>
  <si>
    <t>REFUND AS ON DATE (8/11/21)</t>
  </si>
  <si>
    <t>REFUND AS ON DATE (19/1/22)</t>
  </si>
  <si>
    <t>REFUND AS ON DATE (18/4/22)</t>
  </si>
  <si>
    <t>REFUND AS ON DATE (19/8/21)</t>
  </si>
  <si>
    <t>REFUND AS ON DATE (13/9/21, )</t>
  </si>
  <si>
    <t>CLG/ASHOK KUMAR/541964/CAB/
11.08.2021</t>
  </si>
  <si>
    <t>REFUND (23/5/23)</t>
  </si>
  <si>
    <t>REFUND AS ON DATE (16/8/21)</t>
  </si>
  <si>
    <t>REFUND (27/9/22)</t>
  </si>
  <si>
    <t>REFUND AS OPN DATE (31/3/22)</t>
  </si>
  <si>
    <t>REFUND 26/9/22)</t>
  </si>
  <si>
    <t>REFUND AS ON DATE (15/6/22)</t>
  </si>
  <si>
    <t>REFUND (20/12/22)</t>
  </si>
  <si>
    <t>REFUND AS ON DATE (26/7/21)</t>
  </si>
  <si>
    <t>REFUND(21/7/23)</t>
  </si>
  <si>
    <t>5000 ADVANCE</t>
  </si>
  <si>
    <t>REFUND(4/4/23)</t>
  </si>
  <si>
    <t>REFUND(28/7/21,25/10/21)</t>
  </si>
  <si>
    <t>REFUND(4/9/21,9/11/21,30/12/21)</t>
  </si>
  <si>
    <t>REFUND(4/7/23)</t>
  </si>
  <si>
    <t>REFUND(17/7/23)</t>
  </si>
  <si>
    <t>REFUND(17/7/23)43400 REMENIG</t>
  </si>
  <si>
    <t>REFUND(1/10/21,2/3/22)</t>
  </si>
  <si>
    <t>REFUND(6/5/23)</t>
  </si>
  <si>
    <t>REFUND(6/5/23,18/5/23)</t>
  </si>
  <si>
    <t>REFUND(14/9/21,1/2/22,26/5/22)</t>
  </si>
  <si>
    <t>REFUND(1/2/22)</t>
  </si>
  <si>
    <t>11/08/2023</t>
  </si>
  <si>
    <t xml:space="preserve">11/08/2023 08:55:43 PM </t>
  </si>
  <si>
    <t>RTGS-PUNBR52023081117854947-KASIM SO RUSTAM-02662010019640-PUNB0026610</t>
  </si>
  <si>
    <t>16/08/2023</t>
  </si>
  <si>
    <t xml:space="preserve">16/08/2023 03:50:09 PM </t>
  </si>
  <si>
    <t>CLG/PRAMOD KUMARI WO/462691/PNB/12.08.2023</t>
  </si>
  <si>
    <t>17/08/2023</t>
  </si>
  <si>
    <t xml:space="preserve">17/08/2023 12:54:17 PM </t>
  </si>
  <si>
    <t>UPI/359513553283/NA/061218@paytm/State Bank Of I/PTM51de7aace07f412089529b88f96b4578</t>
  </si>
  <si>
    <t>NITU</t>
  </si>
  <si>
    <t>IF OF SHOP NO S4, S12</t>
  </si>
  <si>
    <t>22/08/2023</t>
  </si>
  <si>
    <t xml:space="preserve">22/08/2023 06:30:06 PM </t>
  </si>
  <si>
    <t>INF/INFT/033383034531/refund         /yogrshTYAGIdg</t>
  </si>
  <si>
    <t>28/08/2023</t>
  </si>
  <si>
    <t xml:space="preserve">28/08/2023 01:39:08 PM </t>
  </si>
  <si>
    <t>Drcard Reissue Chrgs+GST</t>
  </si>
  <si>
    <t xml:space="preserve">28/08/2023 02:26:20 PM </t>
  </si>
  <si>
    <t>MMT/IMPS/324014857453/BULD27478724/RAHUL CHAU/HDFC0004358</t>
  </si>
  <si>
    <t xml:space="preserve">28/08/2023 02:26:22 PM </t>
  </si>
  <si>
    <t>MMT/IMPS/324014857501/BULD27478724/GORAV     /CNRB0002323</t>
  </si>
  <si>
    <t xml:space="preserve">28/08/2023 02:26:24 PM </t>
  </si>
  <si>
    <t>MMT/IMPS/324014858052/BULD27478724/AMIT YADAV/HDFC0000655</t>
  </si>
  <si>
    <t>YOGESH TYAGI JI</t>
  </si>
  <si>
    <t>16/09/2023</t>
  </si>
  <si>
    <t xml:space="preserve">16/09/2023 02:52:09 PM </t>
  </si>
  <si>
    <t>RTGS/ICICR42023091600523438/UTIB0002188/NISHANT SAROHA</t>
  </si>
  <si>
    <t xml:space="preserve">16/09/2023 02:54:46 PM </t>
  </si>
  <si>
    <t>RTGS/ICICR42023091600523660/HDFC0001913/AJAY BINDAL</t>
  </si>
  <si>
    <t xml:space="preserve">16/09/2023 02:56:59 PM </t>
  </si>
  <si>
    <t>MMT/IMPS/325914977048/REFUND PAYMENT/HARENDERsi/SBIN0017884</t>
  </si>
  <si>
    <t>HARENDER</t>
  </si>
  <si>
    <t>FROM PLOT NO A146</t>
  </si>
  <si>
    <t>FROM PLOT NO A130</t>
  </si>
  <si>
    <t>FROM PLOT NO A45</t>
  </si>
  <si>
    <t>18/09/2023</t>
  </si>
  <si>
    <t xml:space="preserve">18/09/2023 06:21:43 PM </t>
  </si>
  <si>
    <t>INF/NEFT/033711046471/SBIN0001563/REFUND PAYMENT /RAVIrajTOMARB18</t>
  </si>
  <si>
    <t xml:space="preserve">18/09/2023 06:27:05 PM </t>
  </si>
  <si>
    <t>RTGS/ICICR42023091800548380/SBIN0017876/SAVITA MALIK</t>
  </si>
  <si>
    <t xml:space="preserve">18/09/2023 06:36:16 PM </t>
  </si>
  <si>
    <t>INF/NEFT/033711260341/HDFC0004358/REFUND PAYMENT /rahulCHAUDHARYd</t>
  </si>
  <si>
    <t>FROM PLOT NO B45</t>
  </si>
  <si>
    <t>FROM PLOT NO B18</t>
  </si>
  <si>
    <t xml:space="preserve">RAVI RAJ </t>
  </si>
  <si>
    <t>22/09/2023</t>
  </si>
  <si>
    <t xml:space="preserve">22/09/2023 10:55:07 AM </t>
  </si>
  <si>
    <t>RTGS/ICICR42023092200505969/SBIN0016608/BEENA DEVI</t>
  </si>
  <si>
    <t xml:space="preserve">BEENA DEVI </t>
  </si>
  <si>
    <t>30/09/2023</t>
  </si>
  <si>
    <t xml:space="preserve">30/09/2023 05:04:25 PM </t>
  </si>
  <si>
    <t>RTGS/ICICR42023093000543476/PUNB0004200/amit tomar</t>
  </si>
  <si>
    <t>04/10/2023</t>
  </si>
  <si>
    <t xml:space="preserve">04/10/2023 06:15:38 PM </t>
  </si>
  <si>
    <t>MMT/IMPS/327718236753/BULD28943808/GORAV     /CNRB0002323</t>
  </si>
  <si>
    <t xml:space="preserve">04/10/2023 06:15:41 PM </t>
  </si>
  <si>
    <t>MMT/IMPS/327718236872/BULD28943808/AMITYADAV /HDFC0000655</t>
  </si>
  <si>
    <t xml:space="preserve">04/10/2023 06:17:40 PM </t>
  </si>
  <si>
    <t>MMT/IMPS/327718243848/BULD28943808/RAHULCHAUD/HDFC0004358</t>
  </si>
  <si>
    <t>FROM OF KULDEEP TOMAR CAPITAL</t>
  </si>
  <si>
    <t>18/10/2023</t>
  </si>
  <si>
    <t xml:space="preserve">18/10/2023 03:25:18 PM </t>
  </si>
  <si>
    <t>INF/INFT/034062310251/REFUND         /amit</t>
  </si>
  <si>
    <t>25/10/2023</t>
  </si>
  <si>
    <t xml:space="preserve">25/10/2023 04:19:02 PM </t>
  </si>
  <si>
    <t>INF/INFT/034132268511/REFUND PAYMENT /BALAJI ASSOCIAT</t>
  </si>
  <si>
    <t xml:space="preserve">25/10/2023 04:38:07 PM </t>
  </si>
  <si>
    <t>INF/NEFT/034132626321/PUNB0371900/29752836     /                            /PRAMODKUMARI</t>
  </si>
  <si>
    <t xml:space="preserve">25/10/2023 04:38:10 PM </t>
  </si>
  <si>
    <t>INF/NEFT/034132627081/SBIN0007619/29752836     /                            /VSMALIK</t>
  </si>
  <si>
    <t>27/10/2023</t>
  </si>
  <si>
    <t xml:space="preserve">27/10/2023 01:34:34 PM </t>
  </si>
  <si>
    <t>INF/NEFT/034152737421/SBIN0017876/STAMP DUTY     /HARPALsinghSTAM</t>
  </si>
  <si>
    <t>01/11/2023</t>
  </si>
  <si>
    <t xml:space="preserve">01/11/2023 08:23:13 PM </t>
  </si>
  <si>
    <t>RTGS/ICICR42023110100558246/SBIN0006280/SHIV ONKAR SHARMA</t>
  </si>
  <si>
    <t>VS MALIK</t>
  </si>
  <si>
    <t>ADVANCE REFUND</t>
  </si>
  <si>
    <t>FROM PLOT NO A27</t>
  </si>
  <si>
    <t xml:space="preserve">FROM PLOT NO A53 </t>
  </si>
  <si>
    <t>PRIYANKA(AMIT TOMAR)</t>
  </si>
  <si>
    <t>02/11/2023</t>
  </si>
  <si>
    <t xml:space="preserve">02/11/2023 05:44:08 PM </t>
  </si>
  <si>
    <t>RTGS/ICICR42023110200544443/SBIN0002484/RAJEEV KUMAR</t>
  </si>
  <si>
    <t xml:space="preserve">02/11/2023 05:46:56 PM </t>
  </si>
  <si>
    <t>RTGS/ICICR42023110200544741/SBIN0002484/RAJEEV KUMAR</t>
  </si>
  <si>
    <t>04/11/2023</t>
  </si>
  <si>
    <t xml:space="preserve">04/11/2023 09:12:18 AM </t>
  </si>
  <si>
    <t>NEFT-SBIN423308852787-ITDTAX REFUND 2023-24 AEFFS0241G-/ATTN//INB-00000033273316893-SBIN0000TBU</t>
  </si>
  <si>
    <t xml:space="preserve">04/11/2023 12:53:12 PM </t>
  </si>
  <si>
    <t>RTGS-PUNBR52023110410778652-KASIM SO RUSTAM-02662010019640-PUNB0026610</t>
  </si>
  <si>
    <t>FROM PLOT NO B47</t>
  </si>
  <si>
    <t>TAX REFUND</t>
  </si>
  <si>
    <t xml:space="preserve">04/11/2023 05:23:00 PM </t>
  </si>
  <si>
    <t>MMT/IMPS/330817122023/BULD30154114/RAHULCHAUD/HDFC0004358</t>
  </si>
  <si>
    <t xml:space="preserve">04/11/2023 05:23:03 PM </t>
  </si>
  <si>
    <t>MMT/IMPS/330817123056/BULD30154114/GORAV     /CNRB0002323</t>
  </si>
  <si>
    <t xml:space="preserve">04/11/2023 05:23:06 PM </t>
  </si>
  <si>
    <t>MMT/IMPS/330817123190/BULD30154114/AMITYADAV /HDFC0000655</t>
  </si>
  <si>
    <t>10/11/2023</t>
  </si>
  <si>
    <t xml:space="preserve">10/11/2023 11:23:46 AM </t>
  </si>
  <si>
    <t>RTGS-PUNBR52023111011024364-INUSH ALI S O VASID-02662010044120-PUNB0026610</t>
  </si>
  <si>
    <t xml:space="preserve">10/11/2023 11:27:43 AM </t>
  </si>
  <si>
    <t>RTGS-PUNBR52023111011024064-KASIM SO RUSTAM-02662010019640-PUNB0026610</t>
  </si>
  <si>
    <t>17/11/2023</t>
  </si>
  <si>
    <t xml:space="preserve">17/11/2023 01:35:18 PM </t>
  </si>
  <si>
    <t>RTGS-PUNBR52023111711226621-KASIM SO RUSTAM-02662010019640-PUNB0026610</t>
  </si>
  <si>
    <t>18/11/2023</t>
  </si>
  <si>
    <t xml:space="preserve">18/11/2023 01:52:15 PM </t>
  </si>
  <si>
    <t>RTGS/ICICR42023111800516717/SBIN0006280/SHIV ONKAR SHARMA</t>
  </si>
  <si>
    <t>03/12/2023</t>
  </si>
  <si>
    <t xml:space="preserve">03/12/2023 12:00:31 PM </t>
  </si>
  <si>
    <t>RTGS/ICICR42023120300501692/SBIN0010155/HITESH KUMAR</t>
  </si>
  <si>
    <t>05/12/2023</t>
  </si>
  <si>
    <t xml:space="preserve">05/12/2023 03:48:08 PM </t>
  </si>
  <si>
    <t>MMT/IMPS/333915857550/BULD31285238/RAHULCHAUD/HDFC0004358</t>
  </si>
  <si>
    <t xml:space="preserve">05/12/2023 03:48:12 PM </t>
  </si>
  <si>
    <t>MMT/IMPS/333915857654/BULD31285238/GORAV     /CNRB0002323</t>
  </si>
  <si>
    <t xml:space="preserve">05/12/2023 03:48:15 PM </t>
  </si>
  <si>
    <t>MMT/IMPS/333915857755/BULD31285238/AMITYADAV /HDFC0000655</t>
  </si>
  <si>
    <t>06/12/2023</t>
  </si>
  <si>
    <t xml:space="preserve">06/12/2023 07:01:42 PM </t>
  </si>
  <si>
    <t>INF/INFT/034604500591/PATNER         /kuldeepicici</t>
  </si>
  <si>
    <t xml:space="preserve">06/12/2023 07:04:43 PM </t>
  </si>
  <si>
    <t>INF/INFT/034604535401/PATNER         /kuldeepicici</t>
  </si>
  <si>
    <t xml:space="preserve">06/12/2023 07:09:20 PM </t>
  </si>
  <si>
    <t>INF/INFT/034604662481/PATNER         /kuldeepicici</t>
  </si>
  <si>
    <t xml:space="preserve">06/12/2023 07:12:35 PM </t>
  </si>
  <si>
    <t>INF/INFT/034604697731/PATNER         /kuldeepicici</t>
  </si>
  <si>
    <t>07/12/2023</t>
  </si>
  <si>
    <t xml:space="preserve">07/12/2023 03:42:07 PM </t>
  </si>
  <si>
    <t>UPI/334188528725/Payment from Ph/8474951387@ybl/Canara Bank/YBLdb433008a5eb4f53a87f56c48dac0d58</t>
  </si>
  <si>
    <t>GAURAV</t>
  </si>
  <si>
    <t>21/12/2023</t>
  </si>
  <si>
    <t xml:space="preserve">21/12/2023 02:47:34 PM </t>
  </si>
  <si>
    <t>MMT/IMPS/335514936652/REFUND A20/VIMLESHa20/BARB0BARAUT</t>
  </si>
  <si>
    <t xml:space="preserve">21/12/2023 02:49:25 PM </t>
  </si>
  <si>
    <t>MMT/IMPS/335514942514/REFUND A20/SEEMAa20  /BARB0BARAUT</t>
  </si>
  <si>
    <t>VIMLESH</t>
  </si>
  <si>
    <t>SEEMA</t>
  </si>
  <si>
    <t>03/01/2024</t>
  </si>
  <si>
    <t xml:space="preserve">03/01/2024 05:32:18 PM </t>
  </si>
  <si>
    <t>MMT/IMPS/400317332898/BULD32320508/RAHULCHAUD/HDFC0004358</t>
  </si>
  <si>
    <t xml:space="preserve">03/01/2024 05:32:21 PM </t>
  </si>
  <si>
    <t>MMT/IMPS/400317332316/BULD32320508/GORAV     /CNRB0002323</t>
  </si>
  <si>
    <t xml:space="preserve">03/01/2024 05:32:27 PM </t>
  </si>
  <si>
    <t>MMT/IMPS/400317332508/BULD32320508/AMITYADAV /HDFC0000655</t>
  </si>
  <si>
    <t>07/01/2024</t>
  </si>
  <si>
    <t xml:space="preserve">07/01/2024 11:15:36 AM </t>
  </si>
  <si>
    <t>UPI/400738332641/Payment from Ph/8750843330@axl/Axis Bank Ltd./AXL34ff159c3cd74e7fb1673c0ea5d67ddd</t>
  </si>
  <si>
    <t>ASHISH KUMAR</t>
  </si>
  <si>
    <t>IF OF PLOT NO A118</t>
  </si>
  <si>
    <t>01/02/2024</t>
  </si>
  <si>
    <t xml:space="preserve">01/02/2024 05:05:58 PM </t>
  </si>
  <si>
    <t>MMT/IMPS/403217997899/BULD33341019/RAHULCHAUD/HDFC0004358</t>
  </si>
  <si>
    <t xml:space="preserve">01/02/2024 05:06:02 PM </t>
  </si>
  <si>
    <t>MMT/IMPS/403217998462/BULD33341019/GORAV     /CNRB0002323</t>
  </si>
  <si>
    <t xml:space="preserve">01/02/2024 05:06:06 PM </t>
  </si>
  <si>
    <t>MMT/IMPS/403217998546/BULD33341019/AMITYADAV /HDFC0000655</t>
  </si>
  <si>
    <t>08/02/2024</t>
  </si>
  <si>
    <t xml:space="preserve">08/02/2024 11:03:48 AM </t>
  </si>
  <si>
    <t>NEFT-AXOIR40392246644-PAWAN JANGID-A116 RAJESH PAWAN-175010100153782-UTIB0005059</t>
  </si>
  <si>
    <t xml:space="preserve">08/02/2024 11:11:44 AM </t>
  </si>
  <si>
    <t>NEFT-SBIN324039669779-JUNIOR WARRANT OFFICER JWO RAJESH K-/ATTN//INB-00000010950112812-SBIN0018733</t>
  </si>
  <si>
    <t>09/02/2024</t>
  </si>
  <si>
    <t xml:space="preserve">09/02/2024 08:33:45 AM </t>
  </si>
  <si>
    <t>RTGS-UTIBR62024020936337479-PAWAN JANGID-175010100153782-UTIB0005059</t>
  </si>
  <si>
    <t>PAWAN JANGID</t>
  </si>
  <si>
    <t xml:space="preserve">RAJESH </t>
  </si>
  <si>
    <t>IF OF PLOT NO A116</t>
  </si>
  <si>
    <t xml:space="preserve">09/02/2024 02:02:43 PM </t>
  </si>
  <si>
    <t>RTGS-SBINR12024020901265606-JUNIOR WARRANT OFFICER JWO RAJESH K-10950112812-SBIN0018733</t>
  </si>
  <si>
    <t>12/02/2024</t>
  </si>
  <si>
    <t xml:space="preserve">12/02/2024 08:01:34 AM </t>
  </si>
  <si>
    <t>NEFT-SBIN124043887246-JUNIOR WARRANT OFFICER JWO RAJESH K-/ATTN//INB-00000010950112812-SBIN0018733</t>
  </si>
  <si>
    <t xml:space="preserve">12/02/2024 12:52:20 PM </t>
  </si>
  <si>
    <t>CLG/SHALAU DIN/136477/PNB/08.02.2024</t>
  </si>
  <si>
    <t>17/02/2024</t>
  </si>
  <si>
    <t xml:space="preserve">17/02/2024 09:16:36 AM </t>
  </si>
  <si>
    <t>MMT/IMPS/404809923451/IMPS/ASHISHKUMA/Axis Bank</t>
  </si>
  <si>
    <t xml:space="preserve">17/02/2024 01:09:38 PM </t>
  </si>
  <si>
    <t>NEFT-AXOMB40489167144-ASHISH KUMAR  28031396 --120010100482066-UTIB0003330</t>
  </si>
  <si>
    <t>19/02/2024</t>
  </si>
  <si>
    <t xml:space="preserve">19/02/2024 02:37:42 PM </t>
  </si>
  <si>
    <t>NEFT-AXOMB40502989921-ASHISH KUMAR  28031396 --120010100482066-UTIB0003330</t>
  </si>
  <si>
    <t>20/02/2024</t>
  </si>
  <si>
    <t xml:space="preserve">20/02/2024 03:07:21 PM </t>
  </si>
  <si>
    <t>RTGS-UTIBR52024022000361570-ASHISH KUMAR 28031396-120010100482066-UTIB0003330</t>
  </si>
  <si>
    <t xml:space="preserve">20/02/2024 03:34:45 PM </t>
  </si>
  <si>
    <t>RTGS-PUNBR52024022014750020-ASHISH KUMAR-3058000109260259-PUNB0471800</t>
  </si>
  <si>
    <t>21/02/2024</t>
  </si>
  <si>
    <t xml:space="preserve">21/02/2024 06:21:03 PM </t>
  </si>
  <si>
    <t>NEFT-PUNBH24052098505-ASHISH KUMAR--3058000109260259-PUNB0471800</t>
  </si>
  <si>
    <t xml:space="preserve">21/02/2024 06:48:07 PM </t>
  </si>
  <si>
    <t>UPI/405234644606/NA/8273883909@payt/State Bank OfI/PTMbe84d104b9174c0a9bc2c8c56404f75e</t>
  </si>
  <si>
    <t>LOKESH KUMAR</t>
  </si>
  <si>
    <t>02/03/2024</t>
  </si>
  <si>
    <t xml:space="preserve">02/03/2024 11:18:58 AM </t>
  </si>
  <si>
    <t>RTGS-SBINR52024030206036829-LOKESH KUMAR-31919487296-SBIN0010313</t>
  </si>
  <si>
    <t>04/03/2024</t>
  </si>
  <si>
    <t xml:space="preserve">04/03/2024 02:29:38 PM </t>
  </si>
  <si>
    <t>MMT/IMPS/406414448900/BULD34521195/RAHULCHAUD/HDFC0004358</t>
  </si>
  <si>
    <t xml:space="preserve">04/03/2024 02:29:41 PM </t>
  </si>
  <si>
    <t>MMT/IMPS/406414449495/BULD34521195/GORAV     /CNRB0002323</t>
  </si>
  <si>
    <t xml:space="preserve">04/03/2024 02:29:44 PM </t>
  </si>
  <si>
    <t>MMT/IMPS/406414449125/BULD34521195/AMITYADAV /HDFC0000655</t>
  </si>
  <si>
    <t>IF OF PLOT NO A125</t>
  </si>
  <si>
    <t>21/03/2024</t>
  </si>
  <si>
    <t xml:space="preserve">21/03/2024 05:32:58 PM </t>
  </si>
  <si>
    <t>RTGS/ICICR42024032100551740/PUNB0042400/SUBHASH CHAND</t>
  </si>
  <si>
    <t>FROM PLOT NO A14</t>
  </si>
  <si>
    <t>27/03/2024</t>
  </si>
  <si>
    <t xml:space="preserve">27/03/2024 01:19:25 PM </t>
  </si>
  <si>
    <t>UPI/408775274776/UPI/ajaykumartyagi1/Union Bank of I/AXIb10141a035f14ab1b075f5fd8a296a6c</t>
  </si>
  <si>
    <t xml:space="preserve">27/03/2024 02:02:29 PM </t>
  </si>
  <si>
    <t>UPI/445318976215/UPI/ajaykumartyagi1/Union Bank of I/AXI8c1f1ade71d64c73a225db1f8290cb78</t>
  </si>
  <si>
    <t>AJAY KUMAR TYAGI</t>
  </si>
  <si>
    <t>IF OF PLOT NO A117</t>
  </si>
  <si>
    <t>02/04/2024</t>
  </si>
  <si>
    <t xml:space="preserve">02/04/2024 02:32:51 PM </t>
  </si>
  <si>
    <t>MMT/IMPS/409314946406/BULD35683065/RAHULCHAUD/HDFC0004358</t>
  </si>
  <si>
    <t xml:space="preserve">02/04/2024 02:32:54 PM </t>
  </si>
  <si>
    <t>MMT/IMPS/409314946530/BULD35683065/GORAV     /CNRB0002323</t>
  </si>
  <si>
    <t xml:space="preserve">02/04/2024 02:33:00 PM </t>
  </si>
  <si>
    <t>MMT/IMPS/409314947697/BULD35683065/AMITYADAV /HDFC0000655</t>
  </si>
  <si>
    <t>06/04/2024</t>
  </si>
  <si>
    <t xml:space="preserve">06/04/2024 12:28:27 PM </t>
  </si>
  <si>
    <t>INF/INFT/035879894891/PATNER         /kuldeepicici</t>
  </si>
  <si>
    <t xml:space="preserve">06/04/2024 12:31:10 PM </t>
  </si>
  <si>
    <t>INF/INFT/035879944651/PATNER         /kuldeepicici</t>
  </si>
  <si>
    <t xml:space="preserve">06/04/2024 12:32:41 PM </t>
  </si>
  <si>
    <t>INF/INFT/035879976001/PATNER         /kuldeepicici</t>
  </si>
  <si>
    <t>registry done</t>
  </si>
  <si>
    <t>registry to be done</t>
  </si>
  <si>
    <t>loans refund</t>
  </si>
  <si>
    <t>06/05/2024</t>
  </si>
  <si>
    <t xml:space="preserve">06/05/2024 03:44:04 PM </t>
  </si>
  <si>
    <t>MMT/IMPS/412715071551/BULD36939555/RAHULCHAUD/HDFC0004358</t>
  </si>
  <si>
    <t xml:space="preserve">06/05/2024 03:44:06 PM </t>
  </si>
  <si>
    <t>MMT/IMPS/412715071601/BULD36939555/GAURAV    /CNRB0002323</t>
  </si>
  <si>
    <t xml:space="preserve">06/05/2024 03:44:07 PM </t>
  </si>
  <si>
    <t>MMT/IMPS/412715071647/BULD36939555/AMITYADAV /HDFC0000655</t>
  </si>
  <si>
    <t>13/05/2024</t>
  </si>
  <si>
    <t xml:space="preserve">13/05/2024 05:45:57 PM </t>
  </si>
  <si>
    <t>INF/INFT/036283633411/ADVANCE PAYMENT/BalajiAssociate</t>
  </si>
  <si>
    <t>PARTNAR</t>
  </si>
  <si>
    <t>01/06/2024</t>
  </si>
  <si>
    <t xml:space="preserve">01/06/2024 01:50:34 PM </t>
  </si>
  <si>
    <t>MMT/IMPS/415313158806/BULD37949324/RAHULCHAUD/HDFC0004358</t>
  </si>
  <si>
    <t xml:space="preserve">01/06/2024 01:50:37 PM </t>
  </si>
  <si>
    <t>MMT/IMPS/415313158918/BULD37949324/GAURAV    /CNRB0002323</t>
  </si>
  <si>
    <t xml:space="preserve">01/06/2024 01:50:40 PM </t>
  </si>
  <si>
    <t>MMT/IMPS/415313159436/BULD37949324/AMITYADAV /HDFC0000655</t>
  </si>
  <si>
    <t>12/06/2024</t>
  </si>
  <si>
    <t xml:space="preserve">12/06/2024 03:52:40 PM </t>
  </si>
  <si>
    <t>CLG/LOKESH KUMAR/597965/SBI/04.06.2024</t>
  </si>
  <si>
    <t>03/07/2024</t>
  </si>
  <si>
    <t xml:space="preserve">03/07/2024 02:59:53 PM </t>
  </si>
  <si>
    <t>MMT/IMPS/418514171264/BULD39192106/RAHULCHAUD/HDFC0004358</t>
  </si>
  <si>
    <t xml:space="preserve">03/07/2024 02:59:54 PM </t>
  </si>
  <si>
    <t>MMT/IMPS/418514171309/BULD39192106/GAURAV/CNRB0002323</t>
  </si>
  <si>
    <t xml:space="preserve">03/07/2024 02:59:56 PM </t>
  </si>
  <si>
    <t>MMT/IMPS/418514171352/BULD39192106/AMITYADAV /HDFC0000655</t>
  </si>
  <si>
    <t xml:space="preserve">03/07/2024 02:59:57 PM </t>
  </si>
  <si>
    <t>08/07/2024</t>
  </si>
  <si>
    <t xml:space="preserve">08/07/2024 05:00:52 PM </t>
  </si>
  <si>
    <t>MMT/IMPS/419017318391/SALARY/AMITYADAV/HDFC0000655</t>
  </si>
  <si>
    <t>05/08/2024</t>
  </si>
  <si>
    <t xml:space="preserve">05/08/2024 02:25:34 PM </t>
  </si>
  <si>
    <t>MMT/IMPS/421814879908/BULD40482111/RAHULCHAUD/HDFC0004358</t>
  </si>
  <si>
    <t xml:space="preserve">05/08/2024 02:25:37 PM </t>
  </si>
  <si>
    <t>INF/INFT/037168353801/40482111     /GAURAV/</t>
  </si>
  <si>
    <t xml:space="preserve">05/08/2024 02:25:40 PM </t>
  </si>
  <si>
    <t>MMT/IMPS/421814880095/BULD40482111/AMITYADAV/HDFC0000655</t>
  </si>
  <si>
    <t xml:space="preserve">05/08/2024 02:25:41 PM </t>
  </si>
  <si>
    <t>06/08/2024</t>
  </si>
  <si>
    <t xml:space="preserve">06/08/2024 06:24:45 PM </t>
  </si>
  <si>
    <t>MMT/IMPS/421918353522/SALARY/AMITYADAV/HDFC0000655</t>
  </si>
  <si>
    <t>22/08/2024</t>
  </si>
  <si>
    <t xml:space="preserve">22/08/2024 01:09:11 PM </t>
  </si>
  <si>
    <t>CLG/LOKESH KUMAR/597966/SBI/15.08.2024</t>
  </si>
  <si>
    <t xml:space="preserve">22/08/2024 04:20:53 PM </t>
  </si>
  <si>
    <t>REJECT:597966:EXCEEDS ARRANGEMENT</t>
  </si>
  <si>
    <t>FROM PLOT NO A125</t>
  </si>
  <si>
    <t>06/09/2024</t>
  </si>
  <si>
    <t xml:space="preserve">06/09/2024 06:20:42 PM </t>
  </si>
  <si>
    <t>MMT/IMPS/425018547814/BULD41801575/RAHULCHAUD/HDFC0004358</t>
  </si>
  <si>
    <t xml:space="preserve">06/09/2024 06:20:43 PM </t>
  </si>
  <si>
    <t>INF/INFT/037525803271/41801575     /GAURAV/</t>
  </si>
  <si>
    <t>01/10/2024</t>
  </si>
  <si>
    <t xml:space="preserve">01/10/2024 01:25:47 PM </t>
  </si>
  <si>
    <t>03/10/2024</t>
  </si>
  <si>
    <t xml:space="preserve">03/10/2024 06:30:13 PM </t>
  </si>
  <si>
    <t>MMT/IMPS/427718090252/BULD42862365/RAHULCHAUD/HDFC0004358</t>
  </si>
  <si>
    <t>18/10/2024</t>
  </si>
  <si>
    <t xml:space="preserve">18/10/2024 01:44:38 PM </t>
  </si>
  <si>
    <t>CLG/LOKESH KUMAR/597967/SBI/15.08.2024</t>
  </si>
  <si>
    <t>29/10/2024</t>
  </si>
  <si>
    <t xml:space="preserve">29/10/2024 05:08:57 PM </t>
  </si>
  <si>
    <t>MMT/IMPS/430317061095/BULD44026936/RAHULCHAUD/HDFC0004358</t>
  </si>
  <si>
    <t>25/11/2024</t>
  </si>
  <si>
    <t xml:space="preserve">25/11/2024 01:18:53 PM </t>
  </si>
  <si>
    <t>RTGS-BARBR52024112500784800-UMA SHARMA   AJAY KUMAR-21740100014503-BARB0MOTINA</t>
  </si>
  <si>
    <t>UMA SHARMA</t>
  </si>
  <si>
    <t>IF OF SHOP NO S1</t>
  </si>
  <si>
    <t>06/12/2024</t>
  </si>
  <si>
    <t xml:space="preserve">06/12/2024 05:59:53 PM </t>
  </si>
  <si>
    <t>MMT/IMPS/434117069828/BULD45614269/RAHULCHAUD/HDFC0004358</t>
  </si>
  <si>
    <t>RTGS/ICIC R4202201 290053012/ABHISHEK
3/PUNB00
26610/abhi shek</t>
  </si>
  <si>
    <t>RTGS/ICIC R4202201 290053072/SHIVAM KUMAR
2/PUNB00
26610/shiv am ku</t>
  </si>
  <si>
    <t>RTGS/ICIC R4202204 050054685/ANITA
3/PUNB00
26610/ANI TA FAR</t>
  </si>
  <si>
    <t>CLG/SHIVAM KUMAR/P NB</t>
  </si>
  <si>
    <t>000897</t>
  </si>
  <si>
    <r>
      <rPr>
        <sz val="10"/>
        <color theme="1"/>
        <rFont val="Arial"/>
        <family val="2"/>
      </rPr>
      <t>22-Jul-
2021</t>
    </r>
  </si>
  <si>
    <r>
      <rPr>
        <sz val="10"/>
        <color theme="1"/>
        <rFont val="Arial"/>
        <family val="2"/>
      </rPr>
      <t>27-Jul-
2021</t>
    </r>
  </si>
  <si>
    <r>
      <rPr>
        <sz val="10"/>
        <color theme="1"/>
        <rFont val="Arial"/>
        <family val="2"/>
      </rPr>
      <t>29-Jan-
2022</t>
    </r>
  </si>
  <si>
    <r>
      <rPr>
        <sz val="10"/>
        <color theme="1"/>
        <rFont val="Arial"/>
        <family val="2"/>
      </rPr>
      <t>05-Apr-
2022</t>
    </r>
  </si>
  <si>
    <t>11/12/2024</t>
  </si>
  <si>
    <t xml:space="preserve">11/12/2024 04:27:13 PM </t>
  </si>
  <si>
    <t>INF/INFT/038584969091/45858192     /OMASSOCIATES/</t>
  </si>
  <si>
    <t>20/12/2024</t>
  </si>
  <si>
    <t xml:space="preserve">20/12/2024 02:19:39 PM </t>
  </si>
  <si>
    <t>MMT/IMPS/435514023022/STAMP PAYMENT/HARPALSING/SBIN0017876</t>
  </si>
  <si>
    <t>OM ASSOCIATES</t>
  </si>
  <si>
    <t xml:space="preserve">HARPAL SINGH </t>
  </si>
  <si>
    <t>STAMP DUTY FOR MAN ROAD</t>
  </si>
  <si>
    <t>06/01/2025</t>
  </si>
  <si>
    <t xml:space="preserve">06/01/2025 05:42:49 PM </t>
  </si>
  <si>
    <t>MMT/IMPS/500617830915/BULD46917010/RAHULCHAUD/HDFC0004358</t>
  </si>
  <si>
    <t>07/02/2025</t>
  </si>
  <si>
    <t xml:space="preserve">07/02/2025 06:29:23 PM </t>
  </si>
  <si>
    <t>MMT/IMPS/503818679995/BULD48373275/RAHULCHAUD/HDFC0004358</t>
  </si>
  <si>
    <t>04/03/2025</t>
  </si>
  <si>
    <t xml:space="preserve">04/03/2025 08:55:40 PM </t>
  </si>
  <si>
    <t>MMT/IMPS/506320923131/BULD49480161/RAHULCHAUD/HDFC0004358</t>
  </si>
  <si>
    <t>10/03/2025</t>
  </si>
  <si>
    <t xml:space="preserve">10/03/2025 02:08:37 PM </t>
  </si>
  <si>
    <t>CLG/PRAMOD KUMARI WO NEPAL/543710/PNB/31.01.2025</t>
  </si>
  <si>
    <t xml:space="preserve">10/03/2025 07:18:49 PM </t>
  </si>
  <si>
    <t>REJECT:543710:ADVICE NOT RECEIVED</t>
  </si>
  <si>
    <t>IF OF PLOT NO S4</t>
  </si>
  <si>
    <t>FROM PLOT NO S4</t>
  </si>
  <si>
    <t>13/03/2025</t>
  </si>
  <si>
    <t xml:space="preserve">13/03/2025 02:23:39 PM </t>
  </si>
  <si>
    <t>CLG/PRAMOD KUMARI/543710/PNB/31.01.2025</t>
  </si>
  <si>
    <t>04/04/2025</t>
  </si>
  <si>
    <t xml:space="preserve">04/04/2025 03:49:59 PM </t>
  </si>
  <si>
    <t>MMT/IMPS/509415041650/BULD50981864/RAHULCHAUD/HDFC0004358</t>
  </si>
  <si>
    <t>16/04/2025</t>
  </si>
  <si>
    <t xml:space="preserve">16/04/2025 07:44:18 PM </t>
  </si>
  <si>
    <t>RTGS-PUNBR52025041611080673-BRIJESH DEVI-02662413001422-PUNB0026610</t>
  </si>
  <si>
    <t>BRIJESH DEVI</t>
  </si>
  <si>
    <t>30/04/2025</t>
  </si>
  <si>
    <t xml:space="preserve">30/04/2025 02:49:21 PM </t>
  </si>
  <si>
    <t>CLG/PRAMOD KUMAR/543711/PNB/29.04.2025</t>
  </si>
  <si>
    <t>IF OF PLOT NO S12</t>
  </si>
  <si>
    <t>04/05/2025</t>
  </si>
  <si>
    <t xml:space="preserve">04/05/2025 03:47:36 PM </t>
  </si>
  <si>
    <t>MMT/IMPS/512415986326/BULD52305853/RAHULCHAUD/HDFC0004358</t>
  </si>
  <si>
    <t>EXPENCE</t>
  </si>
  <si>
    <t>06/06/2025</t>
  </si>
  <si>
    <t xml:space="preserve">06/06/2025 06:51:18 PM </t>
  </si>
  <si>
    <t>MMT/IMPS/515718604637/BULD53897223/RAHULCHAUD/HDFC0004358</t>
  </si>
  <si>
    <t>KULDEEP CAPITAL</t>
  </si>
  <si>
    <t>PLOT RECEIPT</t>
  </si>
  <si>
    <t>YOGESH CAPITAL</t>
  </si>
  <si>
    <t>SUMITI SINGH LOAN</t>
  </si>
  <si>
    <t>PRIYANKA LOAN</t>
  </si>
  <si>
    <t>AASHU TYAGI LOAN</t>
  </si>
  <si>
    <t>RAHUL CAPITAL</t>
  </si>
  <si>
    <t>AMIT TOMAR LOAN</t>
  </si>
  <si>
    <t>RAJEEV SHARMA LOAN</t>
  </si>
  <si>
    <t>RAMGOPAL LOAN</t>
  </si>
  <si>
    <t>SANDEEP LOAN</t>
  </si>
  <si>
    <t>APPROVAL EXPENSES</t>
  </si>
  <si>
    <t>BRICKS</t>
  </si>
  <si>
    <t>ADVERTISEMENT</t>
  </si>
  <si>
    <t>SURAJMUKHI LOAN</t>
  </si>
  <si>
    <t>ELECTRICITY EXPENSES</t>
  </si>
  <si>
    <t>PIPE LINE EXPENSES</t>
  </si>
  <si>
    <t>LABOUR PAYMENT</t>
  </si>
  <si>
    <t>LOCKING TILES</t>
  </si>
  <si>
    <t>CONST. EXPENSES</t>
  </si>
  <si>
    <t>PERSONAL</t>
  </si>
  <si>
    <t>ACTUAL SALARY</t>
  </si>
  <si>
    <t>MUKESH KUMAR LOAN</t>
  </si>
  <si>
    <t>RODI</t>
  </si>
  <si>
    <t>RAVI KUMAR LOAN</t>
  </si>
  <si>
    <t>RAHUL KUMAR LOAN</t>
  </si>
  <si>
    <t>INVERTER PURCHASE</t>
  </si>
  <si>
    <t>RENT EXPENSE</t>
  </si>
  <si>
    <t>ANITA SHARMA LOAN</t>
  </si>
  <si>
    <t>ASSET PURCHASED</t>
  </si>
  <si>
    <t>FABRICATOR</t>
  </si>
  <si>
    <t>PRAVINDRA KUMAR LOAN</t>
  </si>
  <si>
    <t>DIGPAL LOAN</t>
  </si>
  <si>
    <t>RAJKUMAR LOAN</t>
  </si>
  <si>
    <t>PAWAN KUMAR LOAN</t>
  </si>
  <si>
    <t>CASH WITHDRAWAL</t>
  </si>
  <si>
    <t>BALAJI LOAN GIVEN</t>
  </si>
  <si>
    <t>SATPAL SINGH LOAN</t>
  </si>
  <si>
    <t>RAHUL TOMAR LOAN</t>
  </si>
  <si>
    <t>ARUN CHAUDHARY UNSECURED LOAN</t>
  </si>
  <si>
    <t>MAHIPAL SINGH ADVANCE</t>
  </si>
  <si>
    <t>INDERKALI LOAN</t>
  </si>
  <si>
    <t>LOAN BALAJI</t>
  </si>
  <si>
    <t>AMIT YADAV LOAN</t>
  </si>
  <si>
    <t>SUMAN LATA LOAN</t>
  </si>
  <si>
    <t>LOAN DG</t>
  </si>
  <si>
    <t>INCOME</t>
  </si>
  <si>
    <t>SHIV CHARAN LOAN</t>
  </si>
  <si>
    <t xml:space="preserve"> YOGESH TYAGI CAPITAL</t>
  </si>
  <si>
    <t>TALLY PURCHASE</t>
  </si>
  <si>
    <t>RAJEEV LOAN</t>
  </si>
  <si>
    <t>YOGESH LOAN</t>
  </si>
  <si>
    <t>TAX PAYMENT</t>
  </si>
  <si>
    <t>LOAN OM</t>
  </si>
  <si>
    <t>REMARK</t>
  </si>
  <si>
    <t>Row Labels</t>
  </si>
  <si>
    <t>Grand Total</t>
  </si>
  <si>
    <t>Sum of Debit Amount</t>
  </si>
  <si>
    <t>Sum of Credit Amount</t>
  </si>
  <si>
    <t>BANK IOB</t>
  </si>
  <si>
    <t>EXPENSES</t>
  </si>
  <si>
    <r>
      <rPr>
        <sz val="10"/>
        <color theme="1"/>
        <rFont val="Arial"/>
        <family val="2"/>
      </rPr>
      <t>17-Sep-
2020</t>
    </r>
  </si>
  <si>
    <r>
      <rPr>
        <sz val="10"/>
        <color theme="1"/>
        <rFont val="Arial"/>
        <family val="2"/>
      </rPr>
      <t>20-Oct-
2020</t>
    </r>
  </si>
  <si>
    <r>
      <rPr>
        <sz val="10"/>
        <color theme="1"/>
        <rFont val="Arial"/>
        <family val="2"/>
      </rPr>
      <t>19-Jul-
2021</t>
    </r>
  </si>
  <si>
    <r>
      <rPr>
        <sz val="10"/>
        <color theme="1"/>
        <rFont val="Arial"/>
        <family val="2"/>
      </rPr>
      <t>1199872.5
0</t>
    </r>
  </si>
  <si>
    <t>07/07/2025</t>
  </si>
  <si>
    <t xml:space="preserve">07/07/2025 04:48:17 PM </t>
  </si>
  <si>
    <t>MMT/IMPS/518816030210/BULD55303772/RAHULCHAUD/HDFC0004358</t>
  </si>
  <si>
    <t xml:space="preserve">07/07/2025 04:48:19 PM </t>
  </si>
  <si>
    <t>MMT/IMPS/518816029568/BULD55303772/UTTARANCHA/KKBK0000148</t>
  </si>
  <si>
    <t>14/07/2025</t>
  </si>
  <si>
    <t xml:space="preserve">14/07/2025 12:40:14 PM </t>
  </si>
  <si>
    <t>RTGS/ICICR42025071400521476/PUNB0371900/55657131/                    /PRAMODKUMARI</t>
  </si>
  <si>
    <t xml:space="preserve">14/07/2025 12:43:59 PM </t>
  </si>
  <si>
    <t>RTGS RETURN-ICICR42025071400521476-PRAMODKUMARI-NO SUCH ACCOUNT TYPE/R04/NO SUCHACCOUNT TYPE NARR</t>
  </si>
  <si>
    <t>15/07/2025</t>
  </si>
  <si>
    <t xml:space="preserve">15/07/2025 11:54:35 AM </t>
  </si>
  <si>
    <t>RTGS/ICICR42025071500515555/PUNB0371900/55710820/                    /PRAMODKUMARI</t>
  </si>
  <si>
    <t>UTTARANCHAL MOTORS</t>
  </si>
  <si>
    <t>CAR EXPENCE</t>
  </si>
  <si>
    <t>06/08/2025</t>
  </si>
  <si>
    <t xml:space="preserve">06/08/2025 04:33:05 PM </t>
  </si>
  <si>
    <t>MMT/IMPS/521816263529/BULD56728733/RAHULCHAUD/HDFC0004358</t>
  </si>
  <si>
    <t xml:space="preserve">06/08/2025 04:33:06 PM </t>
  </si>
  <si>
    <t>RTGS/ICICR42025080600544693/PUNB0371900/56728733/                    /PRAMODKUMARI</t>
  </si>
  <si>
    <t>FROM PLOT NO S12</t>
  </si>
  <si>
    <t>03/09/2025</t>
  </si>
  <si>
    <t xml:space="preserve">03/09/2025 05:01:30 PM </t>
  </si>
  <si>
    <t>MMT/IMPS/524617666884/BULD58030772/RAHULCHAUD/HDFC0004358</t>
  </si>
  <si>
    <t>29/09/2025</t>
  </si>
  <si>
    <t xml:space="preserve">29/09/2025 12:03:54 PM </t>
  </si>
  <si>
    <t>RTGS-PUNBR52025092917368527-BRIJESH DEVI-02662413001422-PUNB0026610</t>
  </si>
  <si>
    <t>04/10/2025</t>
  </si>
  <si>
    <t xml:space="preserve">04/10/2025 03:44:54 PM </t>
  </si>
  <si>
    <t>MMT/IMPS/527715067855/BULD59554241/RAHULCHAUD/HDFC0004358</t>
  </si>
  <si>
    <t xml:space="preserve">04/10/2025 04:29:16 PM </t>
  </si>
  <si>
    <t>MMT/IMPS/527716178287/BULD59558816/AJAYKUMART/UBIN0906875</t>
  </si>
  <si>
    <t>FROM PLOT NO A117</t>
  </si>
  <si>
    <t>04/11/2025</t>
  </si>
  <si>
    <t xml:space="preserve">04/11/2025 07:30:17 PM </t>
  </si>
  <si>
    <t>MMT/IMPS/530819749393/BULD61113100/RAHULCHAUD/HDFC0004358</t>
  </si>
  <si>
    <t>27/11/2025</t>
  </si>
  <si>
    <t xml:space="preserve">27/11/2025 01:10:50 PM </t>
  </si>
  <si>
    <t>INF/INFT/042444949411/62281229     /OMASSOCIATES/</t>
  </si>
  <si>
    <t>INF/INFT/042444950681/62281229     /DGASSOCIATES/</t>
  </si>
  <si>
    <t xml:space="preserve">27/11/2025 01:10:51 PM </t>
  </si>
  <si>
    <t>INF/INFT/042444950821/62281229     /BALAJIASSOCIATES    /</t>
  </si>
  <si>
    <t>10/12/2025</t>
  </si>
  <si>
    <t xml:space="preserve">10/12/2025 02:52:49 PM </t>
  </si>
  <si>
    <t>MMT/IMPS/534414433722/BULD63025804/RAHULCHAUD/HDFC0004358</t>
  </si>
  <si>
    <t>16/12/2025</t>
  </si>
  <si>
    <t xml:space="preserve">16/12/2025 11:33:05 AM </t>
  </si>
  <si>
    <t>NEFT-SBIN325350694541-VIKAS KUMAR-/ATTN/DEPOSIT/REINVE-00000030093126578-SBIN0005969</t>
  </si>
  <si>
    <t>IF OF PLOT NO A119</t>
  </si>
  <si>
    <t>22/12/2025</t>
  </si>
  <si>
    <t xml:space="preserve">22/12/2025 02:39:05 PM </t>
  </si>
  <si>
    <t>CLG/DD/184084/SBI/18.12.2025221220256002290000124702201000100</t>
  </si>
  <si>
    <t>26/12/2025</t>
  </si>
  <si>
    <t xml:space="preserve">26/12/2025 12:18:06 PM </t>
  </si>
  <si>
    <t>INF/INFT/042780640851/63811445     /OMASSOCIATES/</t>
  </si>
  <si>
    <t xml:space="preserve">26/12/2025 12:18:07 PM </t>
  </si>
  <si>
    <t>INF/INFT/042780641561/63811445     /OMASSOCIATES/</t>
  </si>
  <si>
    <t xml:space="preserve">26/12/2025 12:26:32 PM </t>
  </si>
  <si>
    <t>INF/INFT/042780757451/63811916     /OMASSOCIATES/</t>
  </si>
  <si>
    <t>05/01/2026</t>
  </si>
  <si>
    <t xml:space="preserve">05/01/2026 05:00:19 PM </t>
  </si>
  <si>
    <t>MMT/IMPS/600517839680/BULD64289326/RAHULCHAUD/HDFC0004358</t>
  </si>
  <si>
    <t>05/02/2026</t>
  </si>
  <si>
    <t xml:space="preserve">05/02/2026 10:13:47 PM </t>
  </si>
  <si>
    <t>MMT/IMPS/603622506365/BULD65970442/RAHULCHAUD/HDFC0004358</t>
  </si>
  <si>
    <t>25/02/2026</t>
  </si>
  <si>
    <t xml:space="preserve">25/02/2026 04:51:12 PM </t>
  </si>
  <si>
    <t>INF/INFT/043482032761/67047822     /DGASSOCIATES/</t>
  </si>
  <si>
    <t>FIRM</t>
  </si>
  <si>
    <t>02/03/2026</t>
  </si>
  <si>
    <t xml:space="preserve">02/03/2026 10:24:44 PM </t>
  </si>
  <si>
    <t>MMT/IMPS/606122727936/BULD67362913/RAHULCHAUD/HDFC0004358</t>
  </si>
  <si>
    <t>06/03/2026</t>
  </si>
  <si>
    <t xml:space="preserve">06/03/2026 06:47:22 PM </t>
  </si>
  <si>
    <t>UPI/KAPILDEO A/8274869337@axl/Payment fr/State Bank/414711891653/AXLff7fbca9a3e44e0f90ca675b5df1fbd3</t>
  </si>
  <si>
    <t>KAPILDEO AGRAWAL</t>
  </si>
  <si>
    <t>IF OF PLOT NO A121</t>
  </si>
  <si>
    <t>13/03/2026</t>
  </si>
  <si>
    <t xml:space="preserve">13/03/2026 01:28:45 PM </t>
  </si>
  <si>
    <t>MMT/IMPS/607213602176/trial for plot /KAPILDEO A/State Bank of I</t>
  </si>
  <si>
    <t xml:space="preserve">13/03/2026 03:07:38 PM </t>
  </si>
  <si>
    <t>MMT/IMPS/607215668784/Payment for Plo/KAPILDEO A/State Bank of I</t>
  </si>
  <si>
    <t>16/03/2026</t>
  </si>
  <si>
    <t xml:space="preserve">16/03/2026 10:19:38 PM </t>
  </si>
  <si>
    <t>CLG/KULDEEP/000003/HDF/13.03.2026160320266002290001906680019161021</t>
  </si>
  <si>
    <t>21/03/2026</t>
  </si>
  <si>
    <t xml:space="preserve">21/03/2026 03:16:26 PM </t>
  </si>
  <si>
    <t>INF/INFT/043782700531/68442718     /OMASSOCIATES/</t>
  </si>
  <si>
    <t>YOGESH TYAGI PERSONAL</t>
  </si>
  <si>
    <t>10/04/2026</t>
  </si>
  <si>
    <t xml:space="preserve">10/04/2026 08:14:19 PM </t>
  </si>
  <si>
    <t>INF/INFT/044042197151/69650553     /OM ASSOCIATES      /</t>
  </si>
  <si>
    <t xml:space="preserve">10/04/2026 08:31:23 PM </t>
  </si>
  <si>
    <t>MMT/IMPS/610020371480/BULD69652759/RAHULCHAUD/HDFC0004358</t>
  </si>
  <si>
    <t>03/05/2026</t>
  </si>
  <si>
    <t xml:space="preserve">03/05/2026 10:42:05 PM </t>
  </si>
  <si>
    <t>MMT/IMPS/612322317562/BULD70761711/RAHULCHAUD/HDFC0004358</t>
  </si>
  <si>
    <t>Account Name: SHRI GANESH ASSOCIATES
Transaction Date From:  01-Sep-2020 Transaction Date To:  19-Sep-2021 Amount Range from:  NA
Amount Range To:  NA Cheque number from:  NA Cheque number To:  NA
Transaction Type:  Both Debit and Credit</t>
  </si>
  <si>
    <r>
      <rPr>
        <sz val="10"/>
        <rFont val="Calibri"/>
        <family val="2"/>
        <scheme val="minor"/>
      </rPr>
      <t>04-Nov-
2021</t>
    </r>
  </si>
  <si>
    <r>
      <rPr>
        <sz val="10"/>
        <rFont val="Calibri"/>
        <family val="2"/>
        <scheme val="minor"/>
      </rPr>
      <t>MMT/IMPS
/13081178
2574/salar y/goravDG
/CNRB000 232</t>
    </r>
  </si>
  <si>
    <r>
      <rPr>
        <sz val="10"/>
        <rFont val="Calibri"/>
        <family val="2"/>
        <scheme val="minor"/>
      </rPr>
      <t>10-Dec-
2021</t>
    </r>
  </si>
  <si>
    <r>
      <rPr>
        <sz val="10"/>
        <rFont val="Calibri"/>
        <family val="2"/>
        <scheme val="minor"/>
      </rPr>
      <t>MMT/IMPS
/13441822
5750/saley/ goravDG
/CNRB000 2323</t>
    </r>
  </si>
  <si>
    <r>
      <rPr>
        <sz val="10"/>
        <rFont val="Calibri"/>
        <family val="2"/>
        <scheme val="minor"/>
      </rPr>
      <t>MMT/IMPS
/13441827
0420/salar y/goravDG
/CNRB000 232</t>
    </r>
  </si>
  <si>
    <r>
      <rPr>
        <sz val="10"/>
        <rFont val="Calibri"/>
        <family val="2"/>
        <scheme val="minor"/>
      </rPr>
      <t>10-Jan-
2022</t>
    </r>
  </si>
  <si>
    <r>
      <rPr>
        <sz val="10"/>
        <rFont val="Calibri"/>
        <family val="2"/>
        <scheme val="minor"/>
      </rPr>
      <t>MMT/IMPS
/20101650
2658/salar y/goravDG
/CNRB000 232</t>
    </r>
  </si>
  <si>
    <r>
      <rPr>
        <sz val="10"/>
        <rFont val="Calibri"/>
        <family val="2"/>
        <scheme val="minor"/>
      </rPr>
      <t>1944147.9
0</t>
    </r>
  </si>
  <si>
    <r>
      <rPr>
        <sz val="10"/>
        <rFont val="Calibri"/>
        <family val="2"/>
        <scheme val="minor"/>
      </rPr>
      <t>14-Feb-
2022</t>
    </r>
  </si>
  <si>
    <r>
      <rPr>
        <sz val="10"/>
        <rFont val="Calibri"/>
        <family val="2"/>
        <scheme val="minor"/>
      </rPr>
      <t>MMT/IMPS
/20451522
7703/salar y/goravDG
/CNRB000 232</t>
    </r>
  </si>
  <si>
    <r>
      <rPr>
        <sz val="10"/>
        <rFont val="Calibri"/>
        <family val="2"/>
        <scheme val="minor"/>
      </rPr>
      <t>2173411.9
0</t>
    </r>
  </si>
  <si>
    <r>
      <rPr>
        <sz val="10"/>
        <rFont val="Calibri"/>
        <family val="2"/>
        <scheme val="minor"/>
      </rPr>
      <t>17-Mar-
2022</t>
    </r>
  </si>
  <si>
    <r>
      <rPr>
        <sz val="10"/>
        <rFont val="Calibri"/>
        <family val="2"/>
        <scheme val="minor"/>
      </rPr>
      <t>MMT/IMPS
/20760805
0547/salar y/goravDG
/CNRB000 232</t>
    </r>
  </si>
  <si>
    <r>
      <rPr>
        <sz val="10"/>
        <rFont val="Calibri"/>
        <family val="2"/>
        <scheme val="minor"/>
      </rPr>
      <t>5905238.9
0</t>
    </r>
  </si>
  <si>
    <r>
      <rPr>
        <sz val="10"/>
        <rFont val="Calibri"/>
        <family val="2"/>
        <scheme val="minor"/>
      </rPr>
      <t>09-Apr-
2022</t>
    </r>
  </si>
  <si>
    <r>
      <rPr>
        <sz val="10"/>
        <rFont val="Calibri"/>
        <family val="2"/>
        <scheme val="minor"/>
      </rPr>
      <t>11-Apr-
2022</t>
    </r>
  </si>
  <si>
    <r>
      <rPr>
        <sz val="10"/>
        <rFont val="Calibri"/>
        <family val="2"/>
        <scheme val="minor"/>
      </rPr>
      <t>MMT/IMPS
/20991673
0045/salar y/goravDG
/CNRB000 232</t>
    </r>
  </si>
  <si>
    <r>
      <rPr>
        <sz val="10"/>
        <rFont val="Calibri"/>
        <family val="2"/>
        <scheme val="minor"/>
      </rPr>
      <t>1026070.9
0</t>
    </r>
  </si>
  <si>
    <r>
      <rPr>
        <sz val="10"/>
        <rFont val="Calibri"/>
        <family val="2"/>
        <scheme val="minor"/>
      </rPr>
      <t>21-Sep-
2020</t>
    </r>
  </si>
  <si>
    <r>
      <rPr>
        <sz val="10"/>
        <rFont val="Calibri"/>
        <family val="2"/>
        <scheme val="minor"/>
      </rPr>
      <t>27-Jul-
2021</t>
    </r>
  </si>
  <si>
    <r>
      <rPr>
        <sz val="10"/>
        <rFont val="Calibri"/>
        <family val="2"/>
        <scheme val="minor"/>
      </rPr>
      <t>NMQAB
chrg Jun- 21+GST</t>
    </r>
  </si>
  <si>
    <r>
      <rPr>
        <sz val="10"/>
        <rFont val="Calibri"/>
        <family val="2"/>
        <scheme val="minor"/>
      </rPr>
      <t>1411793.5
0</t>
    </r>
  </si>
  <si>
    <r>
      <rPr>
        <sz val="10"/>
        <rFont val="Calibri"/>
        <family val="2"/>
        <scheme val="minor"/>
      </rPr>
      <t>08-Sep-
2021</t>
    </r>
  </si>
  <si>
    <r>
      <rPr>
        <sz val="10"/>
        <rFont val="Calibri"/>
        <family val="2"/>
        <scheme val="minor"/>
      </rPr>
      <t>RTGS/ICIC R4202109 080053698
4/IOBA000
0608/jila Nidh</t>
    </r>
  </si>
  <si>
    <r>
      <rPr>
        <sz val="10"/>
        <rFont val="Calibri"/>
        <family val="2"/>
        <scheme val="minor"/>
      </rPr>
      <t>5560322.9
0</t>
    </r>
  </si>
  <si>
    <r>
      <rPr>
        <sz val="10"/>
        <rFont val="Calibri"/>
        <family val="2"/>
        <scheme val="minor"/>
      </rPr>
      <t>09-Sep-
2021</t>
    </r>
  </si>
  <si>
    <r>
      <rPr>
        <sz val="10"/>
        <rFont val="Calibri"/>
        <family val="2"/>
        <scheme val="minor"/>
      </rPr>
      <t>5435322.9
0</t>
    </r>
  </si>
  <si>
    <r>
      <rPr>
        <sz val="10"/>
        <rFont val="Calibri"/>
        <family val="2"/>
        <scheme val="minor"/>
      </rPr>
      <t>29-Oct-
2021</t>
    </r>
  </si>
  <si>
    <r>
      <rPr>
        <sz val="10"/>
        <rFont val="Calibri"/>
        <family val="2"/>
        <scheme val="minor"/>
      </rPr>
      <t>MMT/IMPS
/13021241
0306/julfika rlabour/zulf ekar  /PU</t>
    </r>
  </si>
  <si>
    <r>
      <rPr>
        <sz val="10"/>
        <rFont val="Calibri"/>
        <family val="2"/>
        <scheme val="minor"/>
      </rPr>
      <t>1661850.9
0</t>
    </r>
  </si>
  <si>
    <r>
      <rPr>
        <sz val="10"/>
        <rFont val="Calibri"/>
        <family val="2"/>
        <scheme val="minor"/>
      </rPr>
      <t>RTGS/ICIC R4202110 290054996
5/SBIN001
7876/Harp al Si</t>
    </r>
  </si>
  <si>
    <r>
      <rPr>
        <sz val="10"/>
        <rFont val="Calibri"/>
        <family val="2"/>
        <scheme val="minor"/>
      </rPr>
      <t>31-Oct-
2021</t>
    </r>
  </si>
  <si>
    <r>
      <rPr>
        <sz val="10"/>
        <rFont val="Calibri"/>
        <family val="2"/>
        <scheme val="minor"/>
      </rPr>
      <t>01-Nov-
2021</t>
    </r>
  </si>
  <si>
    <r>
      <rPr>
        <sz val="10"/>
        <rFont val="Calibri"/>
        <family val="2"/>
        <scheme val="minor"/>
      </rPr>
      <t>MMT/IMPS
/13040982
5267/lockin gtileDils/tya ldilsad/P</t>
    </r>
  </si>
  <si>
    <r>
      <rPr>
        <sz val="10"/>
        <rFont val="Calibri"/>
        <family val="2"/>
        <scheme val="minor"/>
      </rPr>
      <t>MMT/IMPS
/13051769
8983/gsb/r eliableIN/P UNB00704 00</t>
    </r>
  </si>
  <si>
    <r>
      <rPr>
        <sz val="10"/>
        <rFont val="Calibri"/>
        <family val="2"/>
        <scheme val="minor"/>
      </rPr>
      <t>02-Nov-
2021</t>
    </r>
  </si>
  <si>
    <r>
      <rPr>
        <sz val="10"/>
        <rFont val="Calibri"/>
        <family val="2"/>
        <scheme val="minor"/>
      </rPr>
      <t>MMT/IMPS
/13061082
1740/lavar/ minesgMO SI/PUNB01 15910</t>
    </r>
  </si>
  <si>
    <r>
      <rPr>
        <sz val="10"/>
        <rFont val="Calibri"/>
        <family val="2"/>
        <scheme val="minor"/>
      </rPr>
      <t>MMT/IMPS
/13061476 8670/JCVp
ayment/JS construc/IO BA00</t>
    </r>
  </si>
  <si>
    <r>
      <rPr>
        <sz val="10"/>
        <rFont val="Calibri"/>
        <family val="2"/>
        <scheme val="minor"/>
      </rPr>
      <t>09-Nov-
2021</t>
    </r>
  </si>
  <si>
    <r>
      <rPr>
        <sz val="10"/>
        <rFont val="Calibri"/>
        <family val="2"/>
        <scheme val="minor"/>
      </rPr>
      <t>MMT/IMPS
/13131547
8294/gsb/r eliableIN/P UNB00704 00</t>
    </r>
  </si>
  <si>
    <r>
      <rPr>
        <sz val="10"/>
        <rFont val="Calibri"/>
        <family val="2"/>
        <scheme val="minor"/>
      </rPr>
      <t>INF/INFT/0 254336040
81/fabricat or
/nandkisho r</t>
    </r>
  </si>
  <si>
    <r>
      <rPr>
        <sz val="10"/>
        <rFont val="Calibri"/>
        <family val="2"/>
        <scheme val="minor"/>
      </rPr>
      <t>10-Nov-
2021</t>
    </r>
  </si>
  <si>
    <r>
      <rPr>
        <sz val="10"/>
        <rFont val="Calibri"/>
        <family val="2"/>
        <scheme val="minor"/>
      </rPr>
      <t>MMT/IMPS
/13141437
8270/gsbg st/reliableI N/PUNB00 7040</t>
    </r>
  </si>
  <si>
    <r>
      <rPr>
        <sz val="10"/>
        <rFont val="Calibri"/>
        <family val="2"/>
        <scheme val="minor"/>
      </rPr>
      <t>MMT/IMPS
/13141438
5808/gsbg st/CHAPR ANAtr/PUN B075170</t>
    </r>
  </si>
  <si>
    <r>
      <rPr>
        <sz val="10"/>
        <rFont val="Calibri"/>
        <family val="2"/>
        <scheme val="minor"/>
      </rPr>
      <t>12-Nov-
2021</t>
    </r>
  </si>
  <si>
    <r>
      <rPr>
        <sz val="10"/>
        <rFont val="Calibri"/>
        <family val="2"/>
        <scheme val="minor"/>
      </rPr>
      <t>RTGS/ICIC R4202111 120054361
0/BDBL000
1199/Bhar at gr</t>
    </r>
  </si>
  <si>
    <r>
      <rPr>
        <sz val="10"/>
        <rFont val="Calibri"/>
        <family val="2"/>
        <scheme val="minor"/>
      </rPr>
      <t>15-Nov-
2021</t>
    </r>
  </si>
  <si>
    <r>
      <rPr>
        <sz val="10"/>
        <rFont val="Calibri"/>
        <family val="2"/>
        <scheme val="minor"/>
      </rPr>
      <t>MMT/IMPS
/13191427
6067/lookin gtilesDil/tya ldilsad/P</t>
    </r>
  </si>
  <si>
    <r>
      <rPr>
        <sz val="10"/>
        <rFont val="Calibri"/>
        <family val="2"/>
        <scheme val="minor"/>
      </rPr>
      <t>16-Nov-
2021</t>
    </r>
  </si>
  <si>
    <r>
      <rPr>
        <sz val="10"/>
        <rFont val="Calibri"/>
        <family val="2"/>
        <scheme val="minor"/>
      </rPr>
      <t>RTGS/ICIC R4202111 160054268
0/UTIB000
2688/avni eco</t>
    </r>
  </si>
  <si>
    <r>
      <rPr>
        <sz val="10"/>
        <rFont val="Calibri"/>
        <family val="2"/>
        <scheme val="minor"/>
      </rPr>
      <t>17-Nov-
2021</t>
    </r>
  </si>
  <si>
    <r>
      <rPr>
        <sz val="10"/>
        <rFont val="Calibri"/>
        <family val="2"/>
        <scheme val="minor"/>
      </rPr>
      <t>MMT/IMPS
/13211402
3651/ceme nt/bharatce me/BDBL0 00119</t>
    </r>
  </si>
  <si>
    <r>
      <rPr>
        <sz val="10"/>
        <rFont val="Calibri"/>
        <family val="2"/>
        <scheme val="minor"/>
      </rPr>
      <t>MMT/IMPS
/13211643
8911/officel ever/mainp al   /UBIN0</t>
    </r>
  </si>
  <si>
    <r>
      <rPr>
        <sz val="10"/>
        <rFont val="Calibri"/>
        <family val="2"/>
        <scheme val="minor"/>
      </rPr>
      <t>1360090.9
0</t>
    </r>
  </si>
  <si>
    <r>
      <rPr>
        <sz val="10"/>
        <rFont val="Calibri"/>
        <family val="2"/>
        <scheme val="minor"/>
      </rPr>
      <t>18-Nov-
2021</t>
    </r>
  </si>
  <si>
    <r>
      <rPr>
        <sz val="10"/>
        <rFont val="Calibri"/>
        <family val="2"/>
        <scheme val="minor"/>
      </rPr>
      <t>MMT/IMPS
/13221498
3699/labou r/SHIVANA INs/SBIN0 00187</t>
    </r>
  </si>
  <si>
    <r>
      <rPr>
        <sz val="10"/>
        <rFont val="Calibri"/>
        <family val="2"/>
        <scheme val="minor"/>
      </rPr>
      <t>24-Nov-
2021</t>
    </r>
  </si>
  <si>
    <r>
      <rPr>
        <sz val="10"/>
        <rFont val="Calibri"/>
        <family val="2"/>
        <scheme val="minor"/>
      </rPr>
      <t>MMT/IMPS
/13281291
5001/jcv/J Sconstruc/I OBA00006 08</t>
    </r>
  </si>
  <si>
    <r>
      <rPr>
        <sz val="10"/>
        <rFont val="Calibri"/>
        <family val="2"/>
        <scheme val="minor"/>
      </rPr>
      <t>1482840.9
0</t>
    </r>
  </si>
  <si>
    <r>
      <rPr>
        <sz val="10"/>
        <rFont val="Calibri"/>
        <family val="2"/>
        <scheme val="minor"/>
      </rPr>
      <t>RTGS/ICIC R4202111 240054063
4/UBIN055
0256/ajs texti</t>
    </r>
  </si>
  <si>
    <r>
      <rPr>
        <sz val="10"/>
        <rFont val="Calibri"/>
        <family val="2"/>
        <scheme val="minor"/>
      </rPr>
      <t>25-Nov-
2021</t>
    </r>
  </si>
  <si>
    <r>
      <rPr>
        <sz val="10"/>
        <rFont val="Calibri"/>
        <family val="2"/>
        <scheme val="minor"/>
      </rPr>
      <t>MMT/IMPS
/13291548
0127/ceme nt/bharatce me/BDBL0 00119</t>
    </r>
  </si>
  <si>
    <r>
      <rPr>
        <sz val="10"/>
        <rFont val="Calibri"/>
        <family val="2"/>
        <scheme val="minor"/>
      </rPr>
      <t>26-Nov-
2021</t>
    </r>
  </si>
  <si>
    <r>
      <rPr>
        <sz val="10"/>
        <rFont val="Calibri"/>
        <family val="2"/>
        <scheme val="minor"/>
      </rPr>
      <t>MMT/IMPS
/13300942
6493/blank et/AJStextil e/UBIN055 02</t>
    </r>
  </si>
  <si>
    <r>
      <rPr>
        <sz val="10"/>
        <rFont val="Calibri"/>
        <family val="2"/>
        <scheme val="minor"/>
      </rPr>
      <t>30-Nov-
2021</t>
    </r>
  </si>
  <si>
    <r>
      <rPr>
        <sz val="10"/>
        <rFont val="Calibri"/>
        <family val="2"/>
        <scheme val="minor"/>
      </rPr>
      <t>RTGS/ICIC R4202111 300051331
1/UTIB000
2688/avni eco</t>
    </r>
  </si>
  <si>
    <r>
      <rPr>
        <sz val="10"/>
        <rFont val="Calibri"/>
        <family val="2"/>
        <scheme val="minor"/>
      </rPr>
      <t>06-Dec-
2021</t>
    </r>
  </si>
  <si>
    <r>
      <rPr>
        <sz val="10"/>
        <rFont val="Calibri"/>
        <family val="2"/>
        <scheme val="minor"/>
      </rPr>
      <t>MMT/IMPS
/13401475
6290/jcv/J Sconstruc/I OBA00006 08</t>
    </r>
  </si>
  <si>
    <r>
      <rPr>
        <sz val="10"/>
        <rFont val="Calibri"/>
        <family val="2"/>
        <scheme val="minor"/>
      </rPr>
      <t>MMT/IMPS
/13401592
3180/ceme nt/bharatce me/BDBL0 00119</t>
    </r>
  </si>
  <si>
    <r>
      <rPr>
        <sz val="10"/>
        <rFont val="Calibri"/>
        <family val="2"/>
        <scheme val="minor"/>
      </rPr>
      <t>09-Dec-
2021</t>
    </r>
  </si>
  <si>
    <r>
      <rPr>
        <sz val="10"/>
        <rFont val="Calibri"/>
        <family val="2"/>
        <scheme val="minor"/>
      </rPr>
      <t>MMT/IMPS
/13431006
9787/lockin gtiles/tyaldi lsad/PUNB</t>
    </r>
  </si>
  <si>
    <r>
      <rPr>
        <sz val="10"/>
        <rFont val="Calibri"/>
        <family val="2"/>
        <scheme val="minor"/>
      </rPr>
      <t>12-Dec-
2021</t>
    </r>
  </si>
  <si>
    <r>
      <rPr>
        <sz val="10"/>
        <rFont val="Calibri"/>
        <family val="2"/>
        <scheme val="minor"/>
      </rPr>
      <t>13-Dec-
2021</t>
    </r>
  </si>
  <si>
    <r>
      <rPr>
        <sz val="10"/>
        <rFont val="Calibri"/>
        <family val="2"/>
        <scheme val="minor"/>
      </rPr>
      <t>MMT/IMPS
/13461432
5692/comp utertally/mit talTALE/H DF</t>
    </r>
  </si>
  <si>
    <r>
      <rPr>
        <sz val="10"/>
        <rFont val="Calibri"/>
        <family val="2"/>
        <scheme val="minor"/>
      </rPr>
      <t>17-Dec-
2021</t>
    </r>
  </si>
  <si>
    <r>
      <rPr>
        <sz val="10"/>
        <rFont val="Calibri"/>
        <family val="2"/>
        <scheme val="minor"/>
      </rPr>
      <t>MMT/IMPS
/13511902
8821/ceme nt/bharatce me/BDBL0 00119</t>
    </r>
  </si>
  <si>
    <r>
      <rPr>
        <sz val="10"/>
        <rFont val="Calibri"/>
        <family val="2"/>
        <scheme val="minor"/>
      </rPr>
      <t>22-Dec-
2021</t>
    </r>
  </si>
  <si>
    <r>
      <rPr>
        <sz val="10"/>
        <rFont val="Calibri"/>
        <family val="2"/>
        <scheme val="minor"/>
      </rPr>
      <t>MMT/IMPS
/13561143
9049/lokun gtyal/AVNI ecoIND/UT IB00</t>
    </r>
  </si>
  <si>
    <r>
      <rPr>
        <sz val="10"/>
        <rFont val="Calibri"/>
        <family val="2"/>
        <scheme val="minor"/>
      </rPr>
      <t>23-Dec-
2021</t>
    </r>
  </si>
  <si>
    <r>
      <rPr>
        <sz val="10"/>
        <rFont val="Calibri"/>
        <family val="2"/>
        <scheme val="minor"/>
      </rPr>
      <t>MMT/IMPS
/13571507 7479/BRIC
S/ASHAra mBRI/PUN B0371900</t>
    </r>
  </si>
  <si>
    <r>
      <rPr>
        <sz val="10"/>
        <rFont val="Calibri"/>
        <family val="2"/>
        <scheme val="minor"/>
      </rPr>
      <t>INF/INFT/0 258039737
31/severpi pes
/dayalpipes</t>
    </r>
  </si>
  <si>
    <r>
      <rPr>
        <sz val="10"/>
        <rFont val="Calibri"/>
        <family val="2"/>
        <scheme val="minor"/>
      </rPr>
      <t>29-Dec-
2021</t>
    </r>
  </si>
  <si>
    <r>
      <rPr>
        <sz val="10"/>
        <rFont val="Calibri"/>
        <family val="2"/>
        <scheme val="minor"/>
      </rPr>
      <t>MMT/IMPS
/13632003
5239/lockin gtilelabo/ty aldilsad/P</t>
    </r>
  </si>
  <si>
    <r>
      <rPr>
        <sz val="10"/>
        <rFont val="Calibri"/>
        <family val="2"/>
        <scheme val="minor"/>
      </rPr>
      <t>MMT/IMPS
/13632004
1030/ceme nt/bharatce me/BDBL0 00119</t>
    </r>
  </si>
  <si>
    <r>
      <rPr>
        <sz val="10"/>
        <rFont val="Calibri"/>
        <family val="2"/>
        <scheme val="minor"/>
      </rPr>
      <t>06-Jan-
2022</t>
    </r>
  </si>
  <si>
    <r>
      <rPr>
        <sz val="10"/>
        <rFont val="Calibri"/>
        <family val="2"/>
        <scheme val="minor"/>
      </rPr>
      <t>MMT/IMPS
/20061676
9949/lockin gtilelabo/ty aldilsad/P</t>
    </r>
  </si>
  <si>
    <r>
      <rPr>
        <sz val="10"/>
        <rFont val="Calibri"/>
        <family val="2"/>
        <scheme val="minor"/>
      </rPr>
      <t>INF/INFT/0 259256320
31/lockingti le
/avniECOin dus</t>
    </r>
  </si>
  <si>
    <r>
      <rPr>
        <sz val="10"/>
        <rFont val="Calibri"/>
        <family val="2"/>
        <scheme val="minor"/>
      </rPr>
      <t>RTGS/ICIC R4202201 060053673
2/UTIB000
2688/avni eco</t>
    </r>
  </si>
  <si>
    <r>
      <rPr>
        <sz val="10"/>
        <rFont val="Calibri"/>
        <family val="2"/>
        <scheme val="minor"/>
      </rPr>
      <t>INF/INFT/0 259266261
41/refund
/AVNI ECO IND</t>
    </r>
  </si>
  <si>
    <r>
      <rPr>
        <sz val="10"/>
        <rFont val="Calibri"/>
        <family val="2"/>
        <scheme val="minor"/>
      </rPr>
      <t>13-Jan-
2022</t>
    </r>
  </si>
  <si>
    <r>
      <rPr>
        <sz val="10"/>
        <rFont val="Calibri"/>
        <family val="2"/>
        <scheme val="minor"/>
      </rPr>
      <t>MMT/IMPS
/20131237
0650/ceme nt/bharatce me/BDBL0 00119</t>
    </r>
  </si>
  <si>
    <r>
      <rPr>
        <sz val="10"/>
        <rFont val="Calibri"/>
        <family val="2"/>
        <scheme val="minor"/>
      </rPr>
      <t>1444147.9
0</t>
    </r>
  </si>
  <si>
    <r>
      <rPr>
        <sz val="10"/>
        <rFont val="Calibri"/>
        <family val="2"/>
        <scheme val="minor"/>
      </rPr>
      <t>20-Jan-
2022</t>
    </r>
  </si>
  <si>
    <r>
      <rPr>
        <sz val="10"/>
        <rFont val="Calibri"/>
        <family val="2"/>
        <scheme val="minor"/>
      </rPr>
      <t>3219029.9
0</t>
    </r>
  </si>
  <si>
    <r>
      <rPr>
        <sz val="10"/>
        <rFont val="Calibri"/>
        <family val="2"/>
        <scheme val="minor"/>
      </rPr>
      <t>03-Feb-
2022</t>
    </r>
  </si>
  <si>
    <r>
      <rPr>
        <sz val="10"/>
        <rFont val="Calibri"/>
        <family val="2"/>
        <scheme val="minor"/>
      </rPr>
      <t>RTGS/ICIC R4202202 030053504
3/PUNB00
31800/Shri Shya</t>
    </r>
  </si>
  <si>
    <r>
      <rPr>
        <sz val="10"/>
        <rFont val="Calibri"/>
        <family val="2"/>
        <scheme val="minor"/>
      </rPr>
      <t>1974029.9
0</t>
    </r>
  </si>
  <si>
    <r>
      <rPr>
        <sz val="10"/>
        <rFont val="Calibri"/>
        <family val="2"/>
        <scheme val="minor"/>
      </rPr>
      <t>12-Feb-
2022</t>
    </r>
  </si>
  <si>
    <r>
      <rPr>
        <sz val="10"/>
        <rFont val="Calibri"/>
        <family val="2"/>
        <scheme val="minor"/>
      </rPr>
      <t>RTGS/ICIC R4202202 120050647
5/UTIB000
2688/avni eco</t>
    </r>
  </si>
  <si>
    <r>
      <rPr>
        <sz val="10"/>
        <rFont val="Calibri"/>
        <family val="2"/>
        <scheme val="minor"/>
      </rPr>
      <t>2658530.9
0</t>
    </r>
  </si>
  <si>
    <r>
      <rPr>
        <sz val="10"/>
        <rFont val="Calibri"/>
        <family val="2"/>
        <scheme val="minor"/>
      </rPr>
      <t>RTGS- PUNBR52 022021419
377245- SHREE SHYAM JI AUTOMOT</t>
    </r>
  </si>
  <si>
    <r>
      <rPr>
        <sz val="10"/>
        <rFont val="Calibri"/>
        <family val="2"/>
        <scheme val="minor"/>
      </rPr>
      <t>3233530.9
0</t>
    </r>
  </si>
  <si>
    <r>
      <rPr>
        <sz val="10"/>
        <rFont val="Calibri"/>
        <family val="2"/>
        <scheme val="minor"/>
      </rPr>
      <t>UPI/20455 2631717/N A/9643365
488@payt/ INDUSIND BANK/</t>
    </r>
  </si>
  <si>
    <r>
      <rPr>
        <sz val="10"/>
        <rFont val="Calibri"/>
        <family val="2"/>
        <scheme val="minor"/>
      </rPr>
      <t>3296530.9
0</t>
    </r>
  </si>
  <si>
    <r>
      <rPr>
        <sz val="10"/>
        <rFont val="Calibri"/>
        <family val="2"/>
        <scheme val="minor"/>
      </rPr>
      <t>RTGS/ICIC R4202202 140053396
6/UTIB000
1100/kavya ele</t>
    </r>
  </si>
  <si>
    <r>
      <rPr>
        <sz val="10"/>
        <rFont val="Calibri"/>
        <family val="2"/>
        <scheme val="minor"/>
      </rPr>
      <t>2203411.9
0</t>
    </r>
  </si>
  <si>
    <r>
      <rPr>
        <sz val="10"/>
        <rFont val="Calibri"/>
        <family val="2"/>
        <scheme val="minor"/>
      </rPr>
      <t>MMT/IMPS
/20451801
0525/ceme nt/bharatce me/BDBL0 00119</t>
    </r>
  </si>
  <si>
    <r>
      <rPr>
        <sz val="10"/>
        <rFont val="Calibri"/>
        <family val="2"/>
        <scheme val="minor"/>
      </rPr>
      <t>2123411.9
0</t>
    </r>
  </si>
  <si>
    <r>
      <rPr>
        <sz val="10"/>
        <rFont val="Calibri"/>
        <family val="2"/>
        <scheme val="minor"/>
      </rPr>
      <t>24-Feb-
2022</t>
    </r>
  </si>
  <si>
    <r>
      <rPr>
        <sz val="10"/>
        <rFont val="Calibri"/>
        <family val="2"/>
        <scheme val="minor"/>
      </rPr>
      <t>MMT/IMPS
/20551527
0711/count ingmachine
/YogeshEn te/I</t>
    </r>
  </si>
  <si>
    <r>
      <rPr>
        <sz val="10"/>
        <rFont val="Calibri"/>
        <family val="2"/>
        <scheme val="minor"/>
      </rPr>
      <t>5172611.9
0</t>
    </r>
  </si>
  <si>
    <r>
      <rPr>
        <sz val="10"/>
        <rFont val="Calibri"/>
        <family val="2"/>
        <scheme val="minor"/>
      </rPr>
      <t>25-Feb-
2022</t>
    </r>
  </si>
  <si>
    <r>
      <rPr>
        <sz val="10"/>
        <rFont val="Calibri"/>
        <family val="2"/>
        <scheme val="minor"/>
      </rPr>
      <t>RTGS/ICIC R4202202 250050911
0/HDFC00
00088/kon cept a</t>
    </r>
  </si>
  <si>
    <r>
      <rPr>
        <sz val="10"/>
        <rFont val="Calibri"/>
        <family val="2"/>
        <scheme val="minor"/>
      </rPr>
      <t>4532611.9
0</t>
    </r>
  </si>
  <si>
    <r>
      <rPr>
        <sz val="10"/>
        <rFont val="Calibri"/>
        <family val="2"/>
        <scheme val="minor"/>
      </rPr>
      <t>RTGS/ICIC R4202202 250050943
8/HDFC00
00088/kon cept a</t>
    </r>
  </si>
  <si>
    <r>
      <rPr>
        <sz val="10"/>
        <rFont val="Calibri"/>
        <family val="2"/>
        <scheme val="minor"/>
      </rPr>
      <t>3532611.9
0</t>
    </r>
  </si>
  <si>
    <r>
      <rPr>
        <sz val="10"/>
        <rFont val="Calibri"/>
        <family val="2"/>
        <scheme val="minor"/>
      </rPr>
      <t>MMT/IMPS
/20561187
1217/4Mah indraThar/k onceptPvt/ HDF</t>
    </r>
  </si>
  <si>
    <r>
      <rPr>
        <sz val="10"/>
        <rFont val="Calibri"/>
        <family val="2"/>
        <scheme val="minor"/>
      </rPr>
      <t>3432611.9
0</t>
    </r>
  </si>
  <si>
    <r>
      <rPr>
        <sz val="10"/>
        <rFont val="Calibri"/>
        <family val="2"/>
        <scheme val="minor"/>
      </rPr>
      <t>MMT/IMPS
/20561462
2156/forMa hindraThar/ konceptPvt
/H</t>
    </r>
  </si>
  <si>
    <r>
      <rPr>
        <sz val="10"/>
        <rFont val="Calibri"/>
        <family val="2"/>
        <scheme val="minor"/>
      </rPr>
      <t>3412011.9
0</t>
    </r>
  </si>
  <si>
    <r>
      <rPr>
        <sz val="10"/>
        <rFont val="Calibri"/>
        <family val="2"/>
        <scheme val="minor"/>
      </rPr>
      <t>11-Mar-
2022</t>
    </r>
  </si>
  <si>
    <r>
      <rPr>
        <sz val="10"/>
        <rFont val="Calibri"/>
        <family val="2"/>
        <scheme val="minor"/>
      </rPr>
      <t>TRF/KONC EPT AUTOMOB ILES PVT
/168035/IC I/10.03.202 2</t>
    </r>
  </si>
  <si>
    <r>
      <rPr>
        <sz val="10"/>
        <rFont val="Calibri"/>
        <family val="2"/>
        <scheme val="minor"/>
      </rPr>
      <t>6591756.9
0</t>
    </r>
  </si>
  <si>
    <r>
      <rPr>
        <sz val="10"/>
        <rFont val="Calibri"/>
        <family val="2"/>
        <scheme val="minor"/>
      </rPr>
      <t>16-Mar-
2022</t>
    </r>
  </si>
  <si>
    <r>
      <rPr>
        <sz val="10"/>
        <rFont val="Calibri"/>
        <family val="2"/>
        <scheme val="minor"/>
      </rPr>
      <t>5935238.9
0</t>
    </r>
  </si>
  <si>
    <r>
      <rPr>
        <sz val="10"/>
        <rFont val="Calibri"/>
        <family val="2"/>
        <scheme val="minor"/>
      </rPr>
      <t>22-Mar-
2022</t>
    </r>
  </si>
  <si>
    <r>
      <rPr>
        <sz val="10"/>
        <rFont val="Calibri"/>
        <family val="2"/>
        <scheme val="minor"/>
      </rPr>
      <t>MMT/IMPS
/20811605
3123/salry/ bharatcem e/BDBL000 1199</t>
    </r>
  </si>
  <si>
    <r>
      <rPr>
        <sz val="10"/>
        <rFont val="Calibri"/>
        <family val="2"/>
        <scheme val="minor"/>
      </rPr>
      <t>6107488.9
0</t>
    </r>
  </si>
  <si>
    <r>
      <rPr>
        <sz val="10"/>
        <rFont val="Calibri"/>
        <family val="2"/>
        <scheme val="minor"/>
      </rPr>
      <t>30-Mar-
2022</t>
    </r>
  </si>
  <si>
    <r>
      <rPr>
        <sz val="10"/>
        <rFont val="Calibri"/>
        <family val="2"/>
        <scheme val="minor"/>
      </rPr>
      <t>MMT/IMPS
/20891599
1894/ceme nt/bharatce me/BDBL0 00119</t>
    </r>
  </si>
  <si>
    <r>
      <rPr>
        <sz val="10"/>
        <rFont val="Calibri"/>
        <family val="2"/>
        <scheme val="minor"/>
      </rPr>
      <t>1165888.9
0</t>
    </r>
  </si>
  <si>
    <r>
      <rPr>
        <sz val="10"/>
        <rFont val="Calibri"/>
        <family val="2"/>
        <scheme val="minor"/>
      </rPr>
      <t>06-Apr-
2022</t>
    </r>
  </si>
  <si>
    <r>
      <rPr>
        <sz val="10"/>
        <rFont val="Calibri"/>
        <family val="2"/>
        <scheme val="minor"/>
      </rPr>
      <t>RTGS/ICIC R4202204 060050679
7/UTIB000
2688/avni eco</t>
    </r>
  </si>
  <si>
    <r>
      <rPr>
        <sz val="10"/>
        <rFont val="Calibri"/>
        <family val="2"/>
        <scheme val="minor"/>
      </rPr>
      <t>07-Apr-
2022</t>
    </r>
  </si>
  <si>
    <r>
      <rPr>
        <sz val="10"/>
        <rFont val="Calibri"/>
        <family val="2"/>
        <scheme val="minor"/>
      </rPr>
      <t>1627870.9
0</t>
    </r>
  </si>
  <si>
    <r>
      <rPr>
        <sz val="10"/>
        <rFont val="Calibri"/>
        <family val="2"/>
        <scheme val="minor"/>
      </rPr>
      <t>08-Apr-
2022</t>
    </r>
  </si>
  <si>
    <r>
      <rPr>
        <sz val="10"/>
        <rFont val="Calibri"/>
        <family val="2"/>
        <scheme val="minor"/>
      </rPr>
      <t>MMT/IMPS
/20981381
9226/ceme nt/bharatce me/BDBL0 00119</t>
    </r>
  </si>
  <si>
    <r>
      <rPr>
        <sz val="10"/>
        <rFont val="Calibri"/>
        <family val="2"/>
        <scheme val="minor"/>
      </rPr>
      <t>1552870.9
0</t>
    </r>
  </si>
  <si>
    <r>
      <rPr>
        <sz val="10"/>
        <rFont val="Calibri"/>
        <family val="2"/>
        <scheme val="minor"/>
      </rPr>
      <t>15-Apr-
2022</t>
    </r>
  </si>
  <si>
    <r>
      <rPr>
        <sz val="10"/>
        <rFont val="Calibri"/>
        <family val="2"/>
        <scheme val="minor"/>
      </rPr>
      <t>RTGS/ICIC R4202204 150051130
2/UTIB000
2688/avni eco</t>
    </r>
  </si>
  <si>
    <r>
      <rPr>
        <sz val="10"/>
        <rFont val="Calibri"/>
        <family val="2"/>
        <scheme val="minor"/>
      </rPr>
      <t>MMT/IMPS
/21051896
0218/ceme nt/bharatce me/BDBL0 00119</t>
    </r>
  </si>
  <si>
    <r>
      <rPr>
        <sz val="10"/>
        <rFont val="Calibri"/>
        <family val="2"/>
        <scheme val="minor"/>
      </rPr>
      <t>22-Apr-
2022</t>
    </r>
  </si>
  <si>
    <r>
      <rPr>
        <sz val="10"/>
        <rFont val="Calibri"/>
        <family val="2"/>
        <scheme val="minor"/>
      </rPr>
      <t>MMT/IMPS
/21121798
7421/Toyot afortunerb/ Uttarancha
/K</t>
    </r>
  </si>
  <si>
    <t>05/06/2026</t>
  </si>
  <si>
    <t xml:space="preserve">05/06/2026 06:58:07 PM </t>
  </si>
  <si>
    <t>INF/INFT/044665700611/72682796     /BALAJI ASSOCIATES   /</t>
  </si>
  <si>
    <t xml:space="preserve">05/06/2026 07:12:57 PM </t>
  </si>
  <si>
    <t>MMT/IMPS/615619724094/BULD72685325/RAHULCHAUD/HDFC0004358</t>
  </si>
  <si>
    <t>08/06/2026</t>
  </si>
  <si>
    <t xml:space="preserve">08/06/2026 01:00:03 PM </t>
  </si>
  <si>
    <t>RTGS-SBINR52026060830823816-KAPILDEO AGARWAL-34598795785-SBIN0002383</t>
  </si>
  <si>
    <t xml:space="preserve">08/06/2026 01:01:28 PM </t>
  </si>
  <si>
    <t>RTGS-SBINR52026060830824427-KAPILDEO AGARWAL-34598795785-SBIN0002383</t>
  </si>
  <si>
    <t>09/06/2026</t>
  </si>
  <si>
    <t xml:space="preserve">09/06/2026 02:39:38 PM </t>
  </si>
  <si>
    <t>INF/INFT/044718483341/72900564     /DGASSOCIATES/</t>
  </si>
  <si>
    <t>AD</t>
  </si>
  <si>
    <t>OLD 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</si>
</sst>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00000"/>
  </numFmts>
  <fonts count="6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10"/>
      <color indexed="72"/>
      <name val="SansSerif"/>
      <charset val="2"/>
    </font>
    <font>
      <sz val="9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indexed="72"/>
      <name val="SansSerif"/>
      <charset val="2"/>
    </font>
    <font>
      <sz val="9"/>
      <color indexed="72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SansSerif"/>
      <charset val="2"/>
    </font>
    <font>
      <sz val="10"/>
      <name val="Times New Roman"/>
      <family val="1"/>
    </font>
    <font>
      <sz val="10"/>
      <color indexed="72"/>
      <name val="Arial"/>
      <family val="2"/>
    </font>
    <font>
      <sz val="10"/>
      <color indexed="72"/>
      <name val="SansSerif"/>
      <charset val="2"/>
    </font>
    <font>
      <sz val="11"/>
      <color rgb="FF000000"/>
      <name val="Arial"/>
      <family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Mulish Semibold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0"/>
      <color indexed="72"/>
      <name val="SansSerif"/>
      <charset val="2"/>
    </font>
    <font>
      <sz val="11"/>
      <color indexed="72"/>
      <name val="SansSerif"/>
      <charset val="2"/>
    </font>
    <font>
      <sz val="11"/>
      <color rgb="FF000000"/>
      <name val="SansSerif"/>
      <charset val="2"/>
    </font>
    <font>
      <sz val="12"/>
      <color indexed="72"/>
      <name val="Mulish Semibold, sans-serif"/>
    </font>
    <font>
      <sz val="10"/>
      <color indexed="72"/>
      <name val="Mulish Semibold, sans-serif"/>
    </font>
    <font>
      <sz val="11"/>
      <name val="Calibri"/>
      <family val="2"/>
      <scheme val="minor"/>
    </font>
    <font>
      <sz val="11"/>
      <color indexed="7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SansSerif"/>
      <charset val="2"/>
    </font>
    <font>
      <sz val="11"/>
      <color indexed="72"/>
      <name val="Calibri  "/>
    </font>
    <font>
      <sz val="11"/>
      <name val="Calibri  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72"/>
      <name val="Calibri"/>
      <family val="2"/>
      <scheme val="minor"/>
    </font>
    <font>
      <sz val="12"/>
      <color indexed="7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69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2" fontId="4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left" vertical="top" indent="1" shrinkToFit="1"/>
    </xf>
    <xf numFmtId="165" fontId="4" fillId="0" borderId="1" xfId="0" applyNumberFormat="1" applyFont="1" applyBorder="1" applyAlignment="1">
      <alignment horizontal="left" vertical="top" shrinkToFit="1"/>
    </xf>
    <xf numFmtId="0" fontId="5" fillId="0" borderId="1" xfId="0" applyFont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 vertical="top" shrinkToFit="1"/>
    </xf>
    <xf numFmtId="0" fontId="2" fillId="3" borderId="1" xfId="0" applyFont="1" applyFill="1" applyBorder="1" applyAlignment="1">
      <alignment horizontal="left" vertical="top" wrapText="1"/>
    </xf>
    <xf numFmtId="2" fontId="4" fillId="3" borderId="1" xfId="0" applyNumberFormat="1" applyFont="1" applyFill="1" applyBorder="1" applyAlignment="1">
      <alignment horizontal="right" vertical="top" shrinkToFi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right" vertical="center" wrapText="1"/>
    </xf>
    <xf numFmtId="0" fontId="2" fillId="0" borderId="1" xfId="0" applyFont="1" applyBorder="1"/>
    <xf numFmtId="0" fontId="6" fillId="2" borderId="6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right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14" fontId="7" fillId="0" borderId="2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left" vertical="top" shrinkToFit="1"/>
    </xf>
    <xf numFmtId="14" fontId="7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2" fontId="9" fillId="0" borderId="1" xfId="0" applyNumberFormat="1" applyFont="1" applyBorder="1" applyAlignment="1">
      <alignment horizontal="right" vertical="top" shrinkToFi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 wrapText="1"/>
    </xf>
    <xf numFmtId="1" fontId="9" fillId="3" borderId="1" xfId="0" applyNumberFormat="1" applyFont="1" applyFill="1" applyBorder="1" applyAlignment="1">
      <alignment horizontal="left" vertical="top" shrinkToFit="1"/>
    </xf>
    <xf numFmtId="14" fontId="7" fillId="3" borderId="1" xfId="0" applyNumberFormat="1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2" fontId="9" fillId="3" borderId="1" xfId="0" applyNumberFormat="1" applyFont="1" applyFill="1" applyBorder="1" applyAlignment="1">
      <alignment horizontal="right" vertical="top" shrinkToFit="1"/>
    </xf>
    <xf numFmtId="0" fontId="7" fillId="3" borderId="1" xfId="0" applyFont="1" applyFill="1" applyBorder="1" applyAlignment="1">
      <alignment horizontal="right" vertical="top" wrapText="1"/>
    </xf>
    <xf numFmtId="0" fontId="7" fillId="3" borderId="1" xfId="0" applyFont="1" applyFill="1" applyBorder="1" applyAlignment="1">
      <alignment horizontal="left" vertical="top"/>
    </xf>
    <xf numFmtId="2" fontId="9" fillId="0" borderId="1" xfId="0" applyNumberFormat="1" applyFont="1" applyBorder="1" applyAlignment="1">
      <alignment horizontal="left" vertical="top" indent="1" shrinkToFit="1"/>
    </xf>
    <xf numFmtId="165" fontId="9" fillId="0" borderId="1" xfId="0" applyNumberFormat="1" applyFont="1" applyBorder="1" applyAlignment="1">
      <alignment horizontal="left" vertical="top" shrinkToFit="1"/>
    </xf>
    <xf numFmtId="0" fontId="8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1" fontId="7" fillId="0" borderId="1" xfId="0" applyNumberFormat="1" applyFont="1" applyBorder="1" applyAlignment="1">
      <alignment horizontal="left" vertical="top"/>
    </xf>
    <xf numFmtId="14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2" borderId="1" xfId="0" applyFont="1" applyFill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2" fontId="9" fillId="0" borderId="3" xfId="0" applyNumberFormat="1" applyFont="1" applyBorder="1" applyAlignment="1">
      <alignment horizontal="right" vertical="top" shrinkToFit="1"/>
    </xf>
    <xf numFmtId="0" fontId="7" fillId="0" borderId="3" xfId="0" applyFont="1" applyBorder="1" applyAlignment="1">
      <alignment horizontal="right" vertical="top" wrapText="1"/>
    </xf>
    <xf numFmtId="14" fontId="7" fillId="3" borderId="3" xfId="0" applyNumberFormat="1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left" vertical="top" wrapText="1"/>
    </xf>
    <xf numFmtId="2" fontId="9" fillId="3" borderId="3" xfId="0" applyNumberFormat="1" applyFont="1" applyFill="1" applyBorder="1" applyAlignment="1">
      <alignment horizontal="right" vertical="top" shrinkToFit="1"/>
    </xf>
    <xf numFmtId="0" fontId="7" fillId="3" borderId="0" xfId="0" applyFont="1" applyFill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7" fillId="3" borderId="3" xfId="0" applyFont="1" applyFill="1" applyBorder="1" applyAlignment="1">
      <alignment horizontal="right" vertical="top" wrapText="1"/>
    </xf>
    <xf numFmtId="14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2" borderId="3" xfId="0" applyFont="1" applyFill="1" applyBorder="1" applyAlignment="1">
      <alignment horizontal="right" vertical="center" wrapText="1"/>
    </xf>
    <xf numFmtId="14" fontId="7" fillId="0" borderId="4" xfId="0" applyNumberFormat="1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right" vertical="top" wrapText="1"/>
    </xf>
    <xf numFmtId="2" fontId="9" fillId="0" borderId="4" xfId="0" applyNumberFormat="1" applyFont="1" applyBorder="1" applyAlignment="1">
      <alignment horizontal="right" vertical="top" shrinkToFit="1"/>
    </xf>
    <xf numFmtId="0" fontId="7" fillId="0" borderId="4" xfId="0" applyFont="1" applyBorder="1" applyAlignment="1">
      <alignment horizontal="right" vertical="top" wrapText="1"/>
    </xf>
    <xf numFmtId="14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left" vertical="top"/>
    </xf>
    <xf numFmtId="14" fontId="11" fillId="2" borderId="6" xfId="0" applyNumberFormat="1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left" vertical="top" shrinkToFit="1"/>
    </xf>
    <xf numFmtId="0" fontId="11" fillId="2" borderId="6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1" fillId="2" borderId="6" xfId="0" applyFont="1" applyFill="1" applyBorder="1" applyAlignment="1">
      <alignment horizontal="right" vertical="center" wrapText="1"/>
    </xf>
    <xf numFmtId="0" fontId="7" fillId="0" borderId="0" xfId="0" applyFont="1"/>
    <xf numFmtId="0" fontId="11" fillId="0" borderId="5" xfId="0" applyFont="1" applyBorder="1" applyAlignment="1">
      <alignment horizontal="right" vertical="center" wrapText="1"/>
    </xf>
    <xf numFmtId="0" fontId="11" fillId="0" borderId="8" xfId="0" applyFont="1" applyBorder="1" applyAlignment="1">
      <alignment horizontal="right" vertical="center" wrapText="1"/>
    </xf>
    <xf numFmtId="14" fontId="7" fillId="0" borderId="0" xfId="0" applyNumberFormat="1" applyFont="1" applyAlignment="1">
      <alignment horizontal="left" vertical="top"/>
    </xf>
    <xf numFmtId="14" fontId="7" fillId="3" borderId="4" xfId="0" applyNumberFormat="1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right" vertical="top" wrapText="1"/>
    </xf>
    <xf numFmtId="1" fontId="7" fillId="3" borderId="1" xfId="0" applyNumberFormat="1" applyFont="1" applyFill="1" applyBorder="1" applyAlignment="1">
      <alignment horizontal="left" vertical="top"/>
    </xf>
    <xf numFmtId="14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1" fontId="7" fillId="3" borderId="0" xfId="0" applyNumberFormat="1" applyFont="1" applyFill="1" applyAlignment="1">
      <alignment horizontal="left" vertical="top"/>
    </xf>
    <xf numFmtId="0" fontId="11" fillId="3" borderId="6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right" vertical="center" wrapText="1"/>
    </xf>
    <xf numFmtId="0" fontId="7" fillId="3" borderId="1" xfId="0" applyFont="1" applyFill="1" applyBorder="1"/>
    <xf numFmtId="0" fontId="11" fillId="3" borderId="6" xfId="0" applyFont="1" applyFill="1" applyBorder="1" applyAlignment="1">
      <alignment horizontal="right" vertical="center" wrapText="1"/>
    </xf>
    <xf numFmtId="0" fontId="11" fillId="3" borderId="7" xfId="0" applyFont="1" applyFill="1" applyBorder="1" applyAlignment="1">
      <alignment horizontal="right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right" vertical="center" wrapText="1"/>
    </xf>
    <xf numFmtId="14" fontId="11" fillId="3" borderId="6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center" wrapText="1"/>
    </xf>
    <xf numFmtId="2" fontId="9" fillId="3" borderId="1" xfId="0" applyNumberFormat="1" applyFont="1" applyFill="1" applyBorder="1" applyAlignment="1">
      <alignment horizontal="left" vertical="top" indent="1" shrinkToFit="1"/>
    </xf>
    <xf numFmtId="0" fontId="12" fillId="0" borderId="4" xfId="0" applyFont="1" applyBorder="1" applyAlignment="1">
      <alignment horizontal="right" vertical="center" wrapText="1"/>
    </xf>
    <xf numFmtId="0" fontId="12" fillId="3" borderId="4" xfId="0" applyFont="1" applyFill="1" applyBorder="1" applyAlignment="1">
      <alignment horizontal="right" vertical="center" wrapText="1"/>
    </xf>
    <xf numFmtId="2" fontId="12" fillId="0" borderId="4" xfId="0" applyNumberFormat="1" applyFont="1" applyBorder="1" applyAlignment="1">
      <alignment horizontal="right" vertical="center" wrapText="1"/>
    </xf>
    <xf numFmtId="0" fontId="12" fillId="0" borderId="7" xfId="0" applyFont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 wrapText="1"/>
    </xf>
    <xf numFmtId="0" fontId="12" fillId="3" borderId="8" xfId="0" applyFont="1" applyFill="1" applyBorder="1" applyAlignment="1">
      <alignment horizontal="right" vertical="center" wrapText="1"/>
    </xf>
    <xf numFmtId="0" fontId="12" fillId="3" borderId="5" xfId="0" applyFont="1" applyFill="1" applyBorder="1" applyAlignment="1">
      <alignment horizontal="right" vertical="center" wrapText="1"/>
    </xf>
    <xf numFmtId="0" fontId="12" fillId="2" borderId="9" xfId="0" applyFont="1" applyFill="1" applyBorder="1" applyAlignment="1">
      <alignment horizontal="right" vertical="center" wrapText="1"/>
    </xf>
    <xf numFmtId="0" fontId="12" fillId="2" borderId="4" xfId="0" applyFont="1" applyFill="1" applyBorder="1" applyAlignment="1">
      <alignment horizontal="right" vertical="center" wrapText="1"/>
    </xf>
    <xf numFmtId="0" fontId="12" fillId="3" borderId="7" xfId="0" applyFont="1" applyFill="1" applyBorder="1" applyAlignment="1">
      <alignment horizontal="right" vertical="center" wrapText="1"/>
    </xf>
    <xf numFmtId="0" fontId="12" fillId="2" borderId="8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shrinkToFit="1"/>
    </xf>
    <xf numFmtId="0" fontId="8" fillId="3" borderId="1" xfId="0" applyFont="1" applyFill="1" applyBorder="1" applyAlignment="1">
      <alignment horizontal="right" vertical="center" wrapText="1"/>
    </xf>
    <xf numFmtId="2" fontId="9" fillId="3" borderId="1" xfId="0" applyNumberFormat="1" applyFont="1" applyFill="1" applyBorder="1" applyAlignment="1">
      <alignment horizontal="right" vertical="center" shrinkToFit="1"/>
    </xf>
    <xf numFmtId="0" fontId="9" fillId="0" borderId="1" xfId="0" applyFont="1" applyBorder="1" applyAlignment="1">
      <alignment horizontal="right" vertical="center" wrapText="1"/>
    </xf>
    <xf numFmtId="2" fontId="9" fillId="3" borderId="1" xfId="0" applyNumberFormat="1" applyFont="1" applyFill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right" vertical="center" wrapText="1"/>
    </xf>
    <xf numFmtId="2" fontId="9" fillId="3" borderId="3" xfId="0" applyNumberFormat="1" applyFont="1" applyFill="1" applyBorder="1" applyAlignment="1">
      <alignment horizontal="right" vertical="center" shrinkToFit="1"/>
    </xf>
    <xf numFmtId="2" fontId="9" fillId="0" borderId="3" xfId="0" applyNumberFormat="1" applyFont="1" applyBorder="1" applyAlignment="1">
      <alignment horizontal="right" vertical="center" shrinkToFit="1"/>
    </xf>
    <xf numFmtId="0" fontId="8" fillId="0" borderId="3" xfId="0" applyFont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2" fontId="9" fillId="3" borderId="4" xfId="0" applyNumberFormat="1" applyFont="1" applyFill="1" applyBorder="1" applyAlignment="1">
      <alignment horizontal="right" vertical="center" shrinkToFit="1"/>
    </xf>
    <xf numFmtId="0" fontId="8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top"/>
    </xf>
    <xf numFmtId="0" fontId="8" fillId="0" borderId="1" xfId="0" applyFont="1" applyBorder="1" applyAlignment="1">
      <alignment horizontal="right" vertical="top" wrapText="1"/>
    </xf>
    <xf numFmtId="0" fontId="7" fillId="0" borderId="0" xfId="0" applyFont="1" applyAlignment="1">
      <alignment horizontal="right" vertical="top"/>
    </xf>
    <xf numFmtId="0" fontId="6" fillId="2" borderId="5" xfId="0" applyFont="1" applyFill="1" applyBorder="1" applyAlignment="1">
      <alignment horizontal="right" vertical="center" wrapText="1"/>
    </xf>
    <xf numFmtId="0" fontId="0" fillId="0" borderId="1" xfId="0" applyBorder="1"/>
    <xf numFmtId="164" fontId="12" fillId="2" borderId="8" xfId="1" applyFont="1" applyFill="1" applyBorder="1" applyAlignment="1" applyProtection="1">
      <alignment horizontal="right" vertical="center" wrapText="1"/>
    </xf>
    <xf numFmtId="1" fontId="9" fillId="0" borderId="1" xfId="0" applyNumberFormat="1" applyFont="1" applyBorder="1" applyAlignment="1">
      <alignment horizontal="right" vertical="center" shrinkToFit="1"/>
    </xf>
    <xf numFmtId="1" fontId="9" fillId="0" borderId="3" xfId="0" applyNumberFormat="1" applyFont="1" applyBorder="1" applyAlignment="1">
      <alignment horizontal="right" vertical="center" shrinkToFit="1"/>
    </xf>
    <xf numFmtId="1" fontId="9" fillId="4" borderId="1" xfId="0" applyNumberFormat="1" applyFont="1" applyFill="1" applyBorder="1" applyAlignment="1">
      <alignment horizontal="left" vertical="top" shrinkToFit="1"/>
    </xf>
    <xf numFmtId="0" fontId="7" fillId="4" borderId="1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14" fontId="7" fillId="4" borderId="3" xfId="0" applyNumberFormat="1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1" fontId="9" fillId="4" borderId="3" xfId="0" applyNumberFormat="1" applyFont="1" applyFill="1" applyBorder="1" applyAlignment="1">
      <alignment horizontal="right" vertical="center" shrinkToFit="1"/>
    </xf>
    <xf numFmtId="0" fontId="8" fillId="4" borderId="3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right" vertical="top" wrapText="1"/>
    </xf>
    <xf numFmtId="0" fontId="8" fillId="4" borderId="3" xfId="0" applyFont="1" applyFill="1" applyBorder="1" applyAlignment="1">
      <alignment horizontal="left" vertical="top" wrapText="1"/>
    </xf>
    <xf numFmtId="2" fontId="9" fillId="4" borderId="3" xfId="0" applyNumberFormat="1" applyFont="1" applyFill="1" applyBorder="1" applyAlignment="1">
      <alignment horizontal="right" vertical="top" shrinkToFi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 wrapText="1"/>
    </xf>
    <xf numFmtId="2" fontId="9" fillId="0" borderId="10" xfId="0" applyNumberFormat="1" applyFont="1" applyBorder="1" applyAlignment="1">
      <alignment horizontal="right" vertical="top" shrinkToFit="1"/>
    </xf>
    <xf numFmtId="0" fontId="11" fillId="0" borderId="11" xfId="0" applyFont="1" applyBorder="1" applyAlignment="1">
      <alignment horizontal="right" vertical="center" wrapText="1"/>
    </xf>
    <xf numFmtId="0" fontId="11" fillId="2" borderId="5" xfId="0" applyFont="1" applyFill="1" applyBorder="1" applyAlignment="1">
      <alignment horizontal="right" vertical="center" wrapText="1"/>
    </xf>
    <xf numFmtId="0" fontId="11" fillId="2" borderId="11" xfId="0" applyFont="1" applyFill="1" applyBorder="1" applyAlignment="1">
      <alignment horizontal="right" vertical="center" wrapText="1"/>
    </xf>
    <xf numFmtId="0" fontId="11" fillId="4" borderId="1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6" fillId="2" borderId="5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0" borderId="0" xfId="0"/>
    <xf numFmtId="0" fontId="2" fillId="0" borderId="12" xfId="0" applyFont="1" applyBorder="1" applyAlignment="1">
      <alignment horizontal="left" vertical="top"/>
    </xf>
    <xf numFmtId="0" fontId="2" fillId="6" borderId="12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6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left" vertical="center" wrapText="1"/>
    </xf>
    <xf numFmtId="1" fontId="4" fillId="6" borderId="1" xfId="0" applyNumberFormat="1" applyFont="1" applyFill="1" applyBorder="1" applyAlignment="1">
      <alignment horizontal="left" vertical="top" shrinkToFit="1"/>
    </xf>
    <xf numFmtId="0" fontId="6" fillId="6" borderId="4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left" vertical="center" wrapText="1"/>
    </xf>
    <xf numFmtId="0" fontId="19" fillId="0" borderId="0" xfId="0" applyFont="1"/>
    <xf numFmtId="0" fontId="19" fillId="6" borderId="0" xfId="0" applyFont="1" applyFill="1"/>
    <xf numFmtId="0" fontId="17" fillId="2" borderId="5" xfId="0" applyFont="1" applyFill="1" applyBorder="1" applyAlignment="1">
      <alignment horizontal="right" vertical="center" wrapText="1"/>
    </xf>
    <xf numFmtId="0" fontId="17" fillId="6" borderId="5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right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left" vertical="center" wrapText="1"/>
    </xf>
    <xf numFmtId="0" fontId="22" fillId="6" borderId="4" xfId="0" applyFont="1" applyFill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/>
    </xf>
    <xf numFmtId="0" fontId="2" fillId="7" borderId="12" xfId="0" applyFont="1" applyFill="1" applyBorder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6" fillId="7" borderId="4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right" vertical="center" wrapText="1"/>
    </xf>
    <xf numFmtId="0" fontId="23" fillId="2" borderId="5" xfId="0" applyFont="1" applyFill="1" applyBorder="1" applyAlignment="1">
      <alignment horizontal="right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right" vertical="top" wrapText="1"/>
    </xf>
    <xf numFmtId="0" fontId="2" fillId="0" borderId="12" xfId="0" applyFont="1" applyBorder="1" applyAlignment="1">
      <alignment horizontal="right" vertical="top" wrapText="1"/>
    </xf>
    <xf numFmtId="2" fontId="4" fillId="0" borderId="12" xfId="0" applyNumberFormat="1" applyFont="1" applyBorder="1" applyAlignment="1">
      <alignment horizontal="right" vertical="top" shrinkToFit="1"/>
    </xf>
    <xf numFmtId="2" fontId="4" fillId="3" borderId="12" xfId="0" applyNumberFormat="1" applyFont="1" applyFill="1" applyBorder="1" applyAlignment="1">
      <alignment horizontal="right" vertical="top" shrinkToFit="1"/>
    </xf>
    <xf numFmtId="0" fontId="14" fillId="6" borderId="12" xfId="0" applyFont="1" applyFill="1" applyBorder="1" applyAlignment="1">
      <alignment horizontal="right" vertical="top" wrapText="1"/>
    </xf>
    <xf numFmtId="0" fontId="2" fillId="3" borderId="10" xfId="0" applyFont="1" applyFill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2" fontId="4" fillId="0" borderId="10" xfId="0" applyNumberFormat="1" applyFont="1" applyBorder="1" applyAlignment="1">
      <alignment horizontal="right" vertical="top" shrinkToFit="1"/>
    </xf>
    <xf numFmtId="2" fontId="4" fillId="3" borderId="10" xfId="0" applyNumberFormat="1" applyFont="1" applyFill="1" applyBorder="1" applyAlignment="1">
      <alignment horizontal="right" vertical="top" shrinkToFit="1"/>
    </xf>
    <xf numFmtId="0" fontId="2" fillId="0" borderId="5" xfId="0" applyFont="1" applyBorder="1" applyAlignment="1">
      <alignment horizontal="right" vertical="top" wrapText="1"/>
    </xf>
    <xf numFmtId="0" fontId="6" fillId="2" borderId="11" xfId="0" applyFont="1" applyFill="1" applyBorder="1" applyAlignment="1">
      <alignment horizontal="right" vertical="center" wrapText="1"/>
    </xf>
    <xf numFmtId="0" fontId="6" fillId="2" borderId="16" xfId="0" applyFont="1" applyFill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 wrapText="1"/>
    </xf>
    <xf numFmtId="0" fontId="6" fillId="3" borderId="11" xfId="0" applyFont="1" applyFill="1" applyBorder="1" applyAlignment="1">
      <alignment horizontal="right" vertical="center" wrapText="1"/>
    </xf>
    <xf numFmtId="0" fontId="18" fillId="2" borderId="5" xfId="0" applyFont="1" applyFill="1" applyBorder="1" applyAlignment="1">
      <alignment horizontal="right" vertical="center" wrapText="1"/>
    </xf>
    <xf numFmtId="0" fontId="17" fillId="2" borderId="11" xfId="0" applyFont="1" applyFill="1" applyBorder="1" applyAlignment="1">
      <alignment horizontal="right" vertical="center" wrapText="1"/>
    </xf>
    <xf numFmtId="0" fontId="17" fillId="6" borderId="11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6" borderId="5" xfId="0" applyFont="1" applyFill="1" applyBorder="1" applyAlignment="1">
      <alignment horizontal="right" vertical="center" wrapText="1"/>
    </xf>
    <xf numFmtId="0" fontId="6" fillId="6" borderId="11" xfId="0" applyFont="1" applyFill="1" applyBorder="1" applyAlignment="1">
      <alignment horizontal="right" vertical="center" wrapText="1"/>
    </xf>
    <xf numFmtId="0" fontId="20" fillId="2" borderId="5" xfId="0" applyFont="1" applyFill="1" applyBorder="1" applyAlignment="1">
      <alignment horizontal="right" vertical="center" wrapText="1"/>
    </xf>
    <xf numFmtId="0" fontId="20" fillId="6" borderId="5" xfId="0" applyFont="1" applyFill="1" applyBorder="1" applyAlignment="1">
      <alignment horizontal="right" vertical="center" wrapText="1"/>
    </xf>
    <xf numFmtId="0" fontId="17" fillId="0" borderId="11" xfId="0" applyFont="1" applyBorder="1" applyAlignment="1">
      <alignment horizontal="right" vertical="center" wrapText="1"/>
    </xf>
    <xf numFmtId="0" fontId="21" fillId="2" borderId="5" xfId="0" applyFont="1" applyFill="1" applyBorder="1" applyAlignment="1">
      <alignment horizontal="right" vertical="center" wrapText="1"/>
    </xf>
    <xf numFmtId="0" fontId="21" fillId="6" borderId="5" xfId="0" applyFont="1" applyFill="1" applyBorder="1" applyAlignment="1">
      <alignment horizontal="right" vertical="center" wrapText="1"/>
    </xf>
    <xf numFmtId="0" fontId="22" fillId="6" borderId="5" xfId="0" applyFont="1" applyFill="1" applyBorder="1" applyAlignment="1">
      <alignment horizontal="right" vertical="center" wrapText="1"/>
    </xf>
    <xf numFmtId="0" fontId="23" fillId="2" borderId="11" xfId="0" applyFont="1" applyFill="1" applyBorder="1" applyAlignment="1">
      <alignment horizontal="right" vertical="center" wrapText="1"/>
    </xf>
    <xf numFmtId="0" fontId="24" fillId="2" borderId="5" xfId="0" applyFont="1" applyFill="1" applyBorder="1" applyAlignment="1">
      <alignment horizontal="right" vertical="center" wrapText="1"/>
    </xf>
    <xf numFmtId="0" fontId="2" fillId="3" borderId="17" xfId="0" applyFont="1" applyFill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7" borderId="17" xfId="0" applyFont="1" applyFill="1" applyBorder="1" applyAlignment="1">
      <alignment horizontal="left" vertical="top"/>
    </xf>
    <xf numFmtId="0" fontId="2" fillId="6" borderId="17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top"/>
    </xf>
    <xf numFmtId="0" fontId="1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/>
    </xf>
    <xf numFmtId="0" fontId="4" fillId="6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6" borderId="1" xfId="0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/>
    </xf>
    <xf numFmtId="0" fontId="25" fillId="2" borderId="4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left" vertical="center" wrapText="1"/>
    </xf>
    <xf numFmtId="0" fontId="25" fillId="2" borderId="5" xfId="0" applyFont="1" applyFill="1" applyBorder="1" applyAlignment="1">
      <alignment horizontal="right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left" vertical="center" wrapText="1"/>
    </xf>
    <xf numFmtId="0" fontId="26" fillId="2" borderId="11" xfId="0" applyFont="1" applyFill="1" applyBorder="1" applyAlignment="1">
      <alignment horizontal="right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left" vertical="center" wrapText="1"/>
    </xf>
    <xf numFmtId="0" fontId="27" fillId="2" borderId="5" xfId="0" applyFont="1" applyFill="1" applyBorder="1" applyAlignment="1">
      <alignment horizontal="right" vertical="center" wrapText="1"/>
    </xf>
    <xf numFmtId="0" fontId="27" fillId="2" borderId="11" xfId="0" applyFont="1" applyFill="1" applyBorder="1" applyAlignment="1">
      <alignment horizontal="right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7" fillId="6" borderId="4" xfId="0" applyFont="1" applyFill="1" applyBorder="1" applyAlignment="1">
      <alignment horizontal="left" vertical="center" wrapText="1"/>
    </xf>
    <xf numFmtId="0" fontId="27" fillId="6" borderId="11" xfId="0" applyFont="1" applyFill="1" applyBorder="1" applyAlignment="1">
      <alignment horizontal="right" vertical="center" wrapText="1"/>
    </xf>
    <xf numFmtId="0" fontId="2" fillId="0" borderId="18" xfId="0" applyFont="1" applyBorder="1" applyAlignment="1">
      <alignment horizontal="left" vertical="top"/>
    </xf>
    <xf numFmtId="0" fontId="0" fillId="6" borderId="0" xfId="0" applyFill="1"/>
    <xf numFmtId="0" fontId="28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>
      <alignment horizontal="right" vertical="center" wrapText="1"/>
    </xf>
    <xf numFmtId="0" fontId="28" fillId="2" borderId="5" xfId="0" applyFont="1" applyFill="1" applyBorder="1" applyAlignment="1">
      <alignment horizontal="right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left" vertical="center" wrapText="1"/>
    </xf>
    <xf numFmtId="0" fontId="29" fillId="2" borderId="5" xfId="0" applyFont="1" applyFill="1" applyBorder="1" applyAlignment="1">
      <alignment horizontal="right" vertical="center" wrapText="1"/>
    </xf>
    <xf numFmtId="0" fontId="29" fillId="2" borderId="11" xfId="0" applyFont="1" applyFill="1" applyBorder="1" applyAlignment="1">
      <alignment horizontal="right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left" vertical="center" wrapText="1"/>
    </xf>
    <xf numFmtId="0" fontId="30" fillId="2" borderId="11" xfId="0" applyFont="1" applyFill="1" applyBorder="1" applyAlignment="1">
      <alignment horizontal="right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2" borderId="5" xfId="0" applyFont="1" applyFill="1" applyBorder="1" applyAlignment="1">
      <alignment horizontal="right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1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top"/>
    </xf>
    <xf numFmtId="0" fontId="33" fillId="2" borderId="4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left" vertical="center" wrapText="1"/>
    </xf>
    <xf numFmtId="0" fontId="33" fillId="2" borderId="11" xfId="0" applyFont="1" applyFill="1" applyBorder="1" applyAlignment="1">
      <alignment horizontal="right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left" vertical="center" wrapText="1"/>
    </xf>
    <xf numFmtId="0" fontId="34" fillId="2" borderId="11" xfId="0" applyFont="1" applyFill="1" applyBorder="1" applyAlignment="1">
      <alignment horizontal="right" vertical="center" wrapText="1"/>
    </xf>
    <xf numFmtId="0" fontId="33" fillId="6" borderId="4" xfId="0" applyFont="1" applyFill="1" applyBorder="1" applyAlignment="1">
      <alignment horizontal="center" vertical="center" wrapText="1"/>
    </xf>
    <xf numFmtId="0" fontId="33" fillId="6" borderId="4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right" vertical="center" wrapText="1"/>
    </xf>
    <xf numFmtId="0" fontId="33" fillId="6" borderId="11" xfId="0" applyFont="1" applyFill="1" applyBorder="1" applyAlignment="1">
      <alignment horizontal="right" vertical="center" wrapText="1"/>
    </xf>
    <xf numFmtId="0" fontId="35" fillId="2" borderId="4" xfId="0" applyFont="1" applyFill="1" applyBorder="1" applyAlignment="1">
      <alignment horizontal="center" vertical="center" wrapText="1"/>
    </xf>
    <xf numFmtId="0" fontId="35" fillId="2" borderId="4" xfId="0" applyFont="1" applyFill="1" applyBorder="1" applyAlignment="1">
      <alignment horizontal="left" vertical="center" wrapText="1"/>
    </xf>
    <xf numFmtId="0" fontId="35" fillId="2" borderId="11" xfId="0" applyFont="1" applyFill="1" applyBorder="1" applyAlignment="1">
      <alignment horizontal="right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left" vertical="center" wrapText="1"/>
    </xf>
    <xf numFmtId="0" fontId="36" fillId="2" borderId="11" xfId="0" applyFont="1" applyFill="1" applyBorder="1" applyAlignment="1">
      <alignment horizontal="right" vertical="center" wrapText="1"/>
    </xf>
    <xf numFmtId="0" fontId="37" fillId="2" borderId="4" xfId="0" applyFont="1" applyFill="1" applyBorder="1" applyAlignment="1">
      <alignment horizontal="center" vertical="center" wrapText="1"/>
    </xf>
    <xf numFmtId="0" fontId="37" fillId="2" borderId="4" xfId="0" applyFont="1" applyFill="1" applyBorder="1" applyAlignment="1">
      <alignment horizontal="left" vertical="center" wrapText="1"/>
    </xf>
    <xf numFmtId="0" fontId="37" fillId="2" borderId="11" xfId="0" applyFont="1" applyFill="1" applyBorder="1" applyAlignment="1">
      <alignment horizontal="right" vertical="center" wrapText="1"/>
    </xf>
    <xf numFmtId="14" fontId="6" fillId="2" borderId="4" xfId="0" applyNumberFormat="1" applyFont="1" applyFill="1" applyBorder="1" applyAlignment="1">
      <alignment horizontal="center" vertical="center" wrapText="1"/>
    </xf>
    <xf numFmtId="14" fontId="6" fillId="6" borderId="4" xfId="0" applyNumberFormat="1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center" vertical="center" wrapText="1"/>
    </xf>
    <xf numFmtId="0" fontId="38" fillId="2" borderId="4" xfId="0" applyFont="1" applyFill="1" applyBorder="1" applyAlignment="1">
      <alignment horizontal="left" vertical="center" wrapText="1"/>
    </xf>
    <xf numFmtId="0" fontId="38" fillId="2" borderId="5" xfId="0" applyFont="1" applyFill="1" applyBorder="1" applyAlignment="1">
      <alignment horizontal="right" vertical="center" wrapText="1"/>
    </xf>
    <xf numFmtId="0" fontId="38" fillId="2" borderId="11" xfId="0" applyFont="1" applyFill="1" applyBorder="1" applyAlignment="1">
      <alignment horizontal="right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left" vertical="center" wrapText="1"/>
    </xf>
    <xf numFmtId="0" fontId="39" fillId="2" borderId="11" xfId="0" applyFont="1" applyFill="1" applyBorder="1" applyAlignment="1">
      <alignment horizontal="right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left" vertical="center" wrapText="1"/>
    </xf>
    <xf numFmtId="0" fontId="40" fillId="2" borderId="5" xfId="0" applyFont="1" applyFill="1" applyBorder="1" applyAlignment="1">
      <alignment horizontal="right" vertical="center" wrapText="1"/>
    </xf>
    <xf numFmtId="0" fontId="40" fillId="2" borderId="11" xfId="0" applyFont="1" applyFill="1" applyBorder="1" applyAlignment="1">
      <alignment horizontal="right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left" vertical="center" wrapText="1"/>
    </xf>
    <xf numFmtId="0" fontId="41" fillId="2" borderId="5" xfId="0" applyFont="1" applyFill="1" applyBorder="1" applyAlignment="1">
      <alignment horizontal="right" vertical="center" wrapText="1"/>
    </xf>
    <xf numFmtId="0" fontId="41" fillId="2" borderId="11" xfId="0" applyFont="1" applyFill="1" applyBorder="1" applyAlignment="1">
      <alignment horizontal="right" vertical="center" wrapText="1"/>
    </xf>
    <xf numFmtId="0" fontId="42" fillId="2" borderId="4" xfId="0" applyFont="1" applyFill="1" applyBorder="1" applyAlignment="1">
      <alignment horizontal="center" vertical="center" wrapText="1"/>
    </xf>
    <xf numFmtId="0" fontId="42" fillId="2" borderId="4" xfId="0" applyFont="1" applyFill="1" applyBorder="1" applyAlignment="1">
      <alignment horizontal="right" vertical="center" wrapText="1"/>
    </xf>
    <xf numFmtId="0" fontId="42" fillId="2" borderId="5" xfId="0" applyFont="1" applyFill="1" applyBorder="1" applyAlignment="1">
      <alignment horizontal="right" vertical="center" wrapText="1"/>
    </xf>
    <xf numFmtId="0" fontId="42" fillId="2" borderId="11" xfId="0" applyFont="1" applyFill="1" applyBorder="1" applyAlignment="1">
      <alignment horizontal="right" vertical="center" wrapText="1"/>
    </xf>
    <xf numFmtId="0" fontId="42" fillId="2" borderId="4" xfId="0" applyFont="1" applyFill="1" applyBorder="1" applyAlignment="1">
      <alignment horizontal="left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right" vertical="center" wrapText="1"/>
    </xf>
    <xf numFmtId="0" fontId="44" fillId="2" borderId="11" xfId="0" applyFont="1" applyFill="1" applyBorder="1" applyAlignment="1">
      <alignment horizontal="right" vertical="center" wrapText="1"/>
    </xf>
    <xf numFmtId="0" fontId="44" fillId="2" borderId="4" xfId="0" applyFont="1" applyFill="1" applyBorder="1" applyAlignment="1">
      <alignment horizontal="left" vertical="center" wrapText="1"/>
    </xf>
    <xf numFmtId="0" fontId="44" fillId="2" borderId="5" xfId="0" applyFont="1" applyFill="1" applyBorder="1" applyAlignment="1">
      <alignment horizontal="right" vertical="center" wrapText="1"/>
    </xf>
    <xf numFmtId="0" fontId="46" fillId="2" borderId="4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horizontal="right" vertical="center" wrapText="1"/>
    </xf>
    <xf numFmtId="0" fontId="46" fillId="2" borderId="4" xfId="0" applyFont="1" applyFill="1" applyBorder="1" applyAlignment="1">
      <alignment horizontal="left" vertical="center" wrapText="1"/>
    </xf>
    <xf numFmtId="0" fontId="46" fillId="2" borderId="5" xfId="0" applyFont="1" applyFill="1" applyBorder="1" applyAlignment="1">
      <alignment horizontal="right" vertical="center" wrapText="1"/>
    </xf>
    <xf numFmtId="0" fontId="47" fillId="2" borderId="4" xfId="0" applyFont="1" applyFill="1" applyBorder="1" applyAlignment="1">
      <alignment horizontal="center" vertical="center" wrapText="1"/>
    </xf>
    <xf numFmtId="0" fontId="47" fillId="2" borderId="4" xfId="0" applyFont="1" applyFill="1" applyBorder="1" applyAlignment="1">
      <alignment horizontal="right" vertical="center" wrapText="1"/>
    </xf>
    <xf numFmtId="0" fontId="47" fillId="2" borderId="4" xfId="0" applyFont="1" applyFill="1" applyBorder="1" applyAlignment="1">
      <alignment horizontal="left" vertical="center" wrapText="1"/>
    </xf>
    <xf numFmtId="0" fontId="47" fillId="2" borderId="5" xfId="0" applyFont="1" applyFill="1" applyBorder="1" applyAlignment="1">
      <alignment horizontal="right" vertical="center" wrapText="1"/>
    </xf>
    <xf numFmtId="0" fontId="47" fillId="2" borderId="11" xfId="0" applyFont="1" applyFill="1" applyBorder="1" applyAlignment="1">
      <alignment horizontal="right" vertical="center" wrapText="1"/>
    </xf>
    <xf numFmtId="1" fontId="4" fillId="4" borderId="1" xfId="0" applyNumberFormat="1" applyFont="1" applyFill="1" applyBorder="1" applyAlignment="1">
      <alignment horizontal="left" vertical="top" shrinkToFit="1"/>
    </xf>
    <xf numFmtId="0" fontId="47" fillId="4" borderId="4" xfId="0" applyFont="1" applyFill="1" applyBorder="1" applyAlignment="1">
      <alignment horizontal="center" vertical="center" wrapText="1"/>
    </xf>
    <xf numFmtId="0" fontId="47" fillId="4" borderId="4" xfId="0" applyFont="1" applyFill="1" applyBorder="1" applyAlignment="1">
      <alignment horizontal="right" vertical="center" wrapText="1"/>
    </xf>
    <xf numFmtId="0" fontId="47" fillId="4" borderId="4" xfId="0" applyFont="1" applyFill="1" applyBorder="1" applyAlignment="1">
      <alignment horizontal="left" vertical="center" wrapText="1"/>
    </xf>
    <xf numFmtId="0" fontId="47" fillId="4" borderId="5" xfId="0" applyFont="1" applyFill="1" applyBorder="1" applyAlignment="1">
      <alignment horizontal="right" vertical="center" wrapText="1"/>
    </xf>
    <xf numFmtId="0" fontId="47" fillId="4" borderId="1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0" fillId="4" borderId="0" xfId="0" applyFill="1"/>
    <xf numFmtId="0" fontId="47" fillId="2" borderId="6" xfId="0" applyFont="1" applyFill="1" applyBorder="1" applyAlignment="1">
      <alignment horizontal="right" vertical="center" wrapText="1"/>
    </xf>
    <xf numFmtId="0" fontId="47" fillId="2" borderId="1" xfId="0" applyFont="1" applyFill="1" applyBorder="1" applyAlignment="1">
      <alignment horizontal="right" vertical="center" wrapText="1"/>
    </xf>
    <xf numFmtId="0" fontId="46" fillId="2" borderId="19" xfId="0" applyFont="1" applyFill="1" applyBorder="1" applyAlignment="1">
      <alignment horizontal="right" vertical="center" wrapText="1"/>
    </xf>
    <xf numFmtId="0" fontId="49" fillId="0" borderId="1" xfId="0" applyFont="1" applyBorder="1" applyAlignment="1">
      <alignment horizontal="left" vertical="top" wrapText="1"/>
    </xf>
    <xf numFmtId="0" fontId="50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left" vertical="top" shrinkToFit="1"/>
    </xf>
    <xf numFmtId="1" fontId="49" fillId="0" borderId="1" xfId="0" quotePrefix="1" applyNumberFormat="1" applyFont="1" applyBorder="1" applyAlignment="1">
      <alignment horizontal="left" vertical="top" shrinkToFit="1"/>
    </xf>
    <xf numFmtId="0" fontId="50" fillId="0" borderId="3" xfId="0" applyFont="1" applyBorder="1" applyAlignment="1">
      <alignment horizontal="left" vertical="top" wrapText="1"/>
    </xf>
    <xf numFmtId="0" fontId="49" fillId="0" borderId="3" xfId="0" applyFont="1" applyBorder="1" applyAlignment="1">
      <alignment horizontal="left" vertical="top" wrapText="1"/>
    </xf>
    <xf numFmtId="0" fontId="51" fillId="2" borderId="4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left" vertical="center" wrapText="1"/>
    </xf>
    <xf numFmtId="0" fontId="52" fillId="2" borderId="4" xfId="0" applyFont="1" applyFill="1" applyBorder="1" applyAlignment="1">
      <alignment horizontal="center" vertical="center" wrapText="1"/>
    </xf>
    <xf numFmtId="0" fontId="52" fillId="2" borderId="4" xfId="0" applyFont="1" applyFill="1" applyBorder="1" applyAlignment="1">
      <alignment horizontal="right" vertical="center" wrapText="1"/>
    </xf>
    <xf numFmtId="0" fontId="52" fillId="2" borderId="4" xfId="0" applyFont="1" applyFill="1" applyBorder="1" applyAlignment="1">
      <alignment horizontal="left" vertical="center" wrapText="1"/>
    </xf>
    <xf numFmtId="0" fontId="52" fillId="2" borderId="11" xfId="0" applyFont="1" applyFill="1" applyBorder="1" applyAlignment="1">
      <alignment horizontal="right" vertical="center" wrapText="1"/>
    </xf>
    <xf numFmtId="0" fontId="52" fillId="2" borderId="4" xfId="0" applyFont="1" applyFill="1" applyBorder="1" applyAlignment="1">
      <alignment vertical="center" wrapText="1"/>
    </xf>
    <xf numFmtId="0" fontId="54" fillId="2" borderId="4" xfId="0" applyFont="1" applyFill="1" applyBorder="1" applyAlignment="1">
      <alignment horizontal="center" vertical="center" wrapText="1"/>
    </xf>
    <xf numFmtId="0" fontId="54" fillId="2" borderId="4" xfId="0" applyFont="1" applyFill="1" applyBorder="1" applyAlignment="1">
      <alignment horizontal="left" vertical="center" wrapText="1"/>
    </xf>
    <xf numFmtId="0" fontId="52" fillId="2" borderId="21" xfId="0" applyFont="1" applyFill="1" applyBorder="1" applyAlignment="1">
      <alignment horizontal="right" vertical="center" wrapText="1"/>
    </xf>
    <xf numFmtId="0" fontId="54" fillId="2" borderId="1" xfId="0" applyFont="1" applyFill="1" applyBorder="1" applyAlignment="1">
      <alignment horizontal="right" vertical="center" wrapText="1"/>
    </xf>
    <xf numFmtId="0" fontId="54" fillId="2" borderId="5" xfId="0" applyFont="1" applyFill="1" applyBorder="1" applyAlignment="1">
      <alignment horizontal="right" vertical="center" wrapText="1"/>
    </xf>
    <xf numFmtId="0" fontId="54" fillId="2" borderId="5" xfId="0" applyFont="1" applyFill="1" applyBorder="1" applyAlignment="1">
      <alignment horizontal="left" vertical="center" wrapText="1"/>
    </xf>
    <xf numFmtId="0" fontId="54" fillId="2" borderId="19" xfId="0" applyFont="1" applyFill="1" applyBorder="1" applyAlignment="1">
      <alignment horizontal="right" vertical="center" wrapText="1"/>
    </xf>
    <xf numFmtId="0" fontId="54" fillId="2" borderId="12" xfId="0" applyFont="1" applyFill="1" applyBorder="1" applyAlignment="1">
      <alignment horizontal="right" vertical="center" wrapText="1"/>
    </xf>
    <xf numFmtId="0" fontId="54" fillId="2" borderId="4" xfId="0" applyFont="1" applyFill="1" applyBorder="1" applyAlignment="1">
      <alignment horizontal="right" vertical="center" wrapText="1"/>
    </xf>
    <xf numFmtId="0" fontId="0" fillId="0" borderId="0" xfId="0" pivotButton="1" applyAlignment="1">
      <alignment horizontal="left" vertical="top"/>
    </xf>
    <xf numFmtId="164" fontId="3" fillId="0" borderId="1" xfId="1" applyFont="1" applyFill="1" applyBorder="1" applyAlignment="1">
      <alignment horizontal="right" vertical="top" wrapText="1"/>
    </xf>
    <xf numFmtId="164" fontId="4" fillId="0" borderId="1" xfId="1" applyFont="1" applyFill="1" applyBorder="1" applyAlignment="1">
      <alignment horizontal="right" vertical="top" shrinkToFit="1"/>
    </xf>
    <xf numFmtId="164" fontId="3" fillId="6" borderId="1" xfId="1" applyFont="1" applyFill="1" applyBorder="1" applyAlignment="1">
      <alignment horizontal="right" vertical="top" wrapText="1"/>
    </xf>
    <xf numFmtId="164" fontId="3" fillId="3" borderId="1" xfId="1" applyFont="1" applyFill="1" applyBorder="1" applyAlignment="1">
      <alignment horizontal="right" vertical="top" wrapText="1"/>
    </xf>
    <xf numFmtId="164" fontId="4" fillId="3" borderId="1" xfId="1" applyFont="1" applyFill="1" applyBorder="1" applyAlignment="1">
      <alignment horizontal="right" vertical="top" shrinkToFit="1"/>
    </xf>
    <xf numFmtId="164" fontId="49" fillId="0" borderId="1" xfId="1" applyFont="1" applyFill="1" applyBorder="1" applyAlignment="1">
      <alignment horizontal="right" vertical="top" shrinkToFit="1"/>
    </xf>
    <xf numFmtId="164" fontId="49" fillId="0" borderId="1" xfId="1" applyFont="1" applyFill="1" applyBorder="1" applyAlignment="1">
      <alignment horizontal="right" vertical="top" wrapText="1"/>
    </xf>
    <xf numFmtId="164" fontId="2" fillId="0" borderId="1" xfId="1" applyFont="1" applyFill="1" applyBorder="1" applyAlignment="1">
      <alignment horizontal="right" vertical="top" wrapText="1"/>
    </xf>
    <xf numFmtId="164" fontId="2" fillId="0" borderId="1" xfId="1" applyFont="1" applyFill="1" applyBorder="1" applyAlignment="1">
      <alignment horizontal="left" vertical="top"/>
    </xf>
    <xf numFmtId="164" fontId="2" fillId="3" borderId="1" xfId="1" applyFont="1" applyFill="1" applyBorder="1" applyAlignment="1">
      <alignment horizontal="left" vertical="top"/>
    </xf>
    <xf numFmtId="164" fontId="2" fillId="0" borderId="1" xfId="1" applyFont="1" applyFill="1" applyBorder="1" applyAlignment="1">
      <alignment horizontal="left" vertical="top" wrapText="1"/>
    </xf>
    <xf numFmtId="164" fontId="4" fillId="0" borderId="1" xfId="1" applyFont="1" applyFill="1" applyBorder="1" applyAlignment="1">
      <alignment horizontal="right" vertical="top"/>
    </xf>
    <xf numFmtId="164" fontId="2" fillId="0" borderId="1" xfId="1" applyFont="1" applyFill="1" applyBorder="1" applyAlignment="1">
      <alignment horizontal="right" vertical="top"/>
    </xf>
    <xf numFmtId="164" fontId="4" fillId="0" borderId="1" xfId="1" applyFont="1" applyFill="1" applyBorder="1" applyAlignment="1">
      <alignment vertical="top"/>
    </xf>
    <xf numFmtId="164" fontId="2" fillId="3" borderId="1" xfId="1" applyFont="1" applyFill="1" applyBorder="1" applyAlignment="1">
      <alignment horizontal="right" vertical="top"/>
    </xf>
    <xf numFmtId="164" fontId="4" fillId="0" borderId="1" xfId="1" applyFont="1" applyFill="1" applyBorder="1" applyAlignment="1">
      <alignment horizontal="left" vertical="top" indent="1" shrinkToFit="1"/>
    </xf>
    <xf numFmtId="164" fontId="6" fillId="6" borderId="1" xfId="1" applyFont="1" applyFill="1" applyBorder="1" applyAlignment="1" applyProtection="1">
      <alignment horizontal="right" vertical="center" wrapText="1"/>
    </xf>
    <xf numFmtId="164" fontId="3" fillId="3" borderId="3" xfId="1" applyFont="1" applyFill="1" applyBorder="1" applyAlignment="1">
      <alignment horizontal="right" vertical="top" wrapText="1"/>
    </xf>
    <xf numFmtId="164" fontId="4" fillId="3" borderId="3" xfId="1" applyFont="1" applyFill="1" applyBorder="1" applyAlignment="1">
      <alignment horizontal="right" vertical="top" shrinkToFit="1"/>
    </xf>
    <xf numFmtId="164" fontId="4" fillId="0" borderId="3" xfId="1" applyFont="1" applyFill="1" applyBorder="1" applyAlignment="1">
      <alignment horizontal="right" vertical="top" shrinkToFit="1"/>
    </xf>
    <xf numFmtId="164" fontId="3" fillId="0" borderId="3" xfId="1" applyFont="1" applyFill="1" applyBorder="1" applyAlignment="1">
      <alignment horizontal="right" vertical="top" wrapText="1"/>
    </xf>
    <xf numFmtId="164" fontId="49" fillId="0" borderId="3" xfId="1" applyFont="1" applyFill="1" applyBorder="1" applyAlignment="1">
      <alignment horizontal="right" vertical="top" shrinkToFit="1"/>
    </xf>
    <xf numFmtId="164" fontId="49" fillId="0" borderId="3" xfId="1" applyFont="1" applyFill="1" applyBorder="1" applyAlignment="1">
      <alignment horizontal="right" vertical="top" wrapText="1"/>
    </xf>
    <xf numFmtId="164" fontId="3" fillId="0" borderId="4" xfId="1" applyFont="1" applyFill="1" applyBorder="1" applyAlignment="1">
      <alignment horizontal="right" vertical="top" wrapText="1"/>
    </xf>
    <xf numFmtId="164" fontId="4" fillId="0" borderId="4" xfId="1" applyFont="1" applyFill="1" applyBorder="1" applyAlignment="1">
      <alignment horizontal="right" vertical="top" shrinkToFit="1"/>
    </xf>
    <xf numFmtId="164" fontId="2" fillId="0" borderId="4" xfId="1" applyFont="1" applyFill="1" applyBorder="1" applyAlignment="1">
      <alignment horizontal="right" vertical="top" wrapText="1"/>
    </xf>
    <xf numFmtId="164" fontId="17" fillId="0" borderId="4" xfId="1" applyFont="1" applyFill="1" applyBorder="1" applyAlignment="1" applyProtection="1">
      <alignment horizontal="right" vertical="center" wrapText="1"/>
    </xf>
    <xf numFmtId="164" fontId="6" fillId="0" borderId="4" xfId="1" applyFont="1" applyFill="1" applyBorder="1" applyAlignment="1" applyProtection="1">
      <alignment horizontal="right" vertical="center" wrapText="1"/>
    </xf>
    <xf numFmtId="164" fontId="6" fillId="0" borderId="4" xfId="1" applyFont="1" applyFill="1" applyBorder="1" applyAlignment="1" applyProtection="1">
      <alignment vertical="center" wrapText="1"/>
    </xf>
    <xf numFmtId="164" fontId="6" fillId="3" borderId="4" xfId="1" applyFont="1" applyFill="1" applyBorder="1" applyAlignment="1" applyProtection="1">
      <alignment horizontal="right" vertical="center" wrapText="1"/>
    </xf>
    <xf numFmtId="164" fontId="3" fillId="0" borderId="4" xfId="1" applyFont="1" applyFill="1" applyBorder="1" applyAlignment="1" applyProtection="1">
      <alignment horizontal="right" vertical="center" wrapText="1"/>
    </xf>
    <xf numFmtId="164" fontId="51" fillId="0" borderId="4" xfId="1" applyFont="1" applyFill="1" applyBorder="1" applyAlignment="1" applyProtection="1">
      <alignment horizontal="right" vertical="center" wrapText="1"/>
    </xf>
    <xf numFmtId="164" fontId="6" fillId="0" borderId="4" xfId="1" applyFont="1" applyFill="1" applyBorder="1" applyAlignment="1" applyProtection="1">
      <alignment horizontal="center" vertical="center" wrapText="1"/>
    </xf>
    <xf numFmtId="164" fontId="6" fillId="3" borderId="4" xfId="1" applyFont="1" applyFill="1" applyBorder="1" applyAlignment="1" applyProtection="1">
      <alignment horizontal="center" vertical="center" wrapText="1"/>
    </xf>
    <xf numFmtId="164" fontId="6" fillId="6" borderId="4" xfId="1" applyFont="1" applyFill="1" applyBorder="1" applyAlignment="1" applyProtection="1">
      <alignment horizontal="center" vertical="center" wrapText="1"/>
    </xf>
    <xf numFmtId="164" fontId="6" fillId="6" borderId="4" xfId="1" applyFont="1" applyFill="1" applyBorder="1" applyAlignment="1" applyProtection="1">
      <alignment horizontal="right" vertical="center" wrapText="1"/>
    </xf>
    <xf numFmtId="164" fontId="6" fillId="2" borderId="1" xfId="1" applyFont="1" applyFill="1" applyBorder="1" applyAlignment="1" applyProtection="1">
      <alignment vertical="center" wrapText="1"/>
    </xf>
    <xf numFmtId="164" fontId="0" fillId="0" borderId="1" xfId="1" applyFont="1" applyFill="1" applyBorder="1" applyAlignment="1"/>
    <xf numFmtId="164" fontId="6" fillId="2" borderId="1" xfId="1" applyFont="1" applyFill="1" applyBorder="1" applyAlignment="1" applyProtection="1">
      <alignment horizontal="right" vertical="center" wrapText="1"/>
    </xf>
    <xf numFmtId="164" fontId="6" fillId="2" borderId="1" xfId="1" applyFont="1" applyFill="1" applyBorder="1" applyAlignment="1" applyProtection="1">
      <alignment horizontal="center" vertical="center" wrapText="1"/>
    </xf>
    <xf numFmtId="164" fontId="17" fillId="2" borderId="1" xfId="1" applyFont="1" applyFill="1" applyBorder="1" applyAlignment="1" applyProtection="1">
      <alignment horizontal="right" vertical="center" wrapText="1"/>
    </xf>
    <xf numFmtId="164" fontId="2" fillId="0" borderId="0" xfId="1" applyFont="1" applyFill="1" applyBorder="1" applyAlignment="1"/>
    <xf numFmtId="164" fontId="6" fillId="0" borderId="7" xfId="1" applyFont="1" applyFill="1" applyBorder="1" applyAlignment="1" applyProtection="1">
      <alignment horizontal="right" vertical="center" wrapText="1"/>
    </xf>
    <xf numFmtId="164" fontId="6" fillId="0" borderId="5" xfId="1" applyFont="1" applyFill="1" applyBorder="1" applyAlignment="1" applyProtection="1">
      <alignment horizontal="right" vertical="center" wrapText="1"/>
    </xf>
    <xf numFmtId="164" fontId="2" fillId="0" borderId="1" xfId="1" applyFont="1" applyFill="1" applyBorder="1" applyAlignment="1"/>
    <xf numFmtId="164" fontId="6" fillId="3" borderId="5" xfId="1" applyFont="1" applyFill="1" applyBorder="1" applyAlignment="1" applyProtection="1">
      <alignment horizontal="right" vertical="center" wrapText="1"/>
    </xf>
    <xf numFmtId="164" fontId="2" fillId="3" borderId="1" xfId="1" applyFont="1" applyFill="1" applyBorder="1" applyAlignment="1"/>
    <xf numFmtId="164" fontId="6" fillId="6" borderId="8" xfId="1" applyFont="1" applyFill="1" applyBorder="1" applyAlignment="1" applyProtection="1">
      <alignment horizontal="right" vertical="center" wrapText="1"/>
    </xf>
    <xf numFmtId="164" fontId="6" fillId="0" borderId="5" xfId="1" applyFont="1" applyFill="1" applyBorder="1" applyAlignment="1" applyProtection="1">
      <alignment vertical="center" wrapText="1"/>
    </xf>
    <xf numFmtId="164" fontId="6" fillId="0" borderId="8" xfId="1" applyFont="1" applyFill="1" applyBorder="1" applyAlignment="1" applyProtection="1">
      <alignment horizontal="right" vertical="center" wrapText="1"/>
    </xf>
    <xf numFmtId="164" fontId="18" fillId="2" borderId="4" xfId="1" applyFont="1" applyFill="1" applyBorder="1" applyAlignment="1" applyProtection="1">
      <alignment horizontal="center" vertical="center" wrapText="1"/>
    </xf>
    <xf numFmtId="164" fontId="18" fillId="2" borderId="4" xfId="1" applyFont="1" applyFill="1" applyBorder="1" applyAlignment="1" applyProtection="1">
      <alignment horizontal="right" vertical="center" wrapText="1"/>
    </xf>
    <xf numFmtId="164" fontId="0" fillId="0" borderId="7" xfId="1" applyFont="1" applyFill="1" applyBorder="1" applyAlignment="1"/>
    <xf numFmtId="164" fontId="6" fillId="2" borderId="5" xfId="1" applyFont="1" applyFill="1" applyBorder="1" applyAlignment="1" applyProtection="1">
      <alignment horizontal="right" vertical="center" wrapText="1"/>
    </xf>
    <xf numFmtId="164" fontId="6" fillId="2" borderId="4" xfId="1" applyFont="1" applyFill="1" applyBorder="1" applyAlignment="1" applyProtection="1">
      <alignment horizontal="center" vertical="center" wrapText="1"/>
    </xf>
    <xf numFmtId="164" fontId="6" fillId="2" borderId="15" xfId="1" applyFont="1" applyFill="1" applyBorder="1" applyAlignment="1" applyProtection="1">
      <alignment horizontal="right" vertical="center" wrapText="1"/>
    </xf>
    <xf numFmtId="164" fontId="6" fillId="2" borderId="9" xfId="1" applyFont="1" applyFill="1" applyBorder="1" applyAlignment="1" applyProtection="1">
      <alignment horizontal="right" vertical="center" wrapText="1"/>
    </xf>
    <xf numFmtId="164" fontId="0" fillId="6" borderId="13" xfId="1" applyFont="1" applyFill="1" applyBorder="1" applyAlignment="1"/>
    <xf numFmtId="164" fontId="17" fillId="2" borderId="4" xfId="1" applyFont="1" applyFill="1" applyBorder="1" applyAlignment="1" applyProtection="1">
      <alignment horizontal="center" vertical="center" wrapText="1"/>
    </xf>
    <xf numFmtId="164" fontId="17" fillId="2" borderId="4" xfId="1" applyFont="1" applyFill="1" applyBorder="1" applyAlignment="1" applyProtection="1">
      <alignment horizontal="right" vertical="center" wrapText="1"/>
    </xf>
    <xf numFmtId="164" fontId="17" fillId="6" borderId="4" xfId="1" applyFont="1" applyFill="1" applyBorder="1" applyAlignment="1" applyProtection="1">
      <alignment horizontal="right" vertical="center" wrapText="1"/>
    </xf>
    <xf numFmtId="164" fontId="17" fillId="2" borderId="5" xfId="1" applyFont="1" applyFill="1" applyBorder="1" applyAlignment="1" applyProtection="1">
      <alignment horizontal="right" vertical="center" wrapText="1"/>
    </xf>
    <xf numFmtId="164" fontId="4" fillId="0" borderId="1" xfId="1" applyFont="1" applyFill="1" applyBorder="1" applyAlignment="1"/>
    <xf numFmtId="164" fontId="17" fillId="6" borderId="5" xfId="1" applyFont="1" applyFill="1" applyBorder="1" applyAlignment="1" applyProtection="1">
      <alignment horizontal="right" vertical="center" wrapText="1"/>
    </xf>
    <xf numFmtId="164" fontId="4" fillId="6" borderId="1" xfId="1" applyFont="1" applyFill="1" applyBorder="1" applyAlignment="1"/>
    <xf numFmtId="164" fontId="4" fillId="0" borderId="13" xfId="1" applyFont="1" applyFill="1" applyBorder="1" applyAlignment="1"/>
    <xf numFmtId="164" fontId="17" fillId="6" borderId="4" xfId="1" applyFont="1" applyFill="1" applyBorder="1" applyAlignment="1" applyProtection="1">
      <alignment horizontal="center" vertical="center" wrapText="1"/>
    </xf>
    <xf numFmtId="164" fontId="3" fillId="2" borderId="4" xfId="1" applyFont="1" applyFill="1" applyBorder="1" applyAlignment="1" applyProtection="1">
      <alignment horizontal="center" vertical="center" wrapText="1"/>
    </xf>
    <xf numFmtId="164" fontId="3" fillId="2" borderId="4" xfId="1" applyFont="1" applyFill="1" applyBorder="1" applyAlignment="1" applyProtection="1">
      <alignment horizontal="right" vertical="center" wrapText="1"/>
    </xf>
    <xf numFmtId="164" fontId="3" fillId="6" borderId="4" xfId="1" applyFont="1" applyFill="1" applyBorder="1" applyAlignment="1" applyProtection="1">
      <alignment horizontal="center" vertical="center" wrapText="1"/>
    </xf>
    <xf numFmtId="164" fontId="3" fillId="6" borderId="4" xfId="1" applyFont="1" applyFill="1" applyBorder="1" applyAlignment="1" applyProtection="1">
      <alignment horizontal="right" vertical="center" wrapText="1"/>
    </xf>
    <xf numFmtId="164" fontId="4" fillId="6" borderId="14" xfId="1" applyFont="1" applyFill="1" applyBorder="1" applyAlignment="1"/>
    <xf numFmtId="164" fontId="4" fillId="0" borderId="0" xfId="1" applyFont="1" applyFill="1" applyBorder="1" applyAlignment="1"/>
    <xf numFmtId="164" fontId="6" fillId="2" borderId="4" xfId="1" applyFont="1" applyFill="1" applyBorder="1" applyAlignment="1" applyProtection="1">
      <alignment horizontal="right" vertical="center" wrapText="1"/>
    </xf>
    <xf numFmtId="164" fontId="6" fillId="2" borderId="7" xfId="1" applyFont="1" applyFill="1" applyBorder="1" applyAlignment="1" applyProtection="1">
      <alignment horizontal="right" vertical="center" wrapText="1"/>
    </xf>
    <xf numFmtId="164" fontId="6" fillId="6" borderId="5" xfId="1" applyFont="1" applyFill="1" applyBorder="1" applyAlignment="1" applyProtection="1">
      <alignment horizontal="right" vertical="center" wrapText="1"/>
    </xf>
    <xf numFmtId="164" fontId="0" fillId="6" borderId="1" xfId="1" applyFont="1" applyFill="1" applyBorder="1" applyAlignment="1"/>
    <xf numFmtId="164" fontId="17" fillId="0" borderId="4" xfId="1" applyFont="1" applyFill="1" applyBorder="1" applyAlignment="1" applyProtection="1">
      <alignment horizontal="center" vertical="center" wrapText="1"/>
    </xf>
    <xf numFmtId="164" fontId="17" fillId="0" borderId="8" xfId="1" applyFont="1" applyFill="1" applyBorder="1" applyAlignment="1" applyProtection="1">
      <alignment horizontal="right" vertical="center" wrapText="1"/>
    </xf>
    <xf numFmtId="164" fontId="20" fillId="2" borderId="4" xfId="1" applyFont="1" applyFill="1" applyBorder="1" applyAlignment="1" applyProtection="1">
      <alignment horizontal="right" vertical="center" wrapText="1"/>
    </xf>
    <xf numFmtId="164" fontId="0" fillId="0" borderId="0" xfId="1" applyFont="1" applyFill="1" applyBorder="1" applyAlignment="1"/>
    <xf numFmtId="164" fontId="20" fillId="2" borderId="4" xfId="1" applyFont="1" applyFill="1" applyBorder="1" applyAlignment="1" applyProtection="1">
      <alignment horizontal="center" vertical="center" wrapText="1"/>
    </xf>
    <xf numFmtId="164" fontId="20" fillId="6" borderId="4" xfId="1" applyFont="1" applyFill="1" applyBorder="1" applyAlignment="1" applyProtection="1">
      <alignment horizontal="right" vertical="center" wrapText="1"/>
    </xf>
    <xf numFmtId="164" fontId="17" fillId="0" borderId="5" xfId="1" applyFont="1" applyFill="1" applyBorder="1" applyAlignment="1" applyProtection="1">
      <alignment horizontal="right" vertical="center" wrapText="1"/>
    </xf>
    <xf numFmtId="164" fontId="21" fillId="2" borderId="4" xfId="1" applyFont="1" applyFill="1" applyBorder="1" applyAlignment="1" applyProtection="1">
      <alignment horizontal="center" vertical="center" wrapText="1"/>
    </xf>
    <xf numFmtId="164" fontId="21" fillId="2" borderId="4" xfId="1" applyFont="1" applyFill="1" applyBorder="1" applyAlignment="1" applyProtection="1">
      <alignment horizontal="right" vertical="center" wrapText="1"/>
    </xf>
    <xf numFmtId="164" fontId="0" fillId="0" borderId="13" xfId="1" applyFont="1" applyFill="1" applyBorder="1" applyAlignment="1"/>
    <xf numFmtId="164" fontId="21" fillId="6" borderId="4" xfId="1" applyFont="1" applyFill="1" applyBorder="1" applyAlignment="1" applyProtection="1">
      <alignment horizontal="center" vertical="center" wrapText="1"/>
    </xf>
    <xf numFmtId="164" fontId="21" fillId="6" borderId="4" xfId="1" applyFont="1" applyFill="1" applyBorder="1" applyAlignment="1" applyProtection="1">
      <alignment horizontal="right" vertical="center" wrapText="1"/>
    </xf>
    <xf numFmtId="164" fontId="6" fillId="2" borderId="5" xfId="1" applyFont="1" applyFill="1" applyBorder="1" applyAlignment="1" applyProtection="1">
      <alignment horizontal="center" vertical="center" wrapText="1"/>
    </xf>
    <xf numFmtId="164" fontId="22" fillId="6" borderId="4" xfId="1" applyFont="1" applyFill="1" applyBorder="1" applyAlignment="1" applyProtection="1">
      <alignment horizontal="center" vertical="center" wrapText="1"/>
    </xf>
    <xf numFmtId="164" fontId="22" fillId="6" borderId="4" xfId="1" applyFont="1" applyFill="1" applyBorder="1" applyAlignment="1" applyProtection="1">
      <alignment horizontal="right" vertical="center" wrapText="1"/>
    </xf>
    <xf numFmtId="164" fontId="23" fillId="2" borderId="4" xfId="1" applyFont="1" applyFill="1" applyBorder="1" applyAlignment="1" applyProtection="1">
      <alignment horizontal="center" vertical="center" wrapText="1"/>
    </xf>
    <xf numFmtId="164" fontId="23" fillId="2" borderId="4" xfId="1" applyFont="1" applyFill="1" applyBorder="1" applyAlignment="1" applyProtection="1">
      <alignment horizontal="right" vertical="center" wrapText="1"/>
    </xf>
    <xf numFmtId="164" fontId="23" fillId="2" borderId="5" xfId="1" applyFont="1" applyFill="1" applyBorder="1" applyAlignment="1" applyProtection="1">
      <alignment horizontal="right" vertical="center" wrapText="1"/>
    </xf>
    <xf numFmtId="164" fontId="24" fillId="2" borderId="4" xfId="1" applyFont="1" applyFill="1" applyBorder="1" applyAlignment="1" applyProtection="1">
      <alignment horizontal="center" vertical="center" wrapText="1"/>
    </xf>
    <xf numFmtId="164" fontId="24" fillId="2" borderId="4" xfId="1" applyFont="1" applyFill="1" applyBorder="1" applyAlignment="1" applyProtection="1">
      <alignment horizontal="right" vertical="center" wrapText="1"/>
    </xf>
    <xf numFmtId="164" fontId="25" fillId="2" borderId="4" xfId="1" applyFont="1" applyFill="1" applyBorder="1" applyAlignment="1" applyProtection="1">
      <alignment horizontal="center" vertical="center" wrapText="1"/>
    </xf>
    <xf numFmtId="164" fontId="25" fillId="2" borderId="4" xfId="1" applyFont="1" applyFill="1" applyBorder="1" applyAlignment="1" applyProtection="1">
      <alignment horizontal="right" vertical="center" wrapText="1"/>
    </xf>
    <xf numFmtId="164" fontId="26" fillId="2" borderId="5" xfId="1" applyFont="1" applyFill="1" applyBorder="1" applyAlignment="1" applyProtection="1">
      <alignment horizontal="right" vertical="center" wrapText="1"/>
    </xf>
    <xf numFmtId="164" fontId="6" fillId="6" borderId="5" xfId="1" applyFont="1" applyFill="1" applyBorder="1" applyAlignment="1" applyProtection="1">
      <alignment horizontal="center" vertical="center" wrapText="1"/>
    </xf>
    <xf numFmtId="164" fontId="27" fillId="2" borderId="4" xfId="1" applyFont="1" applyFill="1" applyBorder="1" applyAlignment="1" applyProtection="1">
      <alignment horizontal="center" vertical="center" wrapText="1"/>
    </xf>
    <xf numFmtId="164" fontId="27" fillId="2" borderId="7" xfId="1" applyFont="1" applyFill="1" applyBorder="1" applyAlignment="1" applyProtection="1">
      <alignment horizontal="right" vertical="center" wrapText="1"/>
    </xf>
    <xf numFmtId="164" fontId="27" fillId="2" borderId="5" xfId="1" applyFont="1" applyFill="1" applyBorder="1" applyAlignment="1" applyProtection="1">
      <alignment horizontal="right" vertical="center" wrapText="1"/>
    </xf>
    <xf numFmtId="164" fontId="27" fillId="6" borderId="5" xfId="1" applyFont="1" applyFill="1" applyBorder="1" applyAlignment="1" applyProtection="1">
      <alignment horizontal="right" vertical="center" wrapText="1"/>
    </xf>
    <xf numFmtId="164" fontId="27" fillId="2" borderId="4" xfId="1" applyFont="1" applyFill="1" applyBorder="1" applyAlignment="1" applyProtection="1">
      <alignment horizontal="right" vertical="center" wrapText="1"/>
    </xf>
    <xf numFmtId="164" fontId="28" fillId="2" borderId="4" xfId="1" applyFont="1" applyFill="1" applyBorder="1" applyAlignment="1" applyProtection="1">
      <alignment horizontal="center" vertical="center" wrapText="1"/>
    </xf>
    <xf numFmtId="164" fontId="28" fillId="2" borderId="4" xfId="1" applyFont="1" applyFill="1" applyBorder="1" applyAlignment="1" applyProtection="1">
      <alignment horizontal="right" vertical="center" wrapText="1"/>
    </xf>
    <xf numFmtId="164" fontId="29" fillId="2" borderId="4" xfId="1" applyFont="1" applyFill="1" applyBorder="1" applyAlignment="1" applyProtection="1">
      <alignment horizontal="right" vertical="center" wrapText="1"/>
    </xf>
    <xf numFmtId="164" fontId="29" fillId="2" borderId="4" xfId="1" applyFont="1" applyFill="1" applyBorder="1" applyAlignment="1" applyProtection="1">
      <alignment horizontal="center" vertical="center" wrapText="1"/>
    </xf>
    <xf numFmtId="164" fontId="29" fillId="2" borderId="7" xfId="1" applyFont="1" applyFill="1" applyBorder="1" applyAlignment="1" applyProtection="1">
      <alignment horizontal="right" vertical="center" wrapText="1"/>
    </xf>
    <xf numFmtId="164" fontId="29" fillId="2" borderId="5" xfId="1" applyFont="1" applyFill="1" applyBorder="1" applyAlignment="1" applyProtection="1">
      <alignment horizontal="right" vertical="center" wrapText="1"/>
    </xf>
    <xf numFmtId="164" fontId="29" fillId="2" borderId="5" xfId="1" applyFont="1" applyFill="1" applyBorder="1" applyAlignment="1" applyProtection="1">
      <alignment horizontal="center" vertical="center" wrapText="1"/>
    </xf>
    <xf numFmtId="164" fontId="29" fillId="2" borderId="1" xfId="1" applyFont="1" applyFill="1" applyBorder="1" applyAlignment="1" applyProtection="1">
      <alignment horizontal="right" vertical="center" wrapText="1"/>
    </xf>
    <xf numFmtId="164" fontId="30" fillId="2" borderId="5" xfId="1" applyFont="1" applyFill="1" applyBorder="1" applyAlignment="1" applyProtection="1">
      <alignment horizontal="right" vertical="center" wrapText="1"/>
    </xf>
    <xf numFmtId="164" fontId="31" fillId="2" borderId="4" xfId="1" applyFont="1" applyFill="1" applyBorder="1" applyAlignment="1" applyProtection="1">
      <alignment horizontal="center" vertical="center" wrapText="1"/>
    </xf>
    <xf numFmtId="164" fontId="31" fillId="2" borderId="9" xfId="1" applyFont="1" applyFill="1" applyBorder="1" applyAlignment="1" applyProtection="1">
      <alignment horizontal="right" vertical="center" wrapText="1"/>
    </xf>
    <xf numFmtId="164" fontId="31" fillId="2" borderId="4" xfId="1" applyFont="1" applyFill="1" applyBorder="1" applyAlignment="1" applyProtection="1">
      <alignment horizontal="right" vertical="center" wrapText="1"/>
    </xf>
    <xf numFmtId="164" fontId="32" fillId="2" borderId="4" xfId="1" applyFont="1" applyFill="1" applyBorder="1" applyAlignment="1" applyProtection="1">
      <alignment horizontal="right" vertical="center" wrapText="1"/>
    </xf>
    <xf numFmtId="164" fontId="32" fillId="2" borderId="5" xfId="1" applyFont="1" applyFill="1" applyBorder="1" applyAlignment="1" applyProtection="1">
      <alignment horizontal="right" vertical="center" wrapText="1"/>
    </xf>
    <xf numFmtId="164" fontId="33" fillId="2" borderId="5" xfId="1" applyFont="1" applyFill="1" applyBorder="1" applyAlignment="1" applyProtection="1">
      <alignment horizontal="right" vertical="center" wrapText="1"/>
    </xf>
    <xf numFmtId="164" fontId="34" fillId="2" borderId="5" xfId="1" applyFont="1" applyFill="1" applyBorder="1" applyAlignment="1" applyProtection="1">
      <alignment horizontal="right" vertical="center" wrapText="1"/>
    </xf>
    <xf numFmtId="164" fontId="33" fillId="6" borderId="5" xfId="1" applyFont="1" applyFill="1" applyBorder="1" applyAlignment="1" applyProtection="1">
      <alignment horizontal="right" vertical="center" wrapText="1"/>
    </xf>
    <xf numFmtId="164" fontId="33" fillId="6" borderId="4" xfId="1" applyFont="1" applyFill="1" applyBorder="1" applyAlignment="1" applyProtection="1">
      <alignment horizontal="center" vertical="center" wrapText="1"/>
    </xf>
    <xf numFmtId="164" fontId="33" fillId="6" borderId="9" xfId="1" applyFont="1" applyFill="1" applyBorder="1" applyAlignment="1" applyProtection="1">
      <alignment horizontal="right" vertical="center" wrapText="1"/>
    </xf>
    <xf numFmtId="164" fontId="33" fillId="6" borderId="4" xfId="1" applyFont="1" applyFill="1" applyBorder="1" applyAlignment="1" applyProtection="1">
      <alignment horizontal="right" vertical="center" wrapText="1"/>
    </xf>
    <xf numFmtId="164" fontId="0" fillId="6" borderId="0" xfId="1" applyFont="1" applyFill="1" applyBorder="1" applyAlignment="1"/>
    <xf numFmtId="164" fontId="33" fillId="6" borderId="7" xfId="1" applyFont="1" applyFill="1" applyBorder="1" applyAlignment="1" applyProtection="1">
      <alignment horizontal="right" vertical="center" wrapText="1"/>
    </xf>
    <xf numFmtId="164" fontId="35" fillId="2" borderId="5" xfId="1" applyFont="1" applyFill="1" applyBorder="1" applyAlignment="1" applyProtection="1">
      <alignment horizontal="right" vertical="center" wrapText="1"/>
    </xf>
    <xf numFmtId="164" fontId="35" fillId="2" borderId="5" xfId="1" applyFont="1" applyFill="1" applyBorder="1" applyAlignment="1" applyProtection="1">
      <alignment horizontal="center" vertical="center" wrapText="1"/>
    </xf>
    <xf numFmtId="164" fontId="35" fillId="2" borderId="1" xfId="1" applyFont="1" applyFill="1" applyBorder="1" applyAlignment="1" applyProtection="1">
      <alignment horizontal="right" vertical="center" wrapText="1"/>
    </xf>
    <xf numFmtId="164" fontId="36" fillId="2" borderId="5" xfId="1" applyFont="1" applyFill="1" applyBorder="1" applyAlignment="1" applyProtection="1">
      <alignment horizontal="center" vertical="center" wrapText="1"/>
    </xf>
    <xf numFmtId="164" fontId="36" fillId="2" borderId="1" xfId="1" applyFont="1" applyFill="1" applyBorder="1" applyAlignment="1" applyProtection="1">
      <alignment horizontal="right" vertical="center" wrapText="1"/>
    </xf>
    <xf numFmtId="164" fontId="36" fillId="2" borderId="5" xfId="1" applyFont="1" applyFill="1" applyBorder="1" applyAlignment="1" applyProtection="1">
      <alignment horizontal="right" vertical="center" wrapText="1"/>
    </xf>
    <xf numFmtId="164" fontId="37" fillId="2" borderId="5" xfId="1" applyFont="1" applyFill="1" applyBorder="1" applyAlignment="1" applyProtection="1">
      <alignment horizontal="right" vertical="center" wrapText="1"/>
    </xf>
    <xf numFmtId="164" fontId="38" fillId="2" borderId="4" xfId="1" applyFont="1" applyFill="1" applyBorder="1" applyAlignment="1" applyProtection="1">
      <alignment horizontal="center" vertical="center" wrapText="1"/>
    </xf>
    <xf numFmtId="164" fontId="38" fillId="2" borderId="9" xfId="1" applyFont="1" applyFill="1" applyBorder="1" applyAlignment="1" applyProtection="1">
      <alignment horizontal="right" vertical="center" wrapText="1"/>
    </xf>
    <xf numFmtId="164" fontId="38" fillId="2" borderId="4" xfId="1" applyFont="1" applyFill="1" applyBorder="1" applyAlignment="1" applyProtection="1">
      <alignment horizontal="right" vertical="center" wrapText="1"/>
    </xf>
    <xf numFmtId="164" fontId="38" fillId="2" borderId="5" xfId="1" applyFont="1" applyFill="1" applyBorder="1" applyAlignment="1" applyProtection="1">
      <alignment horizontal="right" vertical="center" wrapText="1"/>
    </xf>
    <xf numFmtId="164" fontId="39" fillId="2" borderId="5" xfId="1" applyFont="1" applyFill="1" applyBorder="1" applyAlignment="1" applyProtection="1">
      <alignment horizontal="right" vertical="center" wrapText="1"/>
    </xf>
    <xf numFmtId="164" fontId="40" fillId="2" borderId="4" xfId="1" applyFont="1" applyFill="1" applyBorder="1" applyAlignment="1" applyProtection="1">
      <alignment horizontal="center" vertical="center" wrapText="1"/>
    </xf>
    <xf numFmtId="164" fontId="40" fillId="2" borderId="7" xfId="1" applyFont="1" applyFill="1" applyBorder="1" applyAlignment="1" applyProtection="1">
      <alignment horizontal="right" vertical="center" wrapText="1"/>
    </xf>
    <xf numFmtId="164" fontId="40" fillId="2" borderId="5" xfId="1" applyFont="1" applyFill="1" applyBorder="1" applyAlignment="1" applyProtection="1">
      <alignment horizontal="right" vertical="center" wrapText="1"/>
    </xf>
    <xf numFmtId="164" fontId="40" fillId="2" borderId="9" xfId="1" applyFont="1" applyFill="1" applyBorder="1" applyAlignment="1" applyProtection="1">
      <alignment horizontal="right" vertical="center" wrapText="1"/>
    </xf>
    <xf numFmtId="164" fontId="40" fillId="2" borderId="4" xfId="1" applyFont="1" applyFill="1" applyBorder="1" applyAlignment="1" applyProtection="1">
      <alignment horizontal="right" vertical="center" wrapText="1"/>
    </xf>
    <xf numFmtId="164" fontId="41" fillId="2" borderId="4" xfId="1" applyFont="1" applyFill="1" applyBorder="1" applyAlignment="1" applyProtection="1">
      <alignment horizontal="center" vertical="center" wrapText="1"/>
    </xf>
    <xf numFmtId="164" fontId="41" fillId="2" borderId="7" xfId="1" applyFont="1" applyFill="1" applyBorder="1" applyAlignment="1" applyProtection="1">
      <alignment horizontal="right" vertical="center" wrapText="1"/>
    </xf>
    <xf numFmtId="164" fontId="41" fillId="2" borderId="5" xfId="1" applyFont="1" applyFill="1" applyBorder="1" applyAlignment="1" applyProtection="1">
      <alignment horizontal="right" vertical="center" wrapText="1"/>
    </xf>
    <xf numFmtId="164" fontId="15" fillId="2" borderId="5" xfId="1" applyFont="1" applyFill="1" applyBorder="1" applyAlignment="1" applyProtection="1">
      <alignment horizontal="right" vertical="center" wrapText="1"/>
    </xf>
    <xf numFmtId="164" fontId="43" fillId="0" borderId="1" xfId="1" applyFont="1" applyFill="1" applyBorder="1" applyAlignment="1"/>
    <xf numFmtId="164" fontId="42" fillId="2" borderId="5" xfId="1" applyFont="1" applyFill="1" applyBorder="1" applyAlignment="1" applyProtection="1">
      <alignment horizontal="right" vertical="center" wrapText="1"/>
    </xf>
    <xf numFmtId="164" fontId="42" fillId="2" borderId="4" xfId="1" applyFont="1" applyFill="1" applyBorder="1" applyAlignment="1" applyProtection="1">
      <alignment horizontal="center" vertical="center" wrapText="1"/>
    </xf>
    <xf numFmtId="164" fontId="42" fillId="2" borderId="9" xfId="1" applyFont="1" applyFill="1" applyBorder="1" applyAlignment="1" applyProtection="1">
      <alignment horizontal="right" vertical="center" wrapText="1"/>
    </xf>
    <xf numFmtId="164" fontId="45" fillId="2" borderId="5" xfId="1" applyFont="1" applyFill="1" applyBorder="1" applyAlignment="1" applyProtection="1">
      <alignment horizontal="right" vertical="center" wrapText="1"/>
    </xf>
    <xf numFmtId="164" fontId="45" fillId="2" borderId="4" xfId="1" applyFont="1" applyFill="1" applyBorder="1" applyAlignment="1" applyProtection="1">
      <alignment horizontal="center" vertical="center" wrapText="1"/>
    </xf>
    <xf numFmtId="164" fontId="45" fillId="2" borderId="9" xfId="1" applyFont="1" applyFill="1" applyBorder="1" applyAlignment="1" applyProtection="1">
      <alignment horizontal="right" vertical="center" wrapText="1"/>
    </xf>
    <xf numFmtId="164" fontId="45" fillId="2" borderId="4" xfId="1" applyFont="1" applyFill="1" applyBorder="1" applyAlignment="1" applyProtection="1">
      <alignment horizontal="right" vertical="center" wrapText="1"/>
    </xf>
    <xf numFmtId="164" fontId="45" fillId="2" borderId="7" xfId="1" applyFont="1" applyFill="1" applyBorder="1" applyAlignment="1" applyProtection="1">
      <alignment horizontal="right" vertical="center" wrapText="1"/>
    </xf>
    <xf numFmtId="164" fontId="45" fillId="2" borderId="5" xfId="1" applyFont="1" applyFill="1" applyBorder="1" applyAlignment="1" applyProtection="1">
      <alignment horizontal="center" vertical="center" wrapText="1"/>
    </xf>
    <xf numFmtId="164" fontId="45" fillId="2" borderId="1" xfId="1" applyFont="1" applyFill="1" applyBorder="1" applyAlignment="1" applyProtection="1">
      <alignment horizontal="right" vertical="center" wrapText="1"/>
    </xf>
    <xf numFmtId="164" fontId="46" fillId="2" borderId="4" xfId="1" applyFont="1" applyFill="1" applyBorder="1" applyAlignment="1" applyProtection="1">
      <alignment horizontal="right" vertical="center" wrapText="1"/>
    </xf>
    <xf numFmtId="164" fontId="47" fillId="2" borderId="5" xfId="1" applyFont="1" applyFill="1" applyBorder="1" applyAlignment="1" applyProtection="1">
      <alignment horizontal="right" vertical="center" wrapText="1"/>
    </xf>
    <xf numFmtId="164" fontId="46" fillId="0" borderId="1" xfId="1" applyFont="1" applyFill="1" applyBorder="1" applyAlignment="1"/>
    <xf numFmtId="164" fontId="46" fillId="2" borderId="4" xfId="1" applyFont="1" applyFill="1" applyBorder="1" applyAlignment="1" applyProtection="1">
      <alignment horizontal="center" vertical="center" wrapText="1"/>
    </xf>
    <xf numFmtId="164" fontId="47" fillId="4" borderId="5" xfId="1" applyFont="1" applyFill="1" applyBorder="1" applyAlignment="1" applyProtection="1">
      <alignment horizontal="right" vertical="center" wrapText="1"/>
    </xf>
    <xf numFmtId="164" fontId="46" fillId="4" borderId="1" xfId="1" applyFont="1" applyFill="1" applyBorder="1" applyAlignment="1"/>
    <xf numFmtId="164" fontId="47" fillId="4" borderId="4" xfId="1" applyFont="1" applyFill="1" applyBorder="1" applyAlignment="1" applyProtection="1">
      <alignment horizontal="center" vertical="center" wrapText="1"/>
    </xf>
    <xf numFmtId="164" fontId="47" fillId="4" borderId="9" xfId="1" applyFont="1" applyFill="1" applyBorder="1" applyAlignment="1" applyProtection="1">
      <alignment horizontal="right" vertical="center" wrapText="1"/>
    </xf>
    <xf numFmtId="164" fontId="48" fillId="0" borderId="1" xfId="1" applyFont="1" applyFill="1" applyBorder="1" applyAlignment="1"/>
    <xf numFmtId="164" fontId="47" fillId="2" borderId="5" xfId="1" applyFont="1" applyFill="1" applyBorder="1" applyAlignment="1" applyProtection="1">
      <alignment horizontal="center" vertical="center" wrapText="1"/>
    </xf>
    <xf numFmtId="164" fontId="47" fillId="2" borderId="1" xfId="1" applyFont="1" applyFill="1" applyBorder="1" applyAlignment="1" applyProtection="1">
      <alignment horizontal="right" vertical="center" wrapText="1"/>
    </xf>
    <xf numFmtId="164" fontId="47" fillId="2" borderId="4" xfId="1" applyFont="1" applyFill="1" applyBorder="1" applyAlignment="1" applyProtection="1">
      <alignment horizontal="right" vertical="center" wrapText="1"/>
    </xf>
    <xf numFmtId="164" fontId="46" fillId="0" borderId="0" xfId="1" applyFont="1" applyFill="1" applyBorder="1" applyAlignment="1"/>
    <xf numFmtId="164" fontId="47" fillId="2" borderId="4" xfId="1" applyFont="1" applyFill="1" applyBorder="1" applyAlignment="1" applyProtection="1">
      <alignment horizontal="center" vertical="center" wrapText="1"/>
    </xf>
    <xf numFmtId="164" fontId="46" fillId="2" borderId="7" xfId="1" applyFont="1" applyFill="1" applyBorder="1" applyAlignment="1" applyProtection="1">
      <alignment horizontal="right" vertical="center" wrapText="1"/>
    </xf>
    <xf numFmtId="164" fontId="52" fillId="2" borderId="5" xfId="1" applyFont="1" applyFill="1" applyBorder="1" applyAlignment="1">
      <alignment horizontal="right" vertical="center" wrapText="1"/>
    </xf>
    <xf numFmtId="164" fontId="53" fillId="0" borderId="1" xfId="1" applyFont="1" applyBorder="1"/>
    <xf numFmtId="164" fontId="53" fillId="0" borderId="2" xfId="1" applyFont="1" applyBorder="1"/>
    <xf numFmtId="164" fontId="55" fillId="2" borderId="5" xfId="1" applyFont="1" applyFill="1" applyBorder="1" applyAlignment="1">
      <alignment horizontal="right" vertical="center" wrapText="1"/>
    </xf>
    <xf numFmtId="164" fontId="55" fillId="2" borderId="4" xfId="1" applyFont="1" applyFill="1" applyBorder="1" applyAlignment="1">
      <alignment horizontal="right" vertical="center" wrapText="1"/>
    </xf>
    <xf numFmtId="164" fontId="55" fillId="2" borderId="7" xfId="1" applyFont="1" applyFill="1" applyBorder="1" applyAlignment="1">
      <alignment horizontal="center" vertical="center" wrapText="1"/>
    </xf>
    <xf numFmtId="164" fontId="55" fillId="2" borderId="7" xfId="1" applyFont="1" applyFill="1" applyBorder="1" applyAlignment="1">
      <alignment horizontal="right" vertical="center" wrapText="1"/>
    </xf>
    <xf numFmtId="164" fontId="55" fillId="2" borderId="1" xfId="1" applyFont="1" applyFill="1" applyBorder="1" applyAlignment="1">
      <alignment horizontal="right" vertical="center" wrapText="1"/>
    </xf>
    <xf numFmtId="164" fontId="0" fillId="0" borderId="1" xfId="1" applyFont="1" applyBorder="1"/>
    <xf numFmtId="164" fontId="55" fillId="2" borderId="1" xfId="1" applyFont="1" applyFill="1" applyBorder="1" applyAlignment="1">
      <alignment horizontal="center" vertical="center" wrapText="1"/>
    </xf>
    <xf numFmtId="164" fontId="55" fillId="2" borderId="4" xfId="1" applyFont="1" applyFill="1" applyBorder="1" applyAlignment="1">
      <alignment horizontal="center" vertical="center" wrapText="1"/>
    </xf>
    <xf numFmtId="164" fontId="2" fillId="0" borderId="0" xfId="1" applyFont="1" applyFill="1" applyBorder="1" applyAlignment="1">
      <alignment horizontal="left" vertical="top"/>
    </xf>
    <xf numFmtId="164" fontId="0" fillId="0" borderId="0" xfId="1" applyFont="1" applyFill="1" applyBorder="1" applyAlignment="1">
      <alignment horizontal="left" vertical="top"/>
    </xf>
    <xf numFmtId="0" fontId="50" fillId="0" borderId="1" xfId="0" applyFont="1" applyBorder="1" applyAlignment="1">
      <alignment horizontal="left" vertical="top"/>
    </xf>
    <xf numFmtId="2" fontId="49" fillId="0" borderId="1" xfId="0" applyNumberFormat="1" applyFont="1" applyBorder="1" applyAlignment="1">
      <alignment horizontal="right" vertical="top" shrinkToFit="1"/>
    </xf>
    <xf numFmtId="0" fontId="50" fillId="0" borderId="1" xfId="0" applyFont="1" applyBorder="1" applyAlignment="1">
      <alignment horizontal="right" vertical="top" wrapText="1"/>
    </xf>
    <xf numFmtId="164" fontId="50" fillId="0" borderId="1" xfId="1" applyFont="1" applyFill="1" applyBorder="1" applyAlignment="1">
      <alignment horizontal="left" vertical="top"/>
    </xf>
    <xf numFmtId="0" fontId="51" fillId="2" borderId="5" xfId="0" applyFont="1" applyFill="1" applyBorder="1" applyAlignment="1">
      <alignment horizontal="right" vertical="center" wrapText="1"/>
    </xf>
    <xf numFmtId="164" fontId="51" fillId="2" borderId="5" xfId="1" applyFont="1" applyFill="1" applyBorder="1" applyAlignment="1" applyProtection="1">
      <alignment horizontal="right" vertical="center" wrapText="1"/>
    </xf>
    <xf numFmtId="164" fontId="56" fillId="0" borderId="1" xfId="1" applyFont="1" applyFill="1" applyBorder="1" applyAlignment="1"/>
    <xf numFmtId="0" fontId="51" fillId="2" borderId="11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left" vertical="center" wrapText="1"/>
    </xf>
    <xf numFmtId="164" fontId="1" fillId="2" borderId="5" xfId="1" applyFont="1" applyFill="1" applyBorder="1" applyAlignment="1" applyProtection="1">
      <alignment horizontal="right" vertical="center" wrapText="1"/>
    </xf>
    <xf numFmtId="164" fontId="1" fillId="0" borderId="1" xfId="1" applyFont="1" applyFill="1" applyBorder="1" applyAlignment="1"/>
    <xf numFmtId="0" fontId="1" fillId="2" borderId="11" xfId="0" applyFont="1" applyFill="1" applyBorder="1" applyAlignment="1">
      <alignment horizontal="right" vertical="center" wrapText="1"/>
    </xf>
    <xf numFmtId="0" fontId="55" fillId="2" borderId="4" xfId="0" applyFont="1" applyFill="1" applyBorder="1" applyAlignment="1">
      <alignment horizontal="center" vertical="center" wrapText="1"/>
    </xf>
    <xf numFmtId="0" fontId="55" fillId="2" borderId="4" xfId="0" applyFont="1" applyFill="1" applyBorder="1" applyAlignment="1">
      <alignment horizontal="right" vertical="center" wrapText="1"/>
    </xf>
    <xf numFmtId="0" fontId="57" fillId="0" borderId="0" xfId="0" applyFont="1" applyAlignment="1">
      <alignment horizontal="left" vertical="top"/>
    </xf>
    <xf numFmtId="0" fontId="57" fillId="0" borderId="1" xfId="0" applyFont="1" applyBorder="1" applyAlignment="1">
      <alignment vertical="top" wrapText="1"/>
    </xf>
    <xf numFmtId="0" fontId="57" fillId="0" borderId="1" xfId="0" applyFont="1" applyBorder="1" applyAlignment="1">
      <alignment horizontal="left" vertical="top" wrapText="1"/>
    </xf>
    <xf numFmtId="0" fontId="57" fillId="0" borderId="1" xfId="0" applyFont="1" applyBorder="1" applyAlignment="1">
      <alignment horizontal="left" vertical="top"/>
    </xf>
    <xf numFmtId="0" fontId="57" fillId="0" borderId="0" xfId="0" applyFont="1"/>
    <xf numFmtId="0" fontId="58" fillId="0" borderId="1" xfId="0" applyFont="1" applyBorder="1" applyAlignment="1">
      <alignment horizontal="left" vertical="top" wrapText="1" indent="1"/>
    </xf>
    <xf numFmtId="0" fontId="58" fillId="0" borderId="1" xfId="0" applyFont="1" applyBorder="1" applyAlignment="1">
      <alignment horizontal="left" vertical="top"/>
    </xf>
    <xf numFmtId="0" fontId="55" fillId="0" borderId="1" xfId="0" applyFont="1" applyBorder="1" applyAlignment="1">
      <alignment horizontal="left" vertical="top" wrapText="1"/>
    </xf>
    <xf numFmtId="0" fontId="58" fillId="0" borderId="1" xfId="0" applyFont="1" applyBorder="1" applyAlignment="1">
      <alignment horizontal="left" vertical="top" wrapText="1"/>
    </xf>
    <xf numFmtId="0" fontId="57" fillId="0" borderId="12" xfId="0" applyFont="1" applyBorder="1" applyAlignment="1">
      <alignment horizontal="left" vertical="top"/>
    </xf>
    <xf numFmtId="1" fontId="57" fillId="0" borderId="1" xfId="0" applyNumberFormat="1" applyFont="1" applyBorder="1" applyAlignment="1">
      <alignment horizontal="left" vertical="top" shrinkToFit="1"/>
    </xf>
    <xf numFmtId="164" fontId="57" fillId="0" borderId="1" xfId="1" applyFont="1" applyFill="1" applyBorder="1" applyAlignment="1">
      <alignment horizontal="right" vertical="top"/>
    </xf>
    <xf numFmtId="164" fontId="57" fillId="0" borderId="1" xfId="1" applyFont="1" applyFill="1" applyBorder="1" applyAlignment="1">
      <alignment horizontal="left" vertical="top"/>
    </xf>
    <xf numFmtId="0" fontId="57" fillId="0" borderId="1" xfId="0" applyFont="1" applyBorder="1" applyAlignment="1">
      <alignment horizontal="right" vertical="top" wrapText="1"/>
    </xf>
    <xf numFmtId="164" fontId="57" fillId="0" borderId="1" xfId="1" applyFont="1" applyFill="1" applyBorder="1" applyAlignment="1">
      <alignment horizontal="right" vertical="top" shrinkToFit="1"/>
    </xf>
    <xf numFmtId="164" fontId="55" fillId="0" borderId="1" xfId="1" applyFont="1" applyFill="1" applyBorder="1" applyAlignment="1">
      <alignment horizontal="right" vertical="top" wrapText="1"/>
    </xf>
    <xf numFmtId="2" fontId="57" fillId="0" borderId="12" xfId="0" applyNumberFormat="1" applyFont="1" applyBorder="1" applyAlignment="1">
      <alignment horizontal="right" vertical="top" shrinkToFit="1"/>
    </xf>
    <xf numFmtId="0" fontId="57" fillId="0" borderId="17" xfId="0" applyFont="1" applyBorder="1" applyAlignment="1">
      <alignment horizontal="left" vertical="top"/>
    </xf>
    <xf numFmtId="0" fontId="57" fillId="0" borderId="12" xfId="0" applyFont="1" applyBorder="1" applyAlignment="1">
      <alignment horizontal="right" vertical="top" wrapText="1"/>
    </xf>
    <xf numFmtId="0" fontId="57" fillId="0" borderId="3" xfId="0" applyFont="1" applyBorder="1" applyAlignment="1">
      <alignment horizontal="left" vertical="top" wrapText="1"/>
    </xf>
    <xf numFmtId="164" fontId="57" fillId="0" borderId="3" xfId="1" applyFont="1" applyFill="1" applyBorder="1" applyAlignment="1">
      <alignment horizontal="right" vertical="top" shrinkToFit="1"/>
    </xf>
    <xf numFmtId="164" fontId="55" fillId="0" borderId="3" xfId="1" applyFont="1" applyFill="1" applyBorder="1" applyAlignment="1">
      <alignment horizontal="right" vertical="top" wrapText="1"/>
    </xf>
    <xf numFmtId="0" fontId="57" fillId="0" borderId="10" xfId="0" applyFont="1" applyBorder="1" applyAlignment="1">
      <alignment horizontal="right" vertical="top" wrapText="1"/>
    </xf>
    <xf numFmtId="0" fontId="59" fillId="2" borderId="4" xfId="0" applyFont="1" applyFill="1" applyBorder="1" applyAlignment="1">
      <alignment horizontal="center" vertical="center" wrapText="1"/>
    </xf>
    <xf numFmtId="0" fontId="59" fillId="2" borderId="4" xfId="0" applyFont="1" applyFill="1" applyBorder="1" applyAlignment="1">
      <alignment horizontal="left" vertical="center" wrapText="1"/>
    </xf>
    <xf numFmtId="164" fontId="59" fillId="0" borderId="4" xfId="1" applyFont="1" applyFill="1" applyBorder="1" applyAlignment="1" applyProtection="1">
      <alignment horizontal="right" vertical="center" wrapText="1"/>
    </xf>
    <xf numFmtId="0" fontId="59" fillId="2" borderId="5" xfId="0" applyFont="1" applyFill="1" applyBorder="1" applyAlignment="1">
      <alignment horizontal="right" vertical="center" wrapText="1"/>
    </xf>
    <xf numFmtId="0" fontId="59" fillId="2" borderId="5" xfId="0" applyFont="1" applyFill="1" applyBorder="1" applyAlignment="1">
      <alignment horizontal="left" vertical="center" wrapText="1"/>
    </xf>
    <xf numFmtId="164" fontId="59" fillId="2" borderId="1" xfId="1" applyFont="1" applyFill="1" applyBorder="1" applyAlignment="1" applyProtection="1">
      <alignment horizontal="right" vertical="center" wrapText="1"/>
    </xf>
    <xf numFmtId="164" fontId="57" fillId="0" borderId="1" xfId="1" applyFont="1" applyFill="1" applyBorder="1" applyAlignment="1"/>
    <xf numFmtId="0" fontId="59" fillId="2" borderId="11" xfId="0" applyFont="1" applyFill="1" applyBorder="1" applyAlignment="1">
      <alignment horizontal="right" vertical="center" wrapText="1"/>
    </xf>
    <xf numFmtId="0" fontId="57" fillId="0" borderId="1" xfId="0" applyFont="1" applyBorder="1" applyAlignment="1">
      <alignment vertical="top"/>
    </xf>
    <xf numFmtId="0" fontId="59" fillId="0" borderId="0" xfId="0" applyFont="1" applyAlignment="1">
      <alignment horizontal="right" vertical="center" wrapText="1"/>
    </xf>
    <xf numFmtId="0" fontId="57" fillId="0" borderId="1" xfId="0" applyFont="1" applyBorder="1"/>
    <xf numFmtId="1" fontId="57" fillId="6" borderId="1" xfId="0" applyNumberFormat="1" applyFont="1" applyFill="1" applyBorder="1" applyAlignment="1">
      <alignment horizontal="left" vertical="top" shrinkToFit="1"/>
    </xf>
    <xf numFmtId="164" fontId="59" fillId="2" borderId="5" xfId="1" applyFont="1" applyFill="1" applyBorder="1" applyAlignment="1" applyProtection="1">
      <alignment horizontal="right" vertical="center" wrapText="1"/>
    </xf>
    <xf numFmtId="164" fontId="59" fillId="2" borderId="4" xfId="1" applyFont="1" applyFill="1" applyBorder="1" applyAlignment="1" applyProtection="1">
      <alignment horizontal="right" vertical="center" wrapText="1"/>
    </xf>
    <xf numFmtId="164" fontId="57" fillId="0" borderId="13" xfId="1" applyFont="1" applyFill="1" applyBorder="1" applyAlignment="1"/>
    <xf numFmtId="164" fontId="59" fillId="2" borderId="4" xfId="1" applyFont="1" applyFill="1" applyBorder="1" applyAlignment="1" applyProtection="1">
      <alignment horizontal="center" vertical="center" wrapText="1"/>
    </xf>
    <xf numFmtId="164" fontId="59" fillId="2" borderId="9" xfId="1" applyFont="1" applyFill="1" applyBorder="1" applyAlignment="1" applyProtection="1">
      <alignment horizontal="right" vertical="center" wrapText="1"/>
    </xf>
    <xf numFmtId="0" fontId="60" fillId="2" borderId="4" xfId="0" applyFont="1" applyFill="1" applyBorder="1" applyAlignment="1">
      <alignment horizontal="center" vertical="center" wrapText="1"/>
    </xf>
    <xf numFmtId="0" fontId="60" fillId="2" borderId="4" xfId="0" applyFont="1" applyFill="1" applyBorder="1" applyAlignment="1">
      <alignment horizontal="right" vertical="center" wrapText="1"/>
    </xf>
    <xf numFmtId="0" fontId="60" fillId="2" borderId="4" xfId="0" applyFont="1" applyFill="1" applyBorder="1" applyAlignment="1">
      <alignment horizontal="left" vertical="center" wrapText="1"/>
    </xf>
    <xf numFmtId="0" fontId="60" fillId="2" borderId="11" xfId="0" applyFont="1" applyFill="1" applyBorder="1" applyAlignment="1">
      <alignment horizontal="right" vertical="center" wrapText="1"/>
    </xf>
    <xf numFmtId="2" fontId="57" fillId="0" borderId="1" xfId="0" applyNumberFormat="1" applyFont="1" applyBorder="1" applyAlignment="1">
      <alignment horizontal="right" vertical="top" shrinkToFit="1"/>
    </xf>
    <xf numFmtId="0" fontId="57" fillId="0" borderId="1" xfId="0" applyFont="1" applyBorder="1" applyAlignment="1">
      <alignment horizontal="left" vertical="center" wrapText="1"/>
    </xf>
    <xf numFmtId="0" fontId="57" fillId="6" borderId="1" xfId="0" applyFont="1" applyFill="1" applyBorder="1" applyAlignment="1">
      <alignment horizontal="left" vertical="top" wrapText="1"/>
    </xf>
    <xf numFmtId="0" fontId="57" fillId="6" borderId="1" xfId="0" applyFont="1" applyFill="1" applyBorder="1" applyAlignment="1">
      <alignment horizontal="left" vertical="center" wrapText="1"/>
    </xf>
    <xf numFmtId="0" fontId="55" fillId="6" borderId="1" xfId="0" applyFont="1" applyFill="1" applyBorder="1" applyAlignment="1">
      <alignment horizontal="left" vertical="top" wrapText="1"/>
    </xf>
    <xf numFmtId="164" fontId="57" fillId="6" borderId="1" xfId="1" applyFont="1" applyFill="1" applyBorder="1" applyAlignment="1">
      <alignment horizontal="right" vertical="top" shrinkToFit="1"/>
    </xf>
    <xf numFmtId="164" fontId="55" fillId="6" borderId="1" xfId="1" applyFont="1" applyFill="1" applyBorder="1" applyAlignment="1">
      <alignment horizontal="right" vertical="top" wrapText="1"/>
    </xf>
    <xf numFmtId="2" fontId="57" fillId="6" borderId="1" xfId="0" applyNumberFormat="1" applyFont="1" applyFill="1" applyBorder="1" applyAlignment="1">
      <alignment horizontal="right" vertical="top" shrinkToFit="1"/>
    </xf>
    <xf numFmtId="0" fontId="57" fillId="6" borderId="1" xfId="0" applyFont="1" applyFill="1" applyBorder="1" applyAlignment="1">
      <alignment horizontal="left" vertical="top"/>
    </xf>
    <xf numFmtId="0" fontId="57" fillId="6" borderId="12" xfId="0" applyFont="1" applyFill="1" applyBorder="1" applyAlignment="1">
      <alignment horizontal="left" vertical="top"/>
    </xf>
    <xf numFmtId="0" fontId="57" fillId="6" borderId="0" xfId="0" applyFont="1" applyFill="1" applyAlignment="1">
      <alignment horizontal="left" vertical="top"/>
    </xf>
    <xf numFmtId="164" fontId="57" fillId="0" borderId="1" xfId="1" applyFont="1" applyFill="1" applyBorder="1" applyAlignment="1">
      <alignment horizontal="left" vertical="top" wrapText="1"/>
    </xf>
    <xf numFmtId="0" fontId="57" fillId="0" borderId="12" xfId="0" applyFont="1" applyBorder="1" applyAlignment="1">
      <alignment horizontal="right" vertical="top"/>
    </xf>
    <xf numFmtId="164" fontId="57" fillId="0" borderId="1" xfId="1" applyFont="1" applyFill="1" applyBorder="1" applyAlignment="1">
      <alignment horizontal="left" vertical="top" indent="1" shrinkToFit="1"/>
    </xf>
    <xf numFmtId="2" fontId="57" fillId="0" borderId="12" xfId="0" applyNumberFormat="1" applyFont="1" applyBorder="1" applyAlignment="1">
      <alignment horizontal="right" vertical="top" indent="1" shrinkToFit="1"/>
    </xf>
    <xf numFmtId="164" fontId="57" fillId="0" borderId="1" xfId="1" applyFont="1" applyFill="1" applyBorder="1" applyAlignment="1">
      <alignment horizontal="right" vertical="top" wrapText="1"/>
    </xf>
    <xf numFmtId="2" fontId="57" fillId="0" borderId="10" xfId="0" applyNumberFormat="1" applyFont="1" applyBorder="1" applyAlignment="1">
      <alignment horizontal="right" vertical="top" shrinkToFit="1"/>
    </xf>
    <xf numFmtId="0" fontId="55" fillId="0" borderId="3" xfId="0" applyFont="1" applyBorder="1" applyAlignment="1">
      <alignment horizontal="left" vertical="top" wrapText="1"/>
    </xf>
    <xf numFmtId="164" fontId="59" fillId="0" borderId="4" xfId="1" applyFont="1" applyFill="1" applyBorder="1" applyAlignment="1" applyProtection="1">
      <alignment horizontal="center" vertical="center" wrapText="1"/>
    </xf>
    <xf numFmtId="0" fontId="57" fillId="3" borderId="1" xfId="0" applyFont="1" applyFill="1" applyBorder="1" applyAlignment="1">
      <alignment horizontal="left" vertical="top"/>
    </xf>
    <xf numFmtId="0" fontId="57" fillId="3" borderId="0" xfId="0" applyFont="1" applyFill="1" applyAlignment="1">
      <alignment horizontal="left" vertical="top"/>
    </xf>
    <xf numFmtId="0" fontId="59" fillId="6" borderId="4" xfId="0" applyFont="1" applyFill="1" applyBorder="1" applyAlignment="1">
      <alignment horizontal="center" vertical="center" wrapText="1"/>
    </xf>
    <xf numFmtId="0" fontId="59" fillId="6" borderId="4" xfId="0" applyFont="1" applyFill="1" applyBorder="1" applyAlignment="1">
      <alignment horizontal="left" vertical="center" wrapText="1"/>
    </xf>
    <xf numFmtId="164" fontId="59" fillId="6" borderId="4" xfId="1" applyFont="1" applyFill="1" applyBorder="1" applyAlignment="1" applyProtection="1">
      <alignment horizontal="right" vertical="center" wrapText="1"/>
    </xf>
    <xf numFmtId="164" fontId="57" fillId="6" borderId="13" xfId="1" applyFont="1" applyFill="1" applyBorder="1" applyAlignment="1"/>
    <xf numFmtId="0" fontId="59" fillId="6" borderId="5" xfId="0" applyFont="1" applyFill="1" applyBorder="1" applyAlignment="1">
      <alignment horizontal="right" vertical="center" wrapText="1"/>
    </xf>
    <xf numFmtId="164" fontId="57" fillId="0" borderId="0" xfId="1" applyFont="1" applyFill="1" applyBorder="1" applyAlignment="1"/>
    <xf numFmtId="164" fontId="47" fillId="2" borderId="5" xfId="1" applyFont="1" applyFill="1" applyBorder="1" applyAlignment="1">
      <alignment horizontal="right" vertical="center" wrapText="1"/>
    </xf>
    <xf numFmtId="164" fontId="46" fillId="0" borderId="1" xfId="1" applyFont="1" applyBorder="1"/>
    <xf numFmtId="0" fontId="58" fillId="0" borderId="12" xfId="0" applyFont="1" applyBorder="1" applyAlignment="1">
      <alignment horizontal="left" vertical="top" wrapText="1"/>
    </xf>
    <xf numFmtId="0" fontId="58" fillId="0" borderId="20" xfId="0" applyFont="1" applyBorder="1" applyAlignment="1">
      <alignment horizontal="left" vertical="top" wrapText="1"/>
    </xf>
    <xf numFmtId="0" fontId="58" fillId="0" borderId="17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right" vertical="top" wrapText="1" inden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457200</xdr:colOff>
      <xdr:row>2</xdr:row>
      <xdr:rowOff>0</xdr:rowOff>
    </xdr:from>
    <xdr:ext cx="1257300" cy="247650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7300" cy="2476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171450</xdr:colOff>
      <xdr:row>2</xdr:row>
      <xdr:rowOff>57150</xdr:rowOff>
    </xdr:from>
    <xdr:ext cx="1257300" cy="247650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162050"/>
          <a:ext cx="1257300" cy="24765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rish siwach" refreshedDate="46176.705590625003" createdVersion="7" refreshedVersion="8" minRefreshableVersion="3" recordCount="1178">
  <cacheSource type="worksheet">
    <worksheetSource ref="E3:Q1181" sheet="Table 1"/>
  </cacheSource>
  <cacheFields count="13">
    <cacheField name="Transactio n Remarks" numFmtId="0">
      <sharedItems/>
    </cacheField>
    <cacheField name="Debit Amount" numFmtId="164">
      <sharedItems containsString="0" containsBlank="1" containsNumber="1" minValue="11.25" maxValue="1700000"/>
    </cacheField>
    <cacheField name="Credit Amount" numFmtId="164">
      <sharedItems containsString="0" containsBlank="1" containsNumber="1" minValue="1" maxValue="3500000"/>
    </cacheField>
    <cacheField name="Balance(IN R)" numFmtId="0">
      <sharedItems containsMixedTypes="1" containsNumber="1" minValue="7234.5" maxValue="7356394.5"/>
    </cacheField>
    <cacheField name="NAME" numFmtId="0">
      <sharedItems containsBlank="1"/>
    </cacheField>
    <cacheField name="PURPOSE" numFmtId="0">
      <sharedItems containsBlank="1"/>
    </cacheField>
    <cacheField name="1" numFmtId="0">
      <sharedItems containsBlank="1"/>
    </cacheField>
    <cacheField name="2" numFmtId="0">
      <sharedItems containsBlank="1"/>
    </cacheField>
    <cacheField name="3" numFmtId="0">
      <sharedItems containsBlank="1"/>
    </cacheField>
    <cacheField name="4" numFmtId="0">
      <sharedItems containsBlank="1"/>
    </cacheField>
    <cacheField name="5" numFmtId="0">
      <sharedItems containsBlank="1"/>
    </cacheField>
    <cacheField name="6" numFmtId="0">
      <sharedItems containsBlank="1" containsMixedTypes="1" containsNumber="1" containsInteger="1" minValue="300" maxValue="1800"/>
    </cacheField>
    <cacheField name="REMARK" numFmtId="0">
      <sharedItems count="68">
        <s v="KULDEEP CAPITAL"/>
        <s v="PLOT RECEIPT"/>
        <s v="BANK CHARGES"/>
        <s v="YOGESH TYAGI"/>
        <s v="SUMITI SINGH LOAN"/>
        <s v="PRIYANKA LOAN"/>
        <s v="AASHU TYAGI LOAN"/>
        <s v="FARMAR PAYMENT"/>
        <s v="RAHUL TOMAR"/>
        <s v="AMIT TOMAR LOAN"/>
        <s v="RAJEEV SHARMA LOAN"/>
        <s v="YOGESH CAPITAL"/>
        <s v="RAMGOPAL LOAN"/>
        <s v="SANDEEP LOAN"/>
        <s v="APPROVAL EXPENSES"/>
        <s v="BRICKS"/>
        <s v="ADVERTISEMENT"/>
        <s v="SURAJMUKHI LOAN"/>
        <s v="ELECTRICITY EXPENSES"/>
        <s v="PIPE LINE EXPENSES"/>
        <s v="LABOUR PAYMENT"/>
        <s v="CEMENT"/>
        <s v="LOCKING TILES"/>
        <s v="CONST. EXPENSES"/>
        <s v="PERSONAL"/>
        <s v="ACTUAL SALARY"/>
        <s v="MUKESH KUMAR LOAN"/>
        <s v="RODI"/>
        <s v="RAVI KUMAR LOAN"/>
        <s v="RAHUL KUMAR LOAN"/>
        <s v="INVERTER PURCHASE"/>
        <s v="RENT EXPENSE"/>
        <s v="ANITA SHARMA LOAN"/>
        <s v="ASSET PURCHASED"/>
        <s v="STAMP DUTY"/>
        <s v="FABRICATOR"/>
        <s v="PRAVINDRA KUMAR LOAN"/>
        <s v="DIGPAL LOAN"/>
        <s v="RAJKUMAR LOAN"/>
        <s v="PAWAN KUMAR LOAN"/>
        <s v="CASH WITHDRAWAL"/>
        <s v="LOAN BALAJI"/>
        <s v="SATPAL SINGH LOAN"/>
        <s v="CAR BOOKING"/>
        <s v="BANK IOB"/>
        <s v="ARUN CHAUDHARY UNSECURED LOAN"/>
        <s v="MAHIPAL SINGH ADVANCE"/>
        <s v="INDERKALI LOAN"/>
        <s v="AMIT YADAV LOAN"/>
        <s v="SUMAN LATA LOAN"/>
        <s v="LOAN DG"/>
        <s v="INCOME"/>
        <s v="SHIV CHARAN LOAN"/>
        <s v=" YOGESH TYAGI CAPITAL"/>
        <s v="ELECTRICITY PAYMENT"/>
        <s v="TALLY PURCHASE"/>
        <s v="ELECTRICITY BILL PAYMENT"/>
        <s v="RAJEEV LOAN"/>
        <s v="TAX PAYMENT"/>
        <s v="REFUND"/>
        <s v="LOAN OM"/>
        <s v="RAHUL CAPITAL" u="1"/>
        <s v="BALAJI LOAN GIVEN" u="1"/>
        <s v="CASH DEPOSIT" u="1"/>
        <s v="YOGESH LOAN" u="1"/>
        <s v="BANK" u="1"/>
        <s v="RAHUL TOMAR LOAN" u="1"/>
        <s v="CAS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8">
  <r>
    <s v="TRFR FROM:KU LDEEP TOMAR"/>
    <m/>
    <n v="200000"/>
    <n v="200000"/>
    <s v="KULDEEP TOMAR"/>
    <s v="CAPITAL"/>
    <s v="ADVANCE"/>
    <m/>
    <s v="ADVANCE"/>
    <s v="REFUND(20/10/20)"/>
    <m/>
    <m/>
    <x v="0"/>
  </r>
  <r>
    <s v="BIL/INFT/0 020777860_x000a_45/Entry loan Shri/"/>
    <m/>
    <n v="10000"/>
    <n v="210000"/>
    <m/>
    <s v="IF OF PLOT NO A143"/>
    <m/>
    <m/>
    <m/>
    <s v="OPEN IN REGISTRY "/>
    <m/>
    <m/>
    <x v="1"/>
  </r>
  <r>
    <s v="Loose Cheque Leaf charges"/>
    <n v="125"/>
    <m/>
    <n v="209875"/>
    <m/>
    <s v="Bank Charges"/>
    <s v="BOUNCE(26/7/21)"/>
    <m/>
    <s v="BOUNCE(26/7/21)"/>
    <m/>
    <m/>
    <m/>
    <x v="2"/>
  </r>
  <r>
    <s v="SGST"/>
    <n v="11.25"/>
    <m/>
    <n v="209863.75"/>
    <m/>
    <s v="GST on Bank Charges"/>
    <s v="REFUND(16/7/21)"/>
    <m/>
    <s v="REFUND(16/7/21)"/>
    <m/>
    <m/>
    <m/>
    <x v="2"/>
  </r>
  <r>
    <s v="CGST"/>
    <n v="11.25"/>
    <m/>
    <n v="209852.5"/>
    <m/>
    <s v="GST on Bank Charges"/>
    <s v="BOUNCE"/>
    <m/>
    <s v="BOUNCE"/>
    <m/>
    <m/>
    <m/>
    <x v="2"/>
  </r>
  <r>
    <s v="RTGS- BARBR520 201012008_x000a_95688- DEEPA RANI WO SUNIL CH"/>
    <m/>
    <n v="300000"/>
    <n v="509852.5"/>
    <s v="DEEPA RANI"/>
    <s v="ADVANCE"/>
    <s v="ADVANCE"/>
    <s v="REFUND(20/10/20)"/>
    <s v="ADVANCE"/>
    <s v="OPEN IN REGISTRY "/>
    <m/>
    <m/>
    <x v="1"/>
  </r>
  <r>
    <s v="TRFR TO: KULDEEP TOMAR"/>
    <n v="500000"/>
    <m/>
    <n v="9852.5"/>
    <s v="KULDEEP TOMAR"/>
    <s v="FROM KULDEEP TOMAR CAPITAL"/>
    <s v="ADVANCE"/>
    <m/>
    <s v="ADVANCE"/>
    <s v="refund(17/9/20)"/>
    <m/>
    <m/>
    <x v="0"/>
  </r>
  <r>
    <s v="UPI/11966 5042869/P_x000a_ayment from Ph/921906_x000a_9955@ybl/I C"/>
    <m/>
    <n v="10"/>
    <n v="9862.5"/>
    <s v="YOGESH TYAGI"/>
    <s v="IN THE FAVOUR OF YOGESH TYAGI CAPITAL"/>
    <m/>
    <m/>
    <m/>
    <s v="REFUND"/>
    <m/>
    <m/>
    <x v="3"/>
  </r>
  <r>
    <s v="RTGS- PUNBR52 021071612_x000a_935900- SUMITI SINGH- 522821910"/>
    <m/>
    <n v="1100000"/>
    <s v="1109862.5_x000a_0"/>
    <s v="SUMITI SINGH"/>
    <s v="In the favour of kuldeep tomar capital"/>
    <m/>
    <m/>
    <m/>
    <s v="refund(16/9/21,18/9/21)"/>
    <m/>
    <m/>
    <x v="4"/>
  </r>
  <r>
    <s v="UPI/11971 5361379/U_x000a_PI/xfunda.c haudhar/P unjab Nation"/>
    <m/>
    <n v="25000"/>
    <s v="1134862.5_x000a_0"/>
    <s v="PRIYANKA"/>
    <s v="In the favour of kuldeep tomar capital"/>
    <m/>
    <m/>
    <m/>
    <s v="ADVANCE"/>
    <m/>
    <m/>
    <x v="5"/>
  </r>
  <r>
    <s v="UPI/11971 5347776/U_x000a_PI/xfunda.c haudhar/P unjab Nation"/>
    <m/>
    <n v="15000"/>
    <s v="1149862.5_x000a_0"/>
    <s v="PRIYANKA"/>
    <s v="In the favour of kuldeep tomar capital"/>
    <m/>
    <m/>
    <m/>
    <s v="ADVANCE"/>
    <m/>
    <m/>
    <x v="5"/>
  </r>
  <r>
    <s v="BIL/INFT/0 001615382_x000a_09/Investm ent/"/>
    <m/>
    <n v="50000"/>
    <s v="1199862.5_x000a_0"/>
    <s v="Vipin kumar"/>
    <s v="in favour of plot no A20"/>
    <m/>
    <m/>
    <m/>
    <s v="ADVANCE"/>
    <m/>
    <m/>
    <x v="1"/>
  </r>
  <r>
    <s v="BIL/INFT/0 001615387_x000a_44/Investm ent/"/>
    <m/>
    <n v="100000"/>
    <s v="1299862.5_x000a_0"/>
    <s v="Vipin kumar"/>
    <s v="in favour of plot no A20"/>
    <m/>
    <m/>
    <m/>
    <s v="ADVANCE"/>
    <m/>
    <m/>
    <x v="1"/>
  </r>
  <r>
    <s v="BIL/INFT/0 001615391_x000a_99/NA/"/>
    <m/>
    <n v="10"/>
    <s v="1299872.5_x000a_0"/>
    <s v="AASHU TYAGI"/>
    <s v="IN THE FAVOUR OF YOGESH TYAGI CAPITAL"/>
    <m/>
    <m/>
    <m/>
    <s v="ADVANCE"/>
    <m/>
    <s v="ADVANCE"/>
    <x v="6"/>
  </r>
  <r>
    <s v="BIL/INFT/0 001615466_x000a_96/NA/"/>
    <m/>
    <n v="400000"/>
    <s v="1699872.5_x000a_0"/>
    <s v="AASHU TYAGI"/>
    <s v="IN THE FAVOUR OF YOGESH TYAGI CAPITAL"/>
    <m/>
    <m/>
    <m/>
    <s v="ADVANCE"/>
    <m/>
    <s v="ADVANCE"/>
    <x v="6"/>
  </r>
  <r>
    <s v="RTGS- SBINR520 210716331_x000a_84714- BEENA DEVI AND ARUN CH"/>
    <m/>
    <n v="300000"/>
    <s v="1999872.5_x000a_0"/>
    <s v="Beena devi and Arun ch"/>
    <s v="in favour of plot no A64"/>
    <m/>
    <m/>
    <m/>
    <s v="ADVANCE"/>
    <m/>
    <s v="ADVANCE"/>
    <x v="1"/>
  </r>
  <r>
    <s v="RTGS:ICIC R5202107 160082108_x000a_5/PUNB00_x000a_26610/SHA LAU DIN"/>
    <n v="1000000"/>
    <m/>
    <n v="999872.5"/>
    <s v="SHALAU DIN"/>
    <s v="FARMER PAYMENT"/>
    <s v="REFUND"/>
    <m/>
    <s v="REFUND"/>
    <m/>
    <m/>
    <m/>
    <x v="7"/>
  </r>
  <r>
    <s v="RTGS- PUNBR52 021071612_x000a_941588- VINAY KUMAR MALIK SU"/>
    <m/>
    <n v="350000"/>
    <s v="1349872.5_x000a_0"/>
    <s v="vinay kumar malik"/>
    <s v="in favour of plon no A110"/>
    <m/>
    <m/>
    <m/>
    <s v="REFUND(20/12/22)"/>
    <m/>
    <m/>
    <x v="1"/>
  </r>
  <r>
    <s v="UPI/11974 2474517/P_x000a_ayment from Ph/708777_x000a_1520@ybl/ St"/>
    <m/>
    <n v="100000"/>
    <s v="1449872.5_x000a_0"/>
    <s v="LOKINDRA SAROHA"/>
    <s v="in favour of plot no A41"/>
    <m/>
    <m/>
    <m/>
    <s v="REFUND(6/12/22)"/>
    <m/>
    <m/>
    <x v="1"/>
  </r>
  <r>
    <s v="RTGS- SBINR520 210716331_x000a_92259- PRAMOD KUMAR- 384391473"/>
    <m/>
    <n v="1100000"/>
    <s v="2549872.5_x000a_0"/>
    <s v="Pramod kumar"/>
    <s v="in favour of plot no A16"/>
    <m/>
    <m/>
    <m/>
    <s v="ADVANCE"/>
    <m/>
    <m/>
    <x v="1"/>
  </r>
  <r>
    <s v="MMT/IMPS_x000a_/11971647 4441/1099_x000a_8457_x000a_/Indusind Bank"/>
    <m/>
    <n v="150000"/>
    <s v="2699872.5_x000a_0"/>
    <s v="Rahul tomar"/>
    <s v="in favour of Rahul tomar capital"/>
    <m/>
    <m/>
    <m/>
    <s v="ADVANCE"/>
    <m/>
    <m/>
    <x v="8"/>
  </r>
  <r>
    <s v="NEFT- PUNBH21 197707058_x000a_-PARTAP PANWAR-- 403900010_x000a_0179"/>
    <m/>
    <n v="100000"/>
    <s v="2799872.5_x000a_0"/>
    <s v="Partap panwar"/>
    <s v="I F pot no A86"/>
    <m/>
    <m/>
    <m/>
    <s v="REFUND"/>
    <m/>
    <m/>
    <x v="1"/>
  </r>
  <r>
    <s v="RTGS:ICIC R5202107 170084123_x000a_1/PUNB00_x000a_26610/INU SH ALI"/>
    <n v="1000000"/>
    <m/>
    <s v="1799872.5_x000a_0"/>
    <s v="INUSH ALI"/>
    <s v="FARMER PAYMENT"/>
    <s v="ADVANCE"/>
    <m/>
    <s v="ADVANCE"/>
    <m/>
    <m/>
    <m/>
    <x v="7"/>
  </r>
  <r>
    <s v="RTGS:ICIC R5202107 170084093_x000a_4/PUNB00_x000a_26610/KAS AM ALI"/>
    <n v="1000000"/>
    <m/>
    <n v="799872.5"/>
    <s v="KASAM ALI"/>
    <s v="FARMER PAYMENT"/>
    <m/>
    <m/>
    <m/>
    <m/>
    <m/>
    <m/>
    <x v="7"/>
  </r>
  <r>
    <s v="NEFT- PUNBH21 198978968_x000a_-PARTAP PANWAR-- 403900010_x000a_0179"/>
    <m/>
    <n v="100000"/>
    <n v="899872.5"/>
    <s v="Partap panwar"/>
    <s v="I F pot no A86"/>
    <m/>
    <m/>
    <m/>
    <s v="REFUND"/>
    <m/>
    <m/>
    <x v="1"/>
  </r>
  <r>
    <s v="TRFR FROM:KU LDEEP TOMAR"/>
    <m/>
    <n v="300000"/>
    <s v="1199872.5_x000a_0"/>
    <s v="KULDEEP TOMAR"/>
    <s v="CAPITAL"/>
    <m/>
    <m/>
    <m/>
    <s v="REFUND(20/10/20)"/>
    <m/>
    <m/>
    <x v="0"/>
  </r>
  <r>
    <s v="RTGS:ICIC R5202107 190023510_x000a_9/PUNB00_x000a_26610/KAS AM ALI"/>
    <n v="1000000"/>
    <m/>
    <n v="199872.5"/>
    <s v="KASAM ALI"/>
    <s v="FARMER PAYMENT"/>
    <m/>
    <m/>
    <m/>
    <m/>
    <m/>
    <m/>
    <x v="1"/>
  </r>
  <r>
    <s v="BIL/INFT/0 001643515_x000a_07/NA/"/>
    <m/>
    <n v="200000"/>
    <n v="399872.5"/>
    <s v="AASHU TYAGI"/>
    <s v="IN THE FAVOUR OF YOGESH TYAGI CAPITAL"/>
    <m/>
    <m/>
    <m/>
    <s v="ADVANCE"/>
    <m/>
    <s v="ADVANCE"/>
    <x v="6"/>
  </r>
  <r>
    <s v="NEFT- SBIN42120 3849944- YASHPAL SINGH STAFF-_x000a_/ATTN/NE"/>
    <m/>
    <n v="500000"/>
    <n v="899872.5"/>
    <s v="yashpal singh"/>
    <s v="I F PLOT no A64"/>
    <m/>
    <m/>
    <m/>
    <s v="REFUND(20/12/22)"/>
    <m/>
    <m/>
    <x v="1"/>
  </r>
  <r>
    <s v="TRFR TO:UMES H KUMAR"/>
    <n v="500000"/>
    <m/>
    <n v="399872.5"/>
    <s v="UMESH KUMAR"/>
    <s v="ROAD FARMER PAYMENT"/>
    <m/>
    <m/>
    <m/>
    <m/>
    <m/>
    <m/>
    <x v="7"/>
  </r>
  <r>
    <s v="MMT/IMPS_x000a_/12031311_x000a_9741/Kulde ep/VIMLES H   /Bank of B"/>
    <m/>
    <n v="25000"/>
    <n v="424872.5"/>
    <s v="Vimlesh"/>
    <s v="I F PLOT NO A20"/>
    <m/>
    <m/>
    <m/>
    <s v="ADVANCE"/>
    <m/>
    <m/>
    <x v="1"/>
  </r>
  <r>
    <s v="MMT/IMPS_x000a_/12031380_x000a_1522/Kulde ep/SEEMA_x000a_/Bank of B"/>
    <m/>
    <n v="25000"/>
    <n v="449872.5"/>
    <s v="Seema"/>
    <s v="I F PLOT NO A20"/>
    <s v="BEHALF OF FARMER"/>
    <m/>
    <s v="BEHALF OF FARMER"/>
    <s v="ADVANCE"/>
    <m/>
    <m/>
    <x v="1"/>
  </r>
  <r>
    <s v="MMT/IMPS_x000a_/12031470 5569/MOB TXN/VIPIN_x000a_KUM/Yes Bank L"/>
    <m/>
    <n v="50000"/>
    <n v="499872.5"/>
    <s v="Vipin kumar"/>
    <s v="I F PLOT NO A20"/>
    <s v="BEHALF OF FARMER"/>
    <m/>
    <s v="BEHALF OF FARMER"/>
    <s v="ADVANCE"/>
    <m/>
    <m/>
    <x v="1"/>
  </r>
  <r>
    <s v="TRFR FROM:YO GESH TYAGI"/>
    <m/>
    <n v="200000"/>
    <n v="699872.5"/>
    <s v="YOGESH TYAGI"/>
    <s v="IN THE FAVOUR OF YOGESH TYAGI CAPITAL"/>
    <m/>
    <m/>
    <m/>
    <s v="REFUND"/>
    <m/>
    <m/>
    <x v="3"/>
  </r>
  <r>
    <s v="MMT/IMPS_x000a_/12040928 4223/INDU SHARMA/_x000a_Axis Bank"/>
    <m/>
    <n v="1"/>
    <n v="699873.5"/>
    <s v="Indu sharma"/>
    <s v="I F PLOT NO A39"/>
    <s v="BEHALF OF FARMER"/>
    <m/>
    <m/>
    <s v="REFUND(14/2/22)"/>
    <m/>
    <m/>
    <x v="1"/>
  </r>
  <r>
    <s v="NEFT- AXMB2120 42765455- INDU SHARMA-- 913010035_x000a_376305"/>
    <m/>
    <n v="400000"/>
    <s v="1099873.5_x000a_0"/>
    <s v="Indu sharma"/>
    <s v="I F PLOT NO A39"/>
    <s v="BEHALF OF FARMER"/>
    <m/>
    <m/>
    <s v="REFUND(14/2/22)"/>
    <m/>
    <m/>
    <x v="1"/>
  </r>
  <r>
    <s v="MMT/IMPS_x000a_/12041437_x000a_4165/Kulde ep/VIMLES H   /Bank of B"/>
    <m/>
    <n v="25000"/>
    <s v="1124873.5_x000a_0"/>
    <s v="Vimlesh"/>
    <s v="I F PLOT NO A21"/>
    <m/>
    <m/>
    <m/>
    <s v="ADVANCE"/>
    <m/>
    <m/>
    <x v="1"/>
  </r>
  <r>
    <s v="MMT/IMPS_x000a_/12041550_x000a_6169/Kulde ep/SEEMA_x000a_/Bank of B"/>
    <m/>
    <n v="25000"/>
    <s v="1149873.5_x000a_0"/>
    <s v="Seema"/>
    <s v="I F PLOT NO A21"/>
    <s v="BEHALF OF FARMER"/>
    <m/>
    <s v="BEHALF OF FARMER"/>
    <s v="ADVANCE"/>
    <m/>
    <m/>
    <x v="1"/>
  </r>
  <r>
    <s v="RTGS/ICIC R4202107 240050014_x000a_5/PUNB01_x000a_82200/dhar am pa"/>
    <n v="500000"/>
    <m/>
    <n v="649873.5"/>
    <s v="DHARAMPAL "/>
    <s v="FARMER PAYMENT"/>
    <s v="ADVANCE"/>
    <m/>
    <s v="ADVANCE"/>
    <m/>
    <m/>
    <m/>
    <x v="7"/>
  </r>
  <r>
    <s v="NEFT- AXMB2120 53274455- INDU SHARMA-- 913010035_x000a_376305"/>
    <m/>
    <n v="350000"/>
    <n v="999873.5"/>
    <s v="Indu sharma"/>
    <s v="I F PLOT NO A39"/>
    <m/>
    <m/>
    <m/>
    <s v="REFUND(14/2/22)"/>
    <m/>
    <m/>
    <x v="1"/>
  </r>
  <r>
    <s v="UPI/12050 8154910/S_x000a_BI/babitadh ama77@o/ State Bank Of"/>
    <m/>
    <n v="50000"/>
    <s v="1049873.5_x000a_0"/>
    <s v="BABITA DHAMA"/>
    <s v="IF OF  PLOT NO A147"/>
    <s v="ADVANCE"/>
    <m/>
    <s v="ADVANCE"/>
    <s v="REFUND(20/12/22)"/>
    <m/>
    <s v="REFUND (20/12/22)"/>
    <x v="1"/>
  </r>
  <r>
    <s v="UPI/12061 6626660/U PI/hs76481 02@oksbi/ State Bank Of"/>
    <m/>
    <n v="50000"/>
    <s v="1099873.5_x000a_0"/>
    <s v="HARI SARAN"/>
    <s v="I F PLOT NO B12"/>
    <s v="ADVANCE"/>
    <m/>
    <m/>
    <s v="REFUND(28/9/21)"/>
    <m/>
    <m/>
    <x v="1"/>
  </r>
  <r>
    <s v="CLG/ANSH U PANWAR SANDEEP KU/746341_x000a_/SBI/16.07. 2021"/>
    <m/>
    <n v="100000"/>
    <s v="1199873.5_x000a_0"/>
    <s v="ANSHU PANWAR"/>
    <s v="I F PLOT NO A19"/>
    <m/>
    <m/>
    <m/>
    <s v="BOUNCE"/>
    <m/>
    <s v="BOUNS"/>
    <x v="1"/>
  </r>
  <r>
    <s v="MMT/IMPS_x000a_/12071272_x000a_2623/Kulde ep/VIMLES H   /Bank of B"/>
    <m/>
    <n v="25000"/>
    <s v="1224873.5_x000a_0"/>
    <s v="Vimlesh"/>
    <s v="I F PLOT NO A21"/>
    <s v="BEHALF OF FARMER"/>
    <m/>
    <s v="BEHALF OF FARMER"/>
    <s v="ADVANCE"/>
    <m/>
    <m/>
    <x v="1"/>
  </r>
  <r>
    <s v="BIL/INFT/0 001678456_x000a_17/Investm ent/"/>
    <m/>
    <n v="25000"/>
    <s v="1249873.5_x000a_0"/>
    <s v="Vipin kumar"/>
    <s v="I F PLOT NO A21"/>
    <m/>
    <m/>
    <m/>
    <s v="ADVANCE"/>
    <m/>
    <m/>
    <x v="1"/>
  </r>
  <r>
    <s v="BIL/INFT/0 001678531_x000a_34/Investm ent/"/>
    <m/>
    <n v="25000"/>
    <s v="1274873.5_x000a_0"/>
    <s v="Vipin kumar"/>
    <s v="I F PLOT NO A21"/>
    <s v="BEHALF OF FARMER"/>
    <m/>
    <s v="BEHALF OF FARMER"/>
    <s v="ADVANCE"/>
    <m/>
    <m/>
    <x v="1"/>
  </r>
  <r>
    <s v="MMT/IMPS_x000a_/12071325_x000a_2206/Kulde ep/SEEMA_x000a_/Bank of B"/>
    <m/>
    <n v="25000"/>
    <s v="1299873.5_x000a_0"/>
    <s v="Seema"/>
    <s v="I F PLOT NO A21"/>
    <s v="BEHALF OF FARMER"/>
    <m/>
    <s v="BEHALF OF FARMER"/>
    <s v="ADVANCE"/>
    <m/>
    <m/>
    <x v="1"/>
  </r>
  <r>
    <s v="CLG/VIRE NDERA SINGH MALIK/477 598/SBI/20_x000a_.07.2021"/>
    <m/>
    <n v="400000"/>
    <s v="1699873.5_x000a_0"/>
    <s v="VIRENDERA SINGH MALIK"/>
    <s v="I F PLOT NO A23"/>
    <s v="BEHALF OF FARMER"/>
    <m/>
    <s v="BEHALF OF FARMER"/>
    <s v="ADVANCE"/>
    <m/>
    <m/>
    <x v="1"/>
  </r>
  <r>
    <s v="REJECT:7 46341:DR AWERS SIGNATU RE DIFFERS"/>
    <n v="100000"/>
    <m/>
    <s v="1599873.5_x000a_0"/>
    <s v="ANSHU PANWAR"/>
    <s v="I F PLOT NO A19 ( BOUNCE)"/>
    <m/>
    <m/>
    <m/>
    <s v="BOUNCE"/>
    <m/>
    <s v="BOUNS"/>
    <x v="1"/>
  </r>
  <r>
    <s v="UPI/12080 6813133/U PI/hs76481 02@oksbi/ State Bank Of"/>
    <m/>
    <n v="50000"/>
    <s v="1649873.5_x000a_0"/>
    <s v="HARI SARAN"/>
    <s v="I F PLOT NO B12"/>
    <m/>
    <m/>
    <m/>
    <s v="REFUND(28/9/21)"/>
    <m/>
    <m/>
    <x v="1"/>
  </r>
  <r>
    <s v="CLG/SHIVAM KUMAR/P NB"/>
    <n v="500000"/>
    <m/>
    <s v="1149873.5_x000a_0"/>
    <s v="SHIVAM KUMAR"/>
    <s v="ROAD FARMER PAYMENT"/>
    <m/>
    <m/>
    <m/>
    <m/>
    <m/>
    <m/>
    <x v="7"/>
  </r>
  <r>
    <s v="CLG/AMIT TOMAR/58 3714/PNB/_x000a_21.07.2021"/>
    <m/>
    <n v="269000"/>
    <s v="1418873.5_x000a_0"/>
    <s v="AMIT TOMAR"/>
    <s v="In the favour of kuldeep tomar capital"/>
    <m/>
    <m/>
    <m/>
    <s v="ADVANCE"/>
    <m/>
    <s v="ADVANCE"/>
    <x v="9"/>
  </r>
  <r>
    <s v="NMQAB_x000a_chrg Jun- 21+GST"/>
    <n v="7080"/>
    <m/>
    <s v="1411793.5_x000a_0"/>
    <s v="BANK"/>
    <s v="MANTINENCE CHARG"/>
    <m/>
    <m/>
    <m/>
    <m/>
    <m/>
    <m/>
    <x v="2"/>
  </r>
  <r>
    <s v="CLG/CHE QUE/1785 90/SBI/22._x000a_07.2021"/>
    <m/>
    <n v="660000"/>
    <s v="2071793.5_x000a_0"/>
    <s v="RAJEEV KUMAR"/>
    <s v="I F PLOT NO A12"/>
    <s v="ADVANCE"/>
    <m/>
    <s v="ADVANCE"/>
    <s v="ADVANCE"/>
    <m/>
    <m/>
    <x v="1"/>
  </r>
  <r>
    <s v="MMT/IMPS_x000a_/12081672 8019/MOB LT2707160 779/ANSH U PANW/S"/>
    <m/>
    <n v="1"/>
    <s v="2071794.5_x000a_0"/>
    <s v="ANSHU PANWAR"/>
    <s v="SUSPENSE ENTRY"/>
    <m/>
    <m/>
    <m/>
    <s v="ADVANCE"/>
    <m/>
    <m/>
    <x v="1"/>
  </r>
  <r>
    <s v="CLG/BABI TA DHAMA/76 5860/PNB/_x000a_26.07.2021"/>
    <m/>
    <n v="50000"/>
    <s v="2121794.5_x000a_0"/>
    <s v="BABITA DHAMA"/>
    <s v="I F PLOT NO A89"/>
    <s v="ADVANCE"/>
    <m/>
    <s v="ADVANCE"/>
    <s v="ADVANCE"/>
    <m/>
    <s v="REFUND(20/12/22)"/>
    <x v="1"/>
  </r>
  <r>
    <s v="UPI/12095 0685538/P_x000a_ayment from Ph/790538_x000a_8186@ybl/ St"/>
    <m/>
    <n v="10000"/>
    <s v="2131794.5_x000a_0"/>
    <s v="YOGESH SHARMA"/>
    <s v="I F PLOT NO A40"/>
    <m/>
    <m/>
    <m/>
    <s v="REFUND(21/10/22)"/>
    <m/>
    <m/>
    <x v="1"/>
  </r>
  <r>
    <s v="CLG/MALI K VINAY/261 410/SBI/23_x000a_.07.2021"/>
    <m/>
    <n v="650000"/>
    <s v="2781794.5_x000a_0"/>
    <s v="vinay kumar malik"/>
    <s v="I F PLOT NO A89"/>
    <m/>
    <m/>
    <m/>
    <s v="REFUND(20/12/22)"/>
    <m/>
    <m/>
    <x v="1"/>
  </r>
  <r>
    <s v="UPI/12105 4244796/P_x000a_ayment from Ph/992783_x000a_0484@ybl/ St"/>
    <m/>
    <n v="50000"/>
    <s v="2831794.5_x000a_0"/>
    <s v="ARUN CHAUDHARY"/>
    <s v="I F PLOT NO A16"/>
    <m/>
    <m/>
    <m/>
    <s v="ADVANCE"/>
    <m/>
    <s v="ADVANCE"/>
    <x v="1"/>
  </r>
  <r>
    <s v="CLG/JAGA T SINGH/307 273/SBI/27_x000a_.07.2021"/>
    <m/>
    <n v="200000"/>
    <s v="3031794.5_x000a_0"/>
    <s v="JAGAT SINGH"/>
    <s v="I F PLOT NO A17"/>
    <m/>
    <m/>
    <m/>
    <s v="REFUND(18/11/21)"/>
    <m/>
    <m/>
    <x v="1"/>
  </r>
  <r>
    <s v="CLG/PRA MOD KUMAR/58 6370/SBI/2_x000a_7.07.2021"/>
    <m/>
    <n v="200000"/>
    <s v="3231794.5_x000a_0"/>
    <s v="Pramod kumar"/>
    <s v="I F PLOT NO A40"/>
    <m/>
    <m/>
    <m/>
    <s v="ADVANCE"/>
    <m/>
    <m/>
    <x v="1"/>
  </r>
  <r>
    <s v="RTGS/ICIC R4202107 300051793_x000a_6/PUNB00_x000a_26610/inus h ali"/>
    <n v="1000000"/>
    <m/>
    <s v="2231794.5_x000a_0"/>
    <s v="INUSH ALI"/>
    <s v="FARMER PAYMENT"/>
    <s v="ADVANCE"/>
    <m/>
    <s v="ADVANCE"/>
    <m/>
    <m/>
    <m/>
    <x v="7"/>
  </r>
  <r>
    <s v="INF/NEFT/ 024646649_x000a_741/PUNB_x000a_0026610/fa rmarshalau din/"/>
    <n v="1000000"/>
    <m/>
    <s v="1231794.5_x000a_0"/>
    <s v="SHALAU DIN"/>
    <s v="FARMER PAYMENT"/>
    <s v="BEHALF OF FARMER"/>
    <m/>
    <s v="BEHALF OF FARMER"/>
    <m/>
    <m/>
    <m/>
    <x v="7"/>
  </r>
  <r>
    <s v="CLG/CHE QUE/9364 01/GPO/28_x000a_.07.2021"/>
    <m/>
    <n v="880000"/>
    <s v="2111794.5_x000a_0"/>
    <s v="LOKINDRA SAROHA"/>
    <s v="I F PLOT NO A42"/>
    <s v="ADVANCE"/>
    <s v="REFUND(19/1/22)"/>
    <s v="ADVANCE"/>
    <s v="ADVANCE"/>
    <m/>
    <m/>
    <x v="1"/>
  </r>
  <r>
    <s v="UPI/12121 5454129/A_x000a_63/xfunda. chaudhar/I CICI_x000a_Bank/IC"/>
    <m/>
    <n v="10000"/>
    <s v="2121794.5_x000a_0"/>
    <s v="PRIYANKA"/>
    <s v="I F PLOT NO A63"/>
    <m/>
    <m/>
    <m/>
    <s v="ADVANCE"/>
    <m/>
    <m/>
    <x v="1"/>
  </r>
  <r>
    <s v="MMT/IMPS_x000a_/12130930 2495/A16/ POOJA SHAR/HDF_x000a_C Bank"/>
    <m/>
    <n v="200000"/>
    <s v="2321794.5_x000a_0"/>
    <s v="POOJA SHARMA"/>
    <s v="I F PLOT NO A16"/>
    <m/>
    <m/>
    <m/>
    <s v="REFUND(14/6/22)"/>
    <m/>
    <m/>
    <x v="1"/>
  </r>
  <r>
    <s v="MMT/IMPS_x000a_/12130930 6220/A16/ POOJA SHAR/HDF_x000a_C Bank"/>
    <m/>
    <n v="50000"/>
    <s v="2371794.5_x000a_0"/>
    <s v="POOJA SHARMA"/>
    <s v="I F PLOT NO A16"/>
    <m/>
    <m/>
    <m/>
    <s v="REFUND(14/6/22)"/>
    <m/>
    <m/>
    <x v="1"/>
  </r>
  <r>
    <s v="RTGS/ICIC R4202108 010050183_x000a_6/PUNB00_x000a_26610/kas am alo"/>
    <n v="1000000"/>
    <m/>
    <s v="1371794.5_x000a_0"/>
    <s v="KASAM ALI"/>
    <s v="FARMER PAYMENT"/>
    <s v="BEHALF OF FARMER"/>
    <m/>
    <s v="BEHALF OF FARMER"/>
    <m/>
    <m/>
    <m/>
    <x v="7"/>
  </r>
  <r>
    <s v="CLG/DHA RAM PAL SINGH SO RAM/PNB"/>
    <n v="500000"/>
    <m/>
    <n v="871794.5"/>
    <s v="DHARAMPAL "/>
    <s v="FARMER PAYMENT"/>
    <m/>
    <m/>
    <m/>
    <m/>
    <m/>
    <m/>
    <x v="7"/>
  </r>
  <r>
    <s v="NEFT- N2142115 86517051- PARTAP PANWAR- A 86 SHAMLI PL"/>
    <m/>
    <n v="182250"/>
    <s v="1054044.5_x000a_0"/>
    <s v="Partap panwar"/>
    <s v="I F PLOT NO A86"/>
    <s v="REFUND"/>
    <m/>
    <s v="REFUND"/>
    <s v="REFUND"/>
    <m/>
    <m/>
    <x v="1"/>
  </r>
  <r>
    <s v="CLG/YOG ESH SHARMA/4 67809/SBI/_x000a_01.08.2021"/>
    <m/>
    <n v="100000"/>
    <s v="1154044.5_x000a_0"/>
    <s v="YOGESH SHARMA"/>
    <s v="I F PLOT NO A40"/>
    <s v="ADVANCE"/>
    <m/>
    <s v="ADVANCE"/>
    <s v="REFUND(21/10/22)"/>
    <m/>
    <m/>
    <x v="1"/>
  </r>
  <r>
    <s v="RTGS/ICIC R4202108 050051129_x000a_4/PUNB00_x000a_26610/kas am alo"/>
    <n v="1000000"/>
    <m/>
    <n v="154044.5"/>
    <s v="KASAM ALI"/>
    <s v="FARMER PAYMENT"/>
    <m/>
    <m/>
    <m/>
    <m/>
    <m/>
    <m/>
    <x v="7"/>
  </r>
  <r>
    <s v="UPI/12171 4585272/U_x000a_PI/bittux87 @oksbi/Ye s Bank Ltd/S"/>
    <m/>
    <n v="20000"/>
    <n v="174044.5"/>
    <s v="BITTU"/>
    <s v="I F PLOT NO A15"/>
    <m/>
    <m/>
    <m/>
    <s v="REFUND(28/5/22)"/>
    <m/>
    <s v="REFUND(28/5/22)"/>
    <x v="1"/>
  </r>
  <r>
    <s v="UPI/12171 4572033/U_x000a_PI/bittux87 @oksbi/Ye s Bank Ltd/S"/>
    <m/>
    <n v="15000"/>
    <n v="189044.5"/>
    <s v="BITTU"/>
    <s v="I F PLOT NO A15"/>
    <m/>
    <m/>
    <m/>
    <s v="REFUND(28/5/22)"/>
    <m/>
    <s v="REFUND(28/5/22)"/>
    <x v="1"/>
  </r>
  <r>
    <s v="UPI/12171 8830776/U_x000a_PI/bittux87 @oksbi/Ye s Bank Ltd/S"/>
    <m/>
    <n v="15000"/>
    <n v="204044.5"/>
    <s v="BITTU"/>
    <s v="I F PLOT NO A15"/>
    <m/>
    <m/>
    <m/>
    <s v="REFUND(28/5/22)"/>
    <m/>
    <s v="REFUND(28/5/22)"/>
    <x v="1"/>
  </r>
  <r>
    <s v="UPI/12171 9900230/U_x000a_PI/bittux87 @oksbi/Ye s Bank Ltd/S"/>
    <m/>
    <n v="15000"/>
    <n v="219044.5"/>
    <s v="BITTU"/>
    <s v="I F PLOT NO A15"/>
    <m/>
    <m/>
    <m/>
    <s v="REFUND(28/5/22)"/>
    <m/>
    <s v="REFUND(28/5/22)"/>
    <x v="1"/>
  </r>
  <r>
    <s v="UPI/12171 9889782/U_x000a_PI/bittux87 @oksbi/Ye s Bank Ltd/S"/>
    <m/>
    <n v="10000"/>
    <n v="229044.5"/>
    <s v="BITTU"/>
    <s v="I F PLOT NO A15"/>
    <m/>
    <m/>
    <m/>
    <s v="REFUND(28/5/22)"/>
    <m/>
    <s v="REFUND(28/5/22)"/>
    <x v="1"/>
  </r>
  <r>
    <s v="UPI/12180 9419984/U_x000a_PI/bittux87 @oksbi/Ye s Bank Ltd/S"/>
    <m/>
    <n v="10000"/>
    <n v="239044.5"/>
    <s v="BITTU"/>
    <s v="I F PLOT NO A15"/>
    <m/>
    <m/>
    <m/>
    <s v="REFUND(28/5/22)"/>
    <m/>
    <s v="REFUND(28/5/22)"/>
    <x v="1"/>
  </r>
  <r>
    <s v="UPI/12180 9480217/U_x000a_PI/bittux87 @oksbi/Ye s Bank Ltd/S"/>
    <m/>
    <n v="5000"/>
    <n v="244044.5"/>
    <s v="BITTU"/>
    <s v="I F PLOT NO A15"/>
    <m/>
    <m/>
    <m/>
    <s v="REFUND(28/5/22)"/>
    <m/>
    <s v="REFUND(28/5/22)"/>
    <x v="1"/>
  </r>
  <r>
    <s v="UPI/12182 4629822/P_x000a_ayment from Ph/971975_x000a_1001@ybl/I C"/>
    <m/>
    <n v="25000"/>
    <n v="269044.5"/>
    <s v="YOGESH TYAGI"/>
    <s v="I F PLOT NO B22"/>
    <m/>
    <m/>
    <m/>
    <s v="REFUND"/>
    <m/>
    <m/>
    <x v="1"/>
  </r>
  <r>
    <s v="UPI/12187 8856024/P_x000a_ayment from Ph/971975_x000a_1001@ybl/I C"/>
    <m/>
    <n v="25000"/>
    <n v="294044.5"/>
    <s v="YOGESH TYAGI"/>
    <s v="I F PLOT NO B22"/>
    <s v="REFUND(22/10/21"/>
    <m/>
    <s v="REFUND(22/10/21"/>
    <s v="REFUND"/>
    <m/>
    <m/>
    <x v="1"/>
  </r>
  <r>
    <s v="CLG/RAJE EV SHARMA/0 00032/HDF_x000a_/05.08.202 1"/>
    <m/>
    <n v="500000"/>
    <n v="794044.5"/>
    <s v="RAJEEV SHARMA"/>
    <s v="IN THE FAVOUR OF RAHUL TOMAR CAPITAL"/>
    <m/>
    <m/>
    <m/>
    <s v="ADVANCE"/>
    <m/>
    <m/>
    <x v="10"/>
  </r>
  <r>
    <s v="TRFR FROM: ARCHANA KUMARI"/>
    <m/>
    <n v="100000"/>
    <n v="894044.5"/>
    <s v="ARCHANA KUMARI"/>
    <s v="I F PLOT NO A37"/>
    <m/>
    <m/>
    <m/>
    <s v="REFUND(11/1/22)"/>
    <m/>
    <s v="REFUND (11/1/22)"/>
    <x v="1"/>
  </r>
  <r>
    <s v="UPI/12219 8348885/U_x000a_PI/sbavura @okhdfcb/ HDFC BANK LTD"/>
    <m/>
    <n v="2000"/>
    <n v="896044.5"/>
    <s v="SAGAR"/>
    <s v="I F PLOT NO A48"/>
    <m/>
    <m/>
    <m/>
    <s v="OPEN IN REGISTRY"/>
    <m/>
    <m/>
    <x v="1"/>
  </r>
  <r>
    <s v="RTGS/ICIC R4202108 090052632_x000a_9/PUNB00_x000a_26610/inus h ali"/>
    <n v="250000"/>
    <m/>
    <n v="646044.5"/>
    <s v="INUSH ALI"/>
    <s v="FARMER PAYMENT"/>
    <s v="ADVANCE"/>
    <m/>
    <s v="ADVANCE"/>
    <m/>
    <m/>
    <m/>
    <x v="7"/>
  </r>
  <r>
    <s v="RTGS/ICIC R4202108 090052658_x000a_3/PUNB00_x000a_26610/shal au di"/>
    <n v="250000"/>
    <m/>
    <n v="396044.5"/>
    <s v="SHALAU DIN"/>
    <s v="FARMER PAYMENT"/>
    <s v="BEHALF OF FARMER"/>
    <m/>
    <s v="BEHALF OF FARMER"/>
    <m/>
    <m/>
    <m/>
    <x v="7"/>
  </r>
  <r>
    <s v="MMT/IMPS_x000a_/12221586 3507/MOB UA041135 0275/Mr LOKESH/S"/>
    <m/>
    <n v="2000"/>
    <n v="398044.5"/>
    <s v="LOKESH"/>
    <s v="I F PLOT NO B14"/>
    <m/>
    <m/>
    <m/>
    <s v="ADVANCE"/>
    <m/>
    <m/>
    <x v="1"/>
  </r>
  <r>
    <s v="CLG/YOG ESH SHARMA PRITHI/46 7810/SBI/0_x000a_4.08.2021"/>
    <m/>
    <n v="100000"/>
    <n v="498044.5"/>
    <s v="YOGESH SHARMA"/>
    <s v="I F PLOT NO A40"/>
    <m/>
    <m/>
    <m/>
    <s v="REFUND(21/10/22)"/>
    <m/>
    <m/>
    <x v="1"/>
  </r>
  <r>
    <s v="INF/INFT/0 247398506_x000a_71/aasutya giretene/aa shu"/>
    <n v="300000"/>
    <m/>
    <n v="198044.5"/>
    <s v="AASHU TYAGI"/>
    <s v="FROM YOGESH TYAGI CAPITAL"/>
    <s v="ADVANCE"/>
    <m/>
    <s v="ADVANCE"/>
    <s v="REFUND"/>
    <m/>
    <s v="REFUND (4/10/21, 15/1/22)"/>
    <x v="6"/>
  </r>
  <r>
    <s v="MMT/IMPS_x000a_/12241168_x000a_2439/Vikas Kumar/VIK AS_x000a_KUM/Kotak"/>
    <m/>
    <n v="1000"/>
    <n v="199044.5"/>
    <s v="VIKAS KUMAR"/>
    <s v="I F PLOT NO A15"/>
    <m/>
    <m/>
    <m/>
    <s v="REFUND(28/5/22)"/>
    <m/>
    <m/>
    <x v="1"/>
  </r>
  <r>
    <s v="NEFT- KKBKH212 24651718- VIKAS KUMAR- PAYMENT_x000a_-4511758"/>
    <m/>
    <n v="299000"/>
    <n v="498044.5"/>
    <s v="VIKAS KUMAR"/>
    <s v="I F PLOT NO A15"/>
    <m/>
    <m/>
    <m/>
    <s v="REFUND(28/5/22)"/>
    <m/>
    <m/>
    <x v="1"/>
  </r>
  <r>
    <s v="UPI/12259 1440944/P_x000a_ayment from Ph/971975_x000a_1001@ybl/I C"/>
    <m/>
    <n v="25000"/>
    <n v="523044.5"/>
    <s v="YOGESH TYAGI"/>
    <s v="I F PLOT NO A 14"/>
    <m/>
    <m/>
    <m/>
    <s v="REFUND"/>
    <m/>
    <m/>
    <x v="1"/>
  </r>
  <r>
    <s v="UPI/12250 7006300/P_x000a_ayment from Ph/971975_x000a_1001@ybl/I C"/>
    <m/>
    <n v="24000"/>
    <n v="547044.5"/>
    <s v="YOGESH TYAGI"/>
    <s v="I F PLOT NO A 14"/>
    <m/>
    <m/>
    <m/>
    <s v="REFUND"/>
    <m/>
    <m/>
    <x v="1"/>
  </r>
  <r>
    <s v="RTGS/ICIC R4202108 130052546_x000a_3/PUNB00_x000a_26610/kas am alo"/>
    <n v="500000"/>
    <m/>
    <n v="47044.5"/>
    <s v="KASAM ALI"/>
    <s v="FARMER PAYMENT"/>
    <m/>
    <m/>
    <m/>
    <m/>
    <m/>
    <m/>
    <x v="7"/>
  </r>
  <r>
    <s v="BIL/INFT/0 001842322_x000a_63/Investm ent/"/>
    <m/>
    <n v="35000"/>
    <n v="82044.5"/>
    <s v="Vipin kumar"/>
    <s v="I F PLOT NO A20"/>
    <m/>
    <m/>
    <m/>
    <s v="ADVANCE"/>
    <m/>
    <m/>
    <x v="1"/>
  </r>
  <r>
    <s v="UPI/12277 4209395/U_x000a_PI/monikac houdhary/S tate Bank Of"/>
    <m/>
    <n v="500"/>
    <n v="82544.5"/>
    <s v="MONIKA CHOUDHARY"/>
    <s v="I F PLOT NO B24"/>
    <s v="BEHALF OF FARMER"/>
    <m/>
    <s v="BEHALF OF FARMER"/>
    <s v="ADVANCE"/>
    <m/>
    <m/>
    <x v="1"/>
  </r>
  <r>
    <s v="UPI/12277 4236806/U_x000a_PI/monikac houdhary/S tate Bank Of"/>
    <m/>
    <n v="25000"/>
    <n v="107544.5"/>
    <s v="MONIKA CHOUDHARY"/>
    <s v="I F PLOT NO B24"/>
    <s v="RETURN"/>
    <m/>
    <s v="RETURN"/>
    <s v="ADVANCE"/>
    <m/>
    <m/>
    <x v="1"/>
  </r>
  <r>
    <s v="UPI/12277 4260316/U_x000a_PI/monikac houdhary/S tate Bank Of"/>
    <m/>
    <n v="24500"/>
    <n v="132044.5"/>
    <s v="MONIKA CHOUDHARY"/>
    <s v="I F PLOT NO B24"/>
    <s v="RETURN"/>
    <m/>
    <s v="RETURN"/>
    <s v="ADVANCE"/>
    <m/>
    <m/>
    <x v="1"/>
  </r>
  <r>
    <s v="CLG/JITEN DRA KUMAR/34 9414/SBI/1_x000a_2.08.2021"/>
    <m/>
    <n v="50000"/>
    <n v="182044.5"/>
    <s v="JITENDRA KUMAR"/>
    <s v="I F PLOT NO A42"/>
    <s v="ADVANCE"/>
    <m/>
    <s v="ADVANCE"/>
    <s v="REFUND(6/8/22)"/>
    <m/>
    <m/>
    <x v="1"/>
  </r>
  <r>
    <s v="CLG/ASHOK KUMAR/541964/CAB/_x000a_11.08.2021"/>
    <m/>
    <n v="175000"/>
    <n v="357044.5"/>
    <s v="ASHOK KUMAR"/>
    <s v="I F PLOT NO B31"/>
    <s v="BEHALF OF FARMER"/>
    <m/>
    <s v="BEHALF OF FARMER"/>
    <s v="ADVANCE"/>
    <m/>
    <s v="REFUND (23/5/23)"/>
    <x v="1"/>
  </r>
  <r>
    <s v="CLG/NIMM I CHAUDHA RY/314920_x000a_/SBI/12.08. 2021"/>
    <m/>
    <n v="300000"/>
    <n v="657044.5"/>
    <s v="NIMMI CHAUDHARY"/>
    <s v="I F PLOT NO A49"/>
    <s v="ADVANCE"/>
    <m/>
    <s v="ADVANCE"/>
    <s v="BOUNCE"/>
    <m/>
    <m/>
    <x v="1"/>
  </r>
  <r>
    <s v="REJECT:3 14920:DR AWERS SIGNATU RE DIFFERS"/>
    <n v="300000"/>
    <m/>
    <n v="357044.5"/>
    <s v="NIMMI CHAUDHARY"/>
    <s v="I F PLOT NO A49(BOUNCE)"/>
    <s v="ADVANCE"/>
    <m/>
    <s v="ADVANCE"/>
    <s v="BOUNCE"/>
    <m/>
    <m/>
    <x v="1"/>
  </r>
  <r>
    <s v="CLG/SUBH ASH CHAND/65 9229/PNB/_x000a_13.08.2021"/>
    <m/>
    <n v="250000"/>
    <n v="607044.5"/>
    <s v="SUBHASH CHAND"/>
    <s v="I F PLOT NO A14"/>
    <s v="BEHALF OF FARMER"/>
    <m/>
    <s v="BEHALF OF FARMER"/>
    <s v="ADVANCE"/>
    <m/>
    <m/>
    <x v="1"/>
  </r>
  <r>
    <s v="CLG/BRIJ ESH/531343/CAB/16.0_x000a_8.2021"/>
    <m/>
    <n v="100000"/>
    <n v="707044.5"/>
    <s v="BRIJESH"/>
    <s v="I F PLOT NO B24"/>
    <s v="RETURN"/>
    <m/>
    <s v="RETURN"/>
    <s v="OPEN IN REGISTRY"/>
    <m/>
    <s v="ADVANCE"/>
    <x v="1"/>
  </r>
  <r>
    <s v="CLG/VINA Y KUMR/000 003/BNB/1_x000a_5.08.2021"/>
    <m/>
    <n v="800000"/>
    <s v="1507044.5_x000a_0"/>
    <s v="VINAY KUMAR  "/>
    <s v="I F PLOT NO A88"/>
    <m/>
    <m/>
    <m/>
    <s v="REFUND(22/9/22)"/>
    <m/>
    <m/>
    <x v="1"/>
  </r>
  <r>
    <s v="CLG/SUMI T KUMAR/04 8871/PNB/_x000a_14.08.2021"/>
    <m/>
    <n v="500000"/>
    <s v="2007044.5_x000a_0"/>
    <s v="SUMIT KUMAR"/>
    <s v="I F PLOT NO A69"/>
    <m/>
    <m/>
    <m/>
    <s v="ADVANCE"/>
    <m/>
    <m/>
    <x v="1"/>
  </r>
  <r>
    <s v="CLG/MUK ESH KUMAR/88 9154/PNB/_x000a_15.08.2021"/>
    <m/>
    <n v="300000"/>
    <s v="2307044.5_x000a_0"/>
    <s v="MUKESH KUMAR"/>
    <s v="I F PLOT NO A60"/>
    <m/>
    <m/>
    <m/>
    <s v="REFUND(11/4/22)"/>
    <m/>
    <m/>
    <x v="1"/>
  </r>
  <r>
    <s v="CLG/DEVE NDER KUMAR/72 0520/PNB/_x000a_17.08.2021"/>
    <m/>
    <n v="250000"/>
    <s v="2557044.5_x000a_0"/>
    <s v="DEVENDER KUMAR"/>
    <s v="I F PLOT NO A61"/>
    <s v="BOUNCE"/>
    <m/>
    <s v="BOUNCE"/>
    <s v="REFUND(16/9/22)"/>
    <m/>
    <m/>
    <x v="1"/>
  </r>
  <r>
    <s v="CLG/ARVI ND KUMAR/23 4028/CAB/_x000a_17.08.2021"/>
    <m/>
    <n v="164000"/>
    <s v="2721044.5_x000a_0"/>
    <s v="ARVIND KUMAR"/>
    <s v="I F PLOT NO B3"/>
    <s v="BEHALF OF FARMER"/>
    <m/>
    <s v="BEHALF OF FARMER"/>
    <s v="REFUND(18/11/21)"/>
    <m/>
    <s v="REFUND(18/11/21)"/>
    <x v="1"/>
  </r>
  <r>
    <s v="MMT/IMPS_x000a_/12311191 0100/MOB LT1908115 763/SHIKH A GAU/S"/>
    <m/>
    <n v="10000"/>
    <s v="2731044.5_x000a_0"/>
    <s v="SHIKHA"/>
    <s v="I F PLOT NO B9"/>
    <s v="BEHALF OF FARMER"/>
    <m/>
    <s v="BEHALF OF FARMER"/>
    <s v="REFUND(3/9/21)"/>
    <m/>
    <m/>
    <x v="1"/>
  </r>
  <r>
    <s v="NEFT- N2312116 06341979- PARTAP PANWAR- B 30 PLOT PURC"/>
    <m/>
    <n v="175000"/>
    <s v="2906044.5_x000a_0"/>
    <s v="Partap panwar"/>
    <s v="I F PLOT NO B30"/>
    <s v="ADVANCE"/>
    <m/>
    <s v="ADVANCE"/>
    <s v="REFUND"/>
    <m/>
    <m/>
    <x v="1"/>
  </r>
  <r>
    <s v="TRFR FROM:YO GESH TYAGI"/>
    <m/>
    <n v="150000"/>
    <s v="3056044.5_x000a_0"/>
    <s v="YOGESH TYAGI"/>
    <s v="I F PLOT NO A33"/>
    <m/>
    <m/>
    <m/>
    <s v="REFUND"/>
    <m/>
    <m/>
    <x v="1"/>
  </r>
  <r>
    <s v="CLG/VIKA S TOMAR/43 4561/PNB/_x000a_18.08.2021"/>
    <m/>
    <n v="371000"/>
    <s v="3427044.5_x000a_0"/>
    <s v="VIKAS TOMAR"/>
    <s v="I F PLOT NO A38"/>
    <m/>
    <m/>
    <m/>
    <s v="REFUND(8/4/22)"/>
    <m/>
    <m/>
    <x v="1"/>
  </r>
  <r>
    <s v="UPI/12316 6054437/P_x000a_ayment from Ph/xfunda. chaudhar/I"/>
    <m/>
    <n v="20000"/>
    <s v="3447044.5_x000a_0"/>
    <s v="PRIYANKA"/>
    <s v="I F PLOT NO B4"/>
    <s v="RETURN"/>
    <m/>
    <s v="RETURN"/>
    <s v="ADVANCE"/>
    <m/>
    <m/>
    <x v="1"/>
  </r>
  <r>
    <s v="UPI/12317 0116625/U_x000a_PI/xfunda.c haudhar/IC ICI Bank/IC"/>
    <m/>
    <n v="30000"/>
    <s v="3477044.5_x000a_0"/>
    <s v="PRIYANKA"/>
    <s v="I F PLOT NO B5"/>
    <m/>
    <m/>
    <m/>
    <s v="ADVANCE"/>
    <m/>
    <m/>
    <x v="1"/>
  </r>
  <r>
    <s v="RTGS/ICIC R4202108 200050483_x000a_4/PUNB00_x000a_26610/shal au di"/>
    <n v="1000000"/>
    <m/>
    <s v="2477044.5_x000a_0"/>
    <s v="SHALAU DIN"/>
    <s v="FARMER PAYMENT"/>
    <s v="ADVANCE"/>
    <m/>
    <s v="ADVANCE"/>
    <m/>
    <m/>
    <m/>
    <x v="7"/>
  </r>
  <r>
    <s v="RTGS/ICIC R4202108 200050491_x000a_5/PUNB00_x000a_26610/inus h ali"/>
    <n v="1000000"/>
    <m/>
    <s v="1477044.5_x000a_0"/>
    <s v="INUSH ALI"/>
    <s v="FARMER PAYMENT"/>
    <s v="ADVANCE"/>
    <m/>
    <s v="ADVANCE"/>
    <m/>
    <m/>
    <m/>
    <x v="7"/>
  </r>
  <r>
    <s v="RTGS/ICIC R4202108 200050500_x000a_9/PUNB00_x000a_26610/kas am alo"/>
    <n v="1000000"/>
    <m/>
    <n v="477044.5"/>
    <s v="KASAM ALI"/>
    <s v="FARMER PAYMENT"/>
    <s v="ADVANCE"/>
    <m/>
    <s v="ADVANCE"/>
    <m/>
    <m/>
    <m/>
    <x v="7"/>
  </r>
  <r>
    <s v="NEFT- SBIN42123 1747892- MR_x000a_RAKHI TOMAR-_x000a_/ATTN//INB_x000a_-"/>
    <m/>
    <n v="230000"/>
    <n v="707044.5"/>
    <s v="RAKHI TOMAR"/>
    <s v="I F PLOT NO B17"/>
    <m/>
    <m/>
    <m/>
    <s v="REFUND(14/10/22)"/>
    <m/>
    <m/>
    <x v="1"/>
  </r>
  <r>
    <s v="UPI/12356 6880670/b_x000a_ooking/vikr antmalik85 0/HDFC BANK"/>
    <m/>
    <n v="25000"/>
    <n v="732044.5"/>
    <s v="VIKRANT MALIK"/>
    <s v="I F PLOT NO B6"/>
    <m/>
    <m/>
    <m/>
    <s v="ADVANCE"/>
    <m/>
    <m/>
    <x v="1"/>
  </r>
  <r>
    <s v="BIL/INFT/0 001900856_x000a_04/Investm ent/"/>
    <m/>
    <n v="51000"/>
    <n v="783044.5"/>
    <s v="SATENDRA KASYAP"/>
    <s v="I F PLOT NO A11"/>
    <s v="ADVANCE"/>
    <m/>
    <s v="ADVANCE"/>
    <s v="REFUND(13/12/21)"/>
    <m/>
    <m/>
    <x v="1"/>
  </r>
  <r>
    <s v="UPI/12351 9573288/P_x000a_ayment from Ph/945879_x000a_0191@ybl/ St"/>
    <m/>
    <n v="10000"/>
    <n v="793044.5"/>
    <s v="GAURAV KUMAR"/>
    <s v="I F PLOT NO B26"/>
    <s v="ADVANCE"/>
    <m/>
    <s v="ADVANCE"/>
    <s v="ADVANCE"/>
    <m/>
    <m/>
    <x v="1"/>
  </r>
  <r>
    <s v="UPI/12372 8651782/P_x000a_ayment from Ph/avinash tyagi130/P"/>
    <m/>
    <n v="21000"/>
    <n v="814044.5"/>
    <s v="AVINASH TYAGI"/>
    <s v="I F PLOT NO B38"/>
    <m/>
    <m/>
    <m/>
    <s v="ADVANCE"/>
    <m/>
    <s v="ADVANCE"/>
    <x v="1"/>
  </r>
  <r>
    <s v="CLG/CHE QUE/9418 04/SUP/17._x000a_08.2021"/>
    <m/>
    <n v="794000"/>
    <s v="1608044.5_x000a_0"/>
    <s v="SHYAM SINGH CHOUHAN"/>
    <s v="I F PLOT NO A87"/>
    <m/>
    <m/>
    <m/>
    <s v="REFUND(26/8/22)"/>
    <m/>
    <m/>
    <x v="1"/>
  </r>
  <r>
    <s v="CLG/YOG ESH KUMAR/62 0762/SBI/1_x000a_9.08.2021"/>
    <m/>
    <n v="600000"/>
    <s v="2208044.5_x000a_0"/>
    <s v="YOGESH KUMAR"/>
    <s v="IN FAVOUR OF KULDEEP TOMAR CAPITAL"/>
    <m/>
    <m/>
    <m/>
    <s v="ADVANCE"/>
    <m/>
    <m/>
    <x v="11"/>
  </r>
  <r>
    <s v="RTGS/ICIC R4202108 260050669_x000a_8/PUNB00_x000a_26610/kas am alo"/>
    <n v="1000000"/>
    <m/>
    <s v="1208044.5_x000a_0"/>
    <s v="KASAM ALI"/>
    <s v="FARMER PAYMENT"/>
    <s v="ADVANCE"/>
    <m/>
    <s v="ADVANCE"/>
    <m/>
    <m/>
    <m/>
    <x v="7"/>
  </r>
  <r>
    <s v="NEFT- BDBLH212 38023227- MR  SUNIL KUMAR BANSAL-_x000a_/24 -"/>
    <m/>
    <n v="50000"/>
    <s v="1258044.5_x000a_0"/>
    <s v="SUNIL KUMAR BANSAL"/>
    <s v="I F PLOT NO A30"/>
    <s v="BEHALF OF FARMER"/>
    <m/>
    <s v="BEHALF OF FARMER"/>
    <s v="REFUND(7/12/21)"/>
    <m/>
    <m/>
    <x v="1"/>
  </r>
  <r>
    <s v="CLG/REEN A WO/17036 4/PNB/25.0_x000a_8.2021"/>
    <m/>
    <n v="50000"/>
    <s v="1308044.5_x000a_0"/>
    <s v="REENA"/>
    <s v="I F PLOT NO B7"/>
    <s v="BEHALF OF FARMER"/>
    <m/>
    <s v="BEHALF OF FARMER"/>
    <s v="ADVANCE"/>
    <m/>
    <m/>
    <x v="1"/>
  </r>
  <r>
    <s v="CLG/REEN A WO/17036 3/PNB/25.0_x000a_8.2021"/>
    <m/>
    <n v="130000"/>
    <s v="1438044.5_x000a_0"/>
    <s v="REENA"/>
    <s v="I F PLOT NO B4"/>
    <m/>
    <m/>
    <m/>
    <s v="BOUNCE"/>
    <m/>
    <m/>
    <x v="1"/>
  </r>
  <r>
    <s v="CLG/REEN A WO/17036 2/PNB/25.0_x000a_8.2021"/>
    <m/>
    <n v="120000"/>
    <s v="1558044.5_x000a_0"/>
    <s v="REENA"/>
    <s v="I F PLOT NO B5"/>
    <m/>
    <m/>
    <m/>
    <s v="BOUNCE"/>
    <m/>
    <m/>
    <x v="1"/>
  </r>
  <r>
    <s v="NEFT- N2382116 13498815- NARESH KUMAR- TOKEN AMOUNT FO"/>
    <m/>
    <n v="50000"/>
    <s v="1608044.5_x000a_0"/>
    <s v="NARESH KUMAR"/>
    <s v="I F PLOT NO A10"/>
    <s v="ADVANCE"/>
    <m/>
    <s v="ADVANCE"/>
    <s v="REFUND(7/7/22)"/>
    <m/>
    <m/>
    <x v="1"/>
  </r>
  <r>
    <s v="REJECT:1 70363:DR AWERS SIGNATU RE DIFFERS"/>
    <n v="130000"/>
    <m/>
    <s v="1478044.5_x000a_0"/>
    <s v="REENA"/>
    <s v="I F PLOT NO B4"/>
    <m/>
    <m/>
    <m/>
    <s v="BOUNCE"/>
    <m/>
    <m/>
    <x v="1"/>
  </r>
  <r>
    <s v="REJECT:1 70362:DR AWERS SIGNATU RE DIFFERS"/>
    <n v="120000"/>
    <m/>
    <s v="1358044.5_x000a_0"/>
    <s v="REENA"/>
    <s v="I F PLOT NO B5"/>
    <m/>
    <m/>
    <m/>
    <s v="BOUNCE"/>
    <m/>
    <m/>
    <x v="1"/>
  </r>
  <r>
    <s v="NEFT- P2392101 24429943- ITESH BANSAL-- 218910100_x000a_8225-"/>
    <m/>
    <n v="100000"/>
    <s v="1458044.5_x000a_0"/>
    <s v="ITESH BANSAL"/>
    <s v="I F PLOT NO A30"/>
    <m/>
    <m/>
    <m/>
    <s v="REFUND(6/12/21)"/>
    <m/>
    <m/>
    <x v="1"/>
  </r>
  <r>
    <s v="NEFT- BDBLH216 00080334- MR  SUNIL KUMAR BANSAL-_x000a_/24 -"/>
    <m/>
    <n v="150000"/>
    <s v="1608044.5_x000a_0"/>
    <s v="SUNIL KUMAR BANSAL"/>
    <s v="I F PLOT NO A30"/>
    <s v="BEHALF OF FARMER"/>
    <m/>
    <s v="BEHALF OF FARMER"/>
    <s v="REFUND(7/12/21)"/>
    <m/>
    <m/>
    <x v="1"/>
  </r>
  <r>
    <s v="UPI/12409 2219979/P_x000a_ayment from Ph/xfunda. chaudhar/I"/>
    <m/>
    <n v="5000"/>
    <s v="1613044.5_x000a_0"/>
    <s v="PRIYANKA"/>
    <s v="I F PLOT NO A144"/>
    <s v="BEHALF OF FARMER"/>
    <m/>
    <s v="BEHALF OF FARMER"/>
    <s v="ADVANCE"/>
    <m/>
    <m/>
    <x v="1"/>
  </r>
  <r>
    <s v="CLG/BRIJ ESH/53134 4/CAB/25.0_x000a_8.2021"/>
    <m/>
    <n v="50000"/>
    <s v="1663044.5_x000a_0"/>
    <s v="BRIJESH"/>
    <s v="I F PLOT NO B24"/>
    <s v="ADVANCE"/>
    <m/>
    <s v="ADVANCE"/>
    <s v="OPEN IN REGISTRY"/>
    <m/>
    <s v="ADVANCE"/>
    <x v="1"/>
  </r>
  <r>
    <s v="CLG/SHEL LY/948607_x000a_/SBI/26.08. 2021"/>
    <m/>
    <n v="100000"/>
    <s v="1763044.5_x000a_0"/>
    <s v="SHELLY"/>
    <s v="I F PLOT NO B24"/>
    <s v="RETURN"/>
    <m/>
    <s v="RETURN"/>
    <s v="OPEN IN REGISTRY"/>
    <m/>
    <m/>
    <x v="1"/>
  </r>
  <r>
    <s v="NEFT- N2422116 16526775- VIKRANT KUMAR- PLOT B6- 501001"/>
    <m/>
    <n v="150000"/>
    <s v="1913044.5_x000a_0"/>
    <s v="VIKRANT KUMAR"/>
    <s v="I F PLOT NO B6"/>
    <s v="BEHALF OF FARMER"/>
    <s v="REGISTRY"/>
    <s v="BEHALF OF FARMER"/>
    <s v="ADVANCE"/>
    <m/>
    <m/>
    <x v="1"/>
  </r>
  <r>
    <s v="CLG/NIMM I CHOUDHA RY/314923_x000a_/SBI/26.08. 2021"/>
    <m/>
    <n v="300000"/>
    <s v="2213044.5_x000a_0"/>
    <s v="NIMMI CHAUDHARY"/>
    <s v="I F PLOT NO A49"/>
    <m/>
    <m/>
    <m/>
    <s v="REFUND(25/12/22)"/>
    <m/>
    <m/>
    <x v="1"/>
  </r>
  <r>
    <s v="NEFT- PUNBH21 243402928_x000a_-REENA WO SUNIL KUMAR-- 043121"/>
    <m/>
    <n v="130000"/>
    <s v="2343044.5_x000a_0"/>
    <s v="REENA"/>
    <s v="I F PLOT NO B4"/>
    <m/>
    <m/>
    <m/>
    <s v="ADVANCE"/>
    <m/>
    <m/>
    <x v="1"/>
  </r>
  <r>
    <s v="NEFT- PUNBH21 243404117_x000a_-REENA WO SUNIL KUMAR-- 043121"/>
    <m/>
    <n v="120000"/>
    <s v="2463044.5_x000a_0"/>
    <s v="REENA"/>
    <s v="I F PLOT NO B5"/>
    <m/>
    <m/>
    <m/>
    <s v="ADVANCE"/>
    <m/>
    <m/>
    <x v="1"/>
  </r>
  <r>
    <s v="CLG/SUSH ILA/27141 4/IDB/31.0_x000a_8.2021"/>
    <m/>
    <n v="100000"/>
    <s v="2563044.5_x000a_0"/>
    <s v="SUSHILA"/>
    <s v="I F PLOT NO A15"/>
    <m/>
    <m/>
    <m/>
    <s v="REFUND(28/5/22)"/>
    <m/>
    <m/>
    <x v="1"/>
  </r>
  <r>
    <s v="CLG/RAM GOPAL/04 1732/AXI/2_x000a_7.08.2021"/>
    <m/>
    <n v="34000"/>
    <s v="2597044.5_x000a_0"/>
    <s v="RAMGOPAL"/>
    <s v="IN FAVOUR OF KULDEEP TOMAR CAPITAL"/>
    <m/>
    <m/>
    <m/>
    <s v="OPEN IN REGISTRY "/>
    <m/>
    <m/>
    <x v="12"/>
  </r>
  <r>
    <s v="UPI/12456 5363822/P_x000a_ayment from Ph/976046_x000a_4545@ybl/ St"/>
    <m/>
    <n v="1"/>
    <s v="2597045.5_x000a_0"/>
    <s v="ANUJ KUMAR"/>
    <s v="I F PLOT NO B32"/>
    <s v="BEHALF OF FARMER"/>
    <m/>
    <s v="BEHALF OF FARMER"/>
    <s v="REFUND(2/9/22)"/>
    <m/>
    <s v="REFUND (2/9/22)"/>
    <x v="1"/>
  </r>
  <r>
    <s v="UPI/12457 1541356/P_x000a_ayment from Ph/976046_x000a_4545@ybl/ St"/>
    <m/>
    <n v="95000"/>
    <s v="2692045.5_x000a_0"/>
    <s v="ANUJ KUMAR"/>
    <s v="I F PLOT NO B32"/>
    <s v="ADVANCE"/>
    <m/>
    <s v="ADVANCE"/>
    <s v="REFUND(2/9/22)"/>
    <m/>
    <s v="REFUND (2/9/22)"/>
    <x v="1"/>
  </r>
  <r>
    <s v="UPI/12458 4366188/U_x000a_PI/neha.ari hant1@o/P unjab Nation"/>
    <m/>
    <n v="20000"/>
    <s v="2712045.5_x000a_0"/>
    <s v="NEHA VERMA"/>
    <s v="I F PLOT NO A56"/>
    <s v="REFUND(27/7/21)"/>
    <m/>
    <s v="REFUND(27/7/21)"/>
    <s v="ADVANCE"/>
    <m/>
    <m/>
    <x v="1"/>
  </r>
  <r>
    <s v="NEFT- BDBLH216 00363305- MR  SUNIL KUMAR BANSAL-_x000a_/24 -"/>
    <m/>
    <n v="129500"/>
    <s v="2841545.5_x000a_0"/>
    <s v="SUNIL KUMAR BANSAL"/>
    <s v="I F PLOT NO A29"/>
    <m/>
    <m/>
    <m/>
    <s v="REFUND(28/12/21)"/>
    <m/>
    <m/>
    <x v="1"/>
  </r>
  <r>
    <s v="NEFT- P2452101 25314978- ITESH BANSAL-- 218910100_x000a_8225-"/>
    <m/>
    <n v="229500"/>
    <s v="3071045.5_x000a_0"/>
    <s v="ITESH BANSAL"/>
    <s v="I F PLOT NO A29"/>
    <m/>
    <m/>
    <m/>
    <s v="REFUND(22/12/21)"/>
    <m/>
    <m/>
    <x v="1"/>
  </r>
  <r>
    <s v="UPI/12457 4517178/N A/9456248_x000a_524@payt/ Bank of India/"/>
    <m/>
    <n v="10000"/>
    <s v="3081045.5_x000a_0"/>
    <s v="ABINAV AGRWAL"/>
    <s v="I F PLOT NO A29"/>
    <m/>
    <m/>
    <m/>
    <s v="ADVANCE"/>
    <m/>
    <s v="REFUND (3/9/21)"/>
    <x v="1"/>
  </r>
  <r>
    <s v="UPI/12465 1207423/U_x000a_PI/ksandee p60489@o_x000a_/Axis Bank Ltd"/>
    <m/>
    <n v="1"/>
    <s v="3081046.5_x000a_0"/>
    <s v="SANDEEP"/>
    <s v="IN FAVOUR OF KULDEEP TOMAR CAPITAL"/>
    <m/>
    <m/>
    <m/>
    <s v="ADVANCE"/>
    <m/>
    <m/>
    <x v="13"/>
  </r>
  <r>
    <s v="UPI/12467 5372743/P_x000a_ayment from Ph/976046_x000a_4545@ybl/ St"/>
    <m/>
    <n v="95000"/>
    <s v="3176046.5_x000a_0"/>
    <s v="ANUJ KUMAR"/>
    <s v="I F PLOT NO B32"/>
    <m/>
    <m/>
    <m/>
    <s v="REFUND(2/9/22)"/>
    <m/>
    <s v="REFUND (2/9/22)"/>
    <x v="1"/>
  </r>
  <r>
    <s v="UPI/12465 2613955/P_x000a_ayment from Ph/895804_x000a_6933@axl/ Pu"/>
    <m/>
    <n v="5000"/>
    <s v="3181046.5_x000a_0"/>
    <s v="RAHUL KUMAR"/>
    <s v="I F PLOT NO B25"/>
    <s v="RETURN"/>
    <m/>
    <s v="RETURN"/>
    <s v="ADVANCE"/>
    <m/>
    <m/>
    <x v="1"/>
  </r>
  <r>
    <s v="NEFT- 000356804_x000a_251- RAJKUMA R-_x000a_/URGENT/- 536402030_x000a_00011"/>
    <m/>
    <n v="10000"/>
    <s v="3191046.5_x000a_0"/>
    <s v="RAJKUMAR"/>
    <s v="I F PLOT NO B40"/>
    <s v="BEHALF OF FARMER"/>
    <m/>
    <s v="BEHALF OF FARMER"/>
    <s v="ADVANCE"/>
    <m/>
    <m/>
    <x v="1"/>
  </r>
  <r>
    <s v="NEFT- 000196997_x000a_758- SUMAN  - VIB NEFT- 309000412_x000a_971-RA"/>
    <m/>
    <n v="25000"/>
    <s v="3216046.5_x000a_0"/>
    <s v="SUMAN"/>
    <s v="I F PLOT NO B40"/>
    <s v="ADVANCE"/>
    <m/>
    <s v="ADVANCE"/>
    <s v="ADVANCE"/>
    <m/>
    <m/>
    <x v="1"/>
  </r>
  <r>
    <s v="UPI/12465 4718339/U_x000a_PI/ksandee p60489@o_x000a_/Axis Bank Ltd"/>
    <m/>
    <n v="50000"/>
    <s v="3266046.5_x000a_0"/>
    <s v="SANDEEP"/>
    <s v="IN FAVOUR OF KULDEEP TOMAR CAPITAL"/>
    <m/>
    <m/>
    <m/>
    <s v="ADVANCE"/>
    <m/>
    <m/>
    <x v="13"/>
  </r>
  <r>
    <s v="NEFT- SBIN22124 6543792- MR  RAJ KUMAR-_x000a_/ATTN//INB_x000a_-00"/>
    <m/>
    <n v="165000"/>
    <s v="3431046.5_x000a_0"/>
    <s v="RAJKUMAR"/>
    <s v="I F PLOT NO B40"/>
    <s v="BEHALF OF FARMER"/>
    <s v="refund(7/6/22)"/>
    <s v="BEHALF OF FARMER"/>
    <s v="ADVANCE"/>
    <m/>
    <m/>
    <x v="1"/>
  </r>
  <r>
    <s v="MMT/IMPS_x000a_/12461824_x000a_3854/refun db910/sikh a_x000a_/PUNB00"/>
    <n v="10000"/>
    <m/>
    <s v="3421046.5_x000a_0"/>
    <s v="SIKHA"/>
    <s v="I F PLOT NO B9"/>
    <s v="ADVANCE"/>
    <m/>
    <s v="ADVANCE"/>
    <s v="REFUND(19/8/21)"/>
    <m/>
    <m/>
    <x v="1"/>
  </r>
  <r>
    <s v="NEFT- PUNBH21 246754828_x000a_-RAJ KUMAR RACHNA CHAUDHA RY"/>
    <m/>
    <n v="100000"/>
    <s v="3521046.5_x000a_0"/>
    <s v="RAJ KUMAR"/>
    <s v="I F PLOT NO B40"/>
    <s v="BEHALF OF FARMER"/>
    <m/>
    <s v="BEHALF OF FARMER"/>
    <s v="ADVANCE"/>
    <m/>
    <m/>
    <x v="1"/>
  </r>
  <r>
    <s v="MMT/IMPS_x000a_/12461941_x000a_3583/retun a29/abhina v_x000a_/BKID0007"/>
    <n v="10000"/>
    <m/>
    <s v="3511046.5_x000a_0"/>
    <s v="ABINAV AGRWAL"/>
    <s v="FROM PLOT NO A29"/>
    <s v="ADVANCE"/>
    <m/>
    <s v="ADVANCE"/>
    <s v="ADVANCE"/>
    <m/>
    <s v="REFUND AS ON DATE (2/9/21)"/>
    <x v="1"/>
  </r>
  <r>
    <s v="NEFT- 000197238_x000a_310- SUMAN  - VIB NEFT- 309000412_x000a_971-RA"/>
    <m/>
    <n v="100000"/>
    <s v="3611046.5_x000a_0"/>
    <s v="SUMAN"/>
    <s v="I F PLOT NO B40"/>
    <s v="ADVANCE"/>
    <m/>
    <s v="ADVANCE"/>
    <s v="ADVANCE"/>
    <m/>
    <m/>
    <x v="1"/>
  </r>
  <r>
    <s v="NEFT- PUNBH21 247794411_x000a_-RAJ KUMAR RACHNA CHAUDHA RY"/>
    <m/>
    <n v="100000"/>
    <s v="3711046.5_x000a_0"/>
    <s v="RAJ KUMAR"/>
    <s v="I F PLOT NO B40"/>
    <s v="ADVANCE"/>
    <m/>
    <s v="ADVANCE"/>
    <s v="ADVANCE"/>
    <m/>
    <m/>
    <x v="1"/>
  </r>
  <r>
    <s v="UPI/12471 3580743/U_x000a_PI/birpalsin gh804@/St ate Bank Of"/>
    <m/>
    <n v="1"/>
    <s v="3711047.5_x000a_0"/>
    <s v="BIRPAL SINGH"/>
    <s v="I F PLOT NO B46"/>
    <m/>
    <m/>
    <m/>
    <s v="ADVANCE"/>
    <m/>
    <s v="REFUND(4/7/23)"/>
    <x v="1"/>
  </r>
  <r>
    <s v="UPI/12471 4597787/U_x000a_PI/birpalsin gh804@/St ate Bank Of"/>
    <m/>
    <n v="99999"/>
    <s v="3811046.5_x000a_0"/>
    <s v="BIRPAL SINGH"/>
    <s v="I F PLOT NO B46"/>
    <m/>
    <m/>
    <m/>
    <s v="ADVANCE"/>
    <m/>
    <s v="REFUND(4/7/23)"/>
    <x v="1"/>
  </r>
  <r>
    <s v="UPI/12477 3530633/U_x000a_PI/ksandee p60489@o_x000a_/Axis Bank Ltd"/>
    <m/>
    <n v="50000"/>
    <s v="3861046.5_x000a_0"/>
    <s v="SANDEEP"/>
    <s v="IN FAVOUR OF KULDEEP TOMAR CAPITAL"/>
    <m/>
    <m/>
    <m/>
    <s v="ADVANCE"/>
    <m/>
    <m/>
    <x v="13"/>
  </r>
  <r>
    <s v="UPI/12474 4639728/P_x000a_ayment from Ph/976046_x000a_4545@ybl/ St"/>
    <m/>
    <n v="10000"/>
    <s v="3871046.5_x000a_0"/>
    <s v="ANUJ KUMAR"/>
    <s v="I F PLOT NO B32"/>
    <m/>
    <m/>
    <m/>
    <s v="REFUND(2/9/22)"/>
    <m/>
    <s v="REFUND (2/9/22)"/>
    <x v="1"/>
  </r>
  <r>
    <s v="UPI/12477 9850073/U_x000a_PI/ksandee p60489@o_x000a_/Axis Bank Ltd"/>
    <m/>
    <n v="40000"/>
    <s v="3911046.5_x000a_0"/>
    <s v="SANDEEP"/>
    <s v="IN FAVOUR OF KULDEEP TOMAR CAPITAL"/>
    <m/>
    <m/>
    <m/>
    <s v="ADVANCE"/>
    <m/>
    <m/>
    <x v="13"/>
  </r>
  <r>
    <s v="MMT/IMPS_x000a_/12490973_x000a_8704/Vikas A15/VIKAS_x000a_KUM/Kotak M"/>
    <m/>
    <n v="10000"/>
    <s v="3921046.5_x000a_0"/>
    <s v="VIKAS KUMAR"/>
    <s v="I F PLOT NO A 15"/>
    <s v="ADVANCE"/>
    <m/>
    <s v="ADVANCE"/>
    <s v="REFUND(28/5/22)"/>
    <m/>
    <m/>
    <x v="1"/>
  </r>
  <r>
    <s v="CLG/SEPO Y GAURAV KUMAR/56 3827/SBI/0_x000a_2.09.2021"/>
    <m/>
    <n v="100000"/>
    <s v="4021046.5_x000a_0"/>
    <s v="GAURAV KUMAR"/>
    <s v="I F PLOT NO B26"/>
    <s v="ADVANCE"/>
    <m/>
    <s v="ADVANCE"/>
    <s v="ADVANCE"/>
    <m/>
    <m/>
    <x v="1"/>
  </r>
  <r>
    <s v="UPI/12491 9100232/N O REMARKS_x000a_/76786064_x000a_34@upi/St ate B"/>
    <m/>
    <n v="1"/>
    <s v="4021047.5_x000a_0"/>
    <s v="SATYABEER"/>
    <s v="I F PLOT NO B25"/>
    <s v="BEHALF OF FARMER"/>
    <m/>
    <s v="BEHALF OF FARMER"/>
    <s v="ADVANCE"/>
    <m/>
    <m/>
    <x v="1"/>
  </r>
  <r>
    <s v="UPI/12491 9117204/Fr_x000a_om Satyabeer/ 767860643_x000a_4@upi/Sta"/>
    <m/>
    <n v="39999"/>
    <s v="4061046.5_x000a_0"/>
    <s v="SATYABEER"/>
    <s v="I F PLOT NO B25"/>
    <s v="BOUNCE"/>
    <m/>
    <s v="BOUNCE"/>
    <s v="ADVANCE"/>
    <m/>
    <m/>
    <x v="1"/>
  </r>
  <r>
    <s v="MMT/IMPS_x000a_/12492200_x000a_7515/for plot number/PR ITI PANW/P"/>
    <m/>
    <n v="1000"/>
    <s v="4062046.5_x000a_0"/>
    <s v="PRITI PANWAR"/>
    <s v="I F PLOT NO A73"/>
    <m/>
    <m/>
    <m/>
    <s v="REFUND(6/6/22)"/>
    <m/>
    <m/>
    <x v="1"/>
  </r>
  <r>
    <s v="NEFT- AXMB2125 03717341- INDU SHARMA-- 913010035_x000a_376305"/>
    <m/>
    <n v="47500"/>
    <s v="4109546.5_x000a_0"/>
    <s v="INDU SHARMSA"/>
    <s v="I F PLOT NO A39"/>
    <m/>
    <m/>
    <m/>
    <s v="REFUND(14/2/22)"/>
    <m/>
    <m/>
    <x v="1"/>
  </r>
  <r>
    <s v="UPI/12500 8417568/Fr_x000a_om Satyabeer/ 767860643_x000a_4@upi/Sta"/>
    <m/>
    <n v="40000"/>
    <s v="4149546.5_x000a_0"/>
    <s v="SATYABEER"/>
    <s v="I F PLOT NO B25"/>
    <s v="BOUNCE"/>
    <m/>
    <s v="BOUNCE"/>
    <s v="ADVANCE"/>
    <m/>
    <m/>
    <x v="1"/>
  </r>
  <r>
    <s v="UPI/12501 9872198/U_x000a_PI/ksandee p60489@o_x000a_/Axis Bank Ltd"/>
    <m/>
    <n v="50000"/>
    <s v="4199546.5_x000a_0"/>
    <s v="SANDEEP"/>
    <s v="IN FAVOUR OF KULDEEP TOMAR CAPITAL"/>
    <m/>
    <m/>
    <m/>
    <s v="ADVANCE"/>
    <m/>
    <m/>
    <x v="13"/>
  </r>
  <r>
    <s v="CLG/NEHA VERMA/86 0445/PNB/_x000a_04.09.2021"/>
    <m/>
    <n v="150000"/>
    <s v="4349546.5_x000a_0"/>
    <s v="NEHA VERMA"/>
    <s v="I F PLOT NO A56"/>
    <s v="REFUND(12/9/21)"/>
    <m/>
    <s v="REFUND(12/9/21)"/>
    <s v="ADVANCE"/>
    <m/>
    <m/>
    <x v="1"/>
  </r>
  <r>
    <s v="NEFT- KKBKH212 50617321- VIKAS KUMAR- PAYMENT_x000a_-4511758"/>
    <m/>
    <n v="150000"/>
    <s v="4499546.5_x000a_0"/>
    <s v="VIKAS KUMAR"/>
    <s v="I F PLOT NO A15"/>
    <m/>
    <m/>
    <m/>
    <s v="REFUND(28/5/22)"/>
    <m/>
    <m/>
    <x v="1"/>
  </r>
  <r>
    <s v="MMT/IMPS_x000a_/12501102_x000a_8522/Plot number A_x000a_/PRITI PANW/P"/>
    <m/>
    <n v="99000"/>
    <s v="4598546.5_x000a_0"/>
    <s v="PRITI PANWAR"/>
    <s v="I F PLOT NO A73"/>
    <m/>
    <m/>
    <m/>
    <s v="REFUND(6/6/22)"/>
    <m/>
    <m/>
    <x v="1"/>
  </r>
  <r>
    <s v="NEFT- AXMB2125 03800221- VIKRANT MALIK 8046/PTC- FROM"/>
    <m/>
    <n v="20000"/>
    <s v="4618546.5_x000a_0"/>
    <s v="VIKRANT MALIK"/>
    <s v="I F PLOT NO B25"/>
    <m/>
    <m/>
    <m/>
    <s v="ADVANCE"/>
    <m/>
    <m/>
    <x v="1"/>
  </r>
  <r>
    <s v="NEFT- PUNBH21 250582042_x000a_-PRITI PANWAR-- 403900010_x000a_01943"/>
    <m/>
    <n v="200000"/>
    <s v="4818546.5_x000a_0"/>
    <s v="PRITI PANWAR"/>
    <s v="I F PLOT NO A73"/>
    <m/>
    <m/>
    <m/>
    <s v="REFUND(6/6/22)"/>
    <m/>
    <m/>
    <x v="1"/>
  </r>
  <r>
    <s v="RTGS- SBINR520 210907410_x000a_73639- SHAHROZ_x000a_- 316557645_x000a_63-SB"/>
    <m/>
    <n v="334976.40000000002"/>
    <s v="5153522.9_x000a_0"/>
    <s v="SHAHROZ"/>
    <s v="I F PLOT NO A144"/>
    <m/>
    <m/>
    <m/>
    <s v="ADVANCE"/>
    <m/>
    <m/>
    <x v="1"/>
  </r>
  <r>
    <s v="CLG/JITEN DEE PAL SINGH/016 801/PNB/0_x000a_5.09.2021"/>
    <m/>
    <n v="190000"/>
    <s v="5343522.9_x000a_0"/>
    <s v="JITENDEE PAL SINGH"/>
    <s v="I F PLOT NO A74"/>
    <m/>
    <m/>
    <m/>
    <s v="ADVANCE"/>
    <m/>
    <m/>
    <x v="1"/>
  </r>
  <r>
    <s v="CLG/MEE NU ANKIT KUMAR/14 1920/PNB/_x000a_05.09.2021"/>
    <m/>
    <n v="282000"/>
    <s v="5625522.9_x000a_0"/>
    <s v="MEENU ANKIT KUMAR"/>
    <s v="I F PLOT NO B25"/>
    <s v="BEHALF OF FARMER"/>
    <m/>
    <s v="BEHALF OF FARMER"/>
    <s v="ADVANCE"/>
    <m/>
    <m/>
    <x v="1"/>
  </r>
  <r>
    <s v="CLG/JITEN DRA KUMAR/34 9415/SBI/0_x000a_5.09.2021"/>
    <m/>
    <n v="250000"/>
    <s v="5875522.9_x000a_0"/>
    <s v="JITENDRA KUMAR"/>
    <s v="I F PLOT NO A42"/>
    <m/>
    <m/>
    <m/>
    <s v="REFUND(6/8/22)"/>
    <m/>
    <m/>
    <x v="1"/>
  </r>
  <r>
    <s v="CLG/SHIV RAJ SINGH/170 660/SBI/03_x000a_.09.2021"/>
    <m/>
    <n v="175000"/>
    <s v="6050522.9_x000a_0"/>
    <s v="SHIVRAJ SINGH"/>
    <s v="I F PLOT NO A55"/>
    <s v="REFUND(19/8/21)"/>
    <m/>
    <s v="REFUND(19/8/21)"/>
    <s v="REFUND(14/4/22)"/>
    <m/>
    <m/>
    <x v="1"/>
  </r>
  <r>
    <s v="CLG/MAN SIH YADAV/00 1684/OBC/_x000a_03.09.2021"/>
    <m/>
    <n v="100000"/>
    <s v="6150522.9_x000a_0"/>
    <s v="MANSIH YADAV"/>
    <s v="I F PLOT NO B38"/>
    <s v="ADVANCE"/>
    <m/>
    <s v="ADVANCE"/>
    <s v="ADVANCE"/>
    <m/>
    <m/>
    <x v="1"/>
  </r>
  <r>
    <s v="CLG/CHA RAN SINGH/187 962/PNB/0_x000a_5.09.2021"/>
    <m/>
    <n v="782600"/>
    <s v="6933122.9_x000a_0"/>
    <s v="CHARAN SINGH"/>
    <s v="I F PLOT NO B33"/>
    <s v="ADVANCE"/>
    <m/>
    <s v="ADVANCE"/>
    <s v="BOUNCE"/>
    <m/>
    <s v="BOUNCE"/>
    <x v="1"/>
  </r>
  <r>
    <s v="REJECT:1 87962:ALT ERATNS/C ORRECTN S ON INSTRMN TS PRO"/>
    <n v="782600"/>
    <m/>
    <s v="6150522.9_x000a_0"/>
    <s v="CHARAN SINGH"/>
    <s v="I F PLOT NO B33"/>
    <s v="ADVANCE"/>
    <m/>
    <s v="ADVANCE"/>
    <s v="BOUNCE"/>
    <m/>
    <s v="BOUNCE"/>
    <x v="1"/>
  </r>
  <r>
    <s v="RTGS/ICIC R4202109 080053698_x000a_4/IOBA000_x000a_0608/jila Nidh"/>
    <n v="590200"/>
    <m/>
    <s v="5560322.9_x000a_0"/>
    <s v="JILA NIDH"/>
    <s v="FOR APPRUVAL FILE"/>
    <m/>
    <m/>
    <m/>
    <m/>
    <m/>
    <m/>
    <x v="14"/>
  </r>
  <r>
    <s v="UPI/12512 5100444/U_x000a_PI/jonykum ar163199/ Canara Bank/I"/>
    <m/>
    <n v="5000"/>
    <s v="5565322.9_x000a_0"/>
    <s v="JONY KUMAR"/>
    <s v="I F PLOT NO A54"/>
    <m/>
    <m/>
    <m/>
    <s v="ADVANCE"/>
    <m/>
    <m/>
    <x v="1"/>
  </r>
  <r>
    <s v="UPI/12514 4875698/P_x000a_ayment from Ph/omindra_x000a_.kumar@y/ P"/>
    <m/>
    <n v="20000"/>
    <s v="5585322.9_x000a_0"/>
    <s v="OMINDRA KUMAR"/>
    <s v="I F PLOT NO A84"/>
    <s v="ADVANCE"/>
    <m/>
    <s v="ADVANCE"/>
    <s v="REFUND(22/6/22)"/>
    <m/>
    <m/>
    <x v="1"/>
  </r>
  <r>
    <s v="CLG/HAN UMAN BRICK FIELD/BO B"/>
    <n v="150000"/>
    <m/>
    <s v="5435322.9_x000a_0"/>
    <s v="HANUMAN BRICK FIELD"/>
    <s v="FOR BRICKS"/>
    <s v="ADVANCE"/>
    <m/>
    <s v="ADVANCE"/>
    <m/>
    <m/>
    <m/>
    <x v="15"/>
  </r>
  <r>
    <s v="NEFT- AXMB2125 25163963- RAVI KUMAR 201014361_x000a_/PTC--9"/>
    <m/>
    <n v="5000"/>
    <s v="5440322.9_x000a_0"/>
    <s v="RAVI KUMAR"/>
    <s v="I F PLOT NO A142"/>
    <s v="BEHALF OF FARMER"/>
    <m/>
    <s v="BEHALF OF FARMER"/>
    <s v="ADVANCE"/>
    <m/>
    <m/>
    <x v="1"/>
  </r>
  <r>
    <s v="UPI/12529 2792021/P_x000a_ayment from Ph/989797_x000a_6974@ybl/ HD"/>
    <m/>
    <n v="50000"/>
    <s v="5490322.9_x000a_0"/>
    <s v="RAHUL CHAUDHARY"/>
    <s v="I F PLOT NO B45"/>
    <m/>
    <m/>
    <m/>
    <s v="ADVANCE"/>
    <m/>
    <m/>
    <x v="1"/>
  </r>
  <r>
    <s v="UPI/12528 8548883/P_x000a_ayment from Ph/989797_x000a_6974@ybl/ HD"/>
    <m/>
    <n v="50000"/>
    <s v="5540322.9_x000a_0"/>
    <s v="RAHUL CHAUDHARY"/>
    <s v="I F PLOT NO B45"/>
    <m/>
    <m/>
    <m/>
    <s v="ADVANCE"/>
    <m/>
    <m/>
    <x v="1"/>
  </r>
  <r>
    <s v="UPI/12525 1946738/P_x000a_ayment from Ph/956817_x000a_6993@ybl/ St"/>
    <m/>
    <n v="5000"/>
    <s v="5545322.9_x000a_0"/>
    <s v="SHIV KUMAR SAROHA"/>
    <s v="I F PLOT NO B41"/>
    <m/>
    <m/>
    <m/>
    <s v="ADVANCE"/>
    <m/>
    <m/>
    <x v="1"/>
  </r>
  <r>
    <s v="CLG/SATY AVEER SINGH/931 612/PNB/0_x000a_9.09.2021"/>
    <m/>
    <n v="250000"/>
    <s v="5795322.9_x000a_0"/>
    <s v="SATYAVEER SINGH"/>
    <s v="I F PLOT NO B25"/>
    <s v="BEHALF OF FARMER"/>
    <m/>
    <s v="BEHALF OF FARMER"/>
    <s v="ADVANCE"/>
    <m/>
    <m/>
    <x v="1"/>
  </r>
  <r>
    <s v="CLG/SATP AL SINGH/157 159/PNB/0_x000a_9.09.2021"/>
    <m/>
    <n v="200000"/>
    <s v="5995322.9_x000a_0"/>
    <s v="SATPAL SINGH"/>
    <s v="I F PLOT NO A92"/>
    <s v="ADVANCE"/>
    <m/>
    <s v="ADVANCE"/>
    <s v="BOUNCE"/>
    <m/>
    <m/>
    <x v="1"/>
  </r>
  <r>
    <s v="CLG/SATP AL SINGH/157 155/PNB/0_x000a_9.09.2021"/>
    <m/>
    <n v="200000"/>
    <s v="6195322.9_x000a_0"/>
    <s v="SATPAL SINGH"/>
    <s v="I F PLOT NO A72"/>
    <m/>
    <m/>
    <m/>
    <s v="ADVANCE"/>
    <m/>
    <m/>
    <x v="1"/>
  </r>
  <r>
    <s v="CLG/SATP AL SINGH/157 154/PNB/0_x000a_9.09.2021"/>
    <m/>
    <n v="200000"/>
    <s v="6395322.9_x000a_0"/>
    <s v="SATPAL SINGH"/>
    <s v="I F PLOT NO A68"/>
    <m/>
    <m/>
    <m/>
    <s v="ADVANCE"/>
    <m/>
    <m/>
    <x v="1"/>
  </r>
  <r>
    <s v="CLG/SATP AL SINGH/157 160/PNB/0_x000a_9.09.2021"/>
    <m/>
    <n v="120000"/>
    <s v="6515322.9_x000a_0"/>
    <s v="SATPAL SINGH"/>
    <s v="I F PLOT NO A67"/>
    <s v="ADVANCE"/>
    <m/>
    <s v="ADVANCE"/>
    <s v="ADVANCE"/>
    <m/>
    <m/>
    <x v="1"/>
  </r>
  <r>
    <s v="CLG/NISH ANT SAROHA/1 33505/AXI/_x000a_09.09.2021"/>
    <m/>
    <n v="200000"/>
    <s v="6715322.9_x000a_0"/>
    <s v="NISHANT SAROHA"/>
    <s v="I F PLOT NO A80"/>
    <m/>
    <m/>
    <m/>
    <s v="ADVANCE"/>
    <m/>
    <m/>
    <x v="1"/>
  </r>
  <r>
    <s v="CLG/SHIV RAJ SINGH/170 661/SBI/08_x000a_.09.2021"/>
    <m/>
    <n v="175000"/>
    <s v="6890322.9_x000a_0"/>
    <s v="SHIVRAJ SINGH"/>
    <s v="I F PLOT NO B34"/>
    <s v="ADVANCE"/>
    <m/>
    <s v="ADVANCE"/>
    <s v="REFUND(14/4/22)"/>
    <m/>
    <m/>
    <x v="1"/>
  </r>
  <r>
    <s v="CLG/BRIJ BIR SINGH/038 439/INB/05_x000a_.09.2021"/>
    <m/>
    <n v="100000"/>
    <s v="6990322.9_x000a_0"/>
    <s v="BRIJBIR SINGH"/>
    <s v="I F PLOT NO A95"/>
    <m/>
    <m/>
    <m/>
    <s v="ADVANCE"/>
    <m/>
    <s v="ADVANCE"/>
    <x v="1"/>
  </r>
  <r>
    <s v="CLG/REEN A WO SUNIL/170 365/PNB/0_x000a_8.09.2021"/>
    <m/>
    <n v="400000"/>
    <s v="7390322.9_x000a_0"/>
    <s v="REENA"/>
    <s v="I F PLOT NO B14"/>
    <m/>
    <m/>
    <m/>
    <s v="BOUNCE"/>
    <m/>
    <m/>
    <x v="1"/>
  </r>
  <r>
    <s v="CLG/CHE QUE/5945 61/KDN/09_x000a_.09.2021"/>
    <m/>
    <n v="300000"/>
    <s v="7690322.9_x000a_0"/>
    <s v="AJAY KUMAR"/>
    <s v="I F PLOT NO A83"/>
    <s v="ADVANCE"/>
    <m/>
    <s v="ADVANCE"/>
    <s v="ADVANCE"/>
    <m/>
    <s v="REFUND (26/5/23)"/>
    <x v="1"/>
  </r>
  <r>
    <s v="REJECT:1 70365:DR AWERS SIGNATU RE DIFFERS"/>
    <n v="400000"/>
    <m/>
    <s v="7290322.9_x000a_0"/>
    <s v="REENA"/>
    <s v="I F PLOT NO B14"/>
    <m/>
    <m/>
    <m/>
    <s v="BOUNCE"/>
    <m/>
    <m/>
    <x v="1"/>
  </r>
  <r>
    <s v="REJECT:1 57159:DR AWERS SIGNATU RE REQUIRE D"/>
    <n v="200000"/>
    <m/>
    <s v="7090322.9_x000a_0"/>
    <s v="SATPAL SINGH"/>
    <s v="I F PLOT NO A92"/>
    <s v="REFUND"/>
    <m/>
    <s v="REFUND"/>
    <s v="BOUNCE"/>
    <m/>
    <m/>
    <x v="1"/>
  </r>
  <r>
    <s v="UPI/12535 2395566/P_x000a_ayment from Ph/895804_x000a_6933@axl/ Pu"/>
    <m/>
    <n v="10000"/>
    <s v="7100322.9_x000a_0"/>
    <s v="RAHUL KUMAR"/>
    <s v="I F PLOT NO A98"/>
    <m/>
    <m/>
    <m/>
    <s v="ADVANCE"/>
    <m/>
    <m/>
    <x v="1"/>
  </r>
  <r>
    <s v="MMT/IMPS_x000a_/12541227_x000a_7580/Vikas_x000a_- A15/VIKAS_x000a_KUM/Kotak M"/>
    <m/>
    <n v="150000"/>
    <s v="7250322.9_x000a_0"/>
    <s v="VIKAS KUMAR"/>
    <s v="I F PLOT NO A15"/>
    <m/>
    <m/>
    <m/>
    <s v="REFUND(28/5/22)"/>
    <m/>
    <m/>
    <x v="1"/>
  </r>
  <r>
    <s v="UPI/12552 4279579/P_x000a_ayment from Ph/895804_x000a_6933@axl/ Pu"/>
    <m/>
    <n v="10000"/>
    <s v="7260322.9_x000a_0"/>
    <s v="RAHUL KUMAR"/>
    <s v="I F PLOT NO B35"/>
    <s v="ADVANCE"/>
    <m/>
    <s v="ADVANCE"/>
    <s v="ADVANCE"/>
    <m/>
    <m/>
    <x v="1"/>
  </r>
  <r>
    <s v="UPI/12554 0673329/N A/9045820_x000a_563@payt/ State Bank Of"/>
    <m/>
    <n v="35000"/>
    <s v="7295322.9_x000a_0"/>
    <s v="AKASH CHOUDHARY"/>
    <s v="I F PLOT NO A17"/>
    <m/>
    <m/>
    <m/>
    <s v="BOUNCE"/>
    <m/>
    <s v="REFUND (18/11/21)"/>
    <x v="1"/>
  </r>
  <r>
    <s v="MMT/IMPS_x000a_/12551752 8912/ARVI_x000a_ND    /Axis Bank"/>
    <m/>
    <n v="20000"/>
    <s v="7315322.9_x000a_0"/>
    <s v="ARVIND"/>
    <s v="I F PLOT NO A17"/>
    <m/>
    <m/>
    <m/>
    <s v="REFUND(18/11/21)"/>
    <m/>
    <s v="REFUND(18/11/21)"/>
    <x v="1"/>
  </r>
  <r>
    <s v="MMT/IMPS_x000a_/12551785_x000a_4128/a/AR VIND_x000a_/Bank of Baroda"/>
    <m/>
    <n v="25000"/>
    <s v="7340322.9_x000a_0"/>
    <s v="ARVIND"/>
    <s v="I F PLOT NO A17"/>
    <m/>
    <m/>
    <m/>
    <s v="REFUND(18/11/21)"/>
    <m/>
    <s v="REFUND(18/11/21)"/>
    <x v="1"/>
  </r>
  <r>
    <s v="MMT/IMPS_x000a_/12551745_x000a_2805/a/AR VIND_x000a_/Bank of Baroda"/>
    <m/>
    <n v="20000"/>
    <s v="7360322.9_x000a_0"/>
    <s v="ARVIND   "/>
    <s v="I F PLOT NO A17"/>
    <s v="ADVANCE"/>
    <m/>
    <s v="ADVANCE"/>
    <s v="REFUND(18/11/21)"/>
    <m/>
    <s v="REFUND(18/11/21)"/>
    <x v="1"/>
  </r>
  <r>
    <s v="UPI/12566 4519000/N A/8057056_x000a_088@payt/ Axis Bank Ltd."/>
    <m/>
    <n v="40000"/>
    <s v="7400322.9_x000a_0"/>
    <s v="MANISH TOMAR"/>
    <s v="I F PLOT NO A17"/>
    <s v="ADVANCE"/>
    <m/>
    <s v="ADVANCE"/>
    <s v="ADVANCE"/>
    <m/>
    <m/>
    <x v="1"/>
  </r>
  <r>
    <s v="UPI/12565 6972739/P_x000a_ayment from Ph/976046_x000a_4545@ybl/ St"/>
    <m/>
    <n v="95000"/>
    <s v="7495322.9_x000a_0"/>
    <s v="ANUJ KUMAR"/>
    <s v="I F PLOT NO B32"/>
    <s v="ADVANCE"/>
    <m/>
    <s v="ADVANCE"/>
    <s v="REFUND(2/9/22)"/>
    <m/>
    <s v="REFUND (2/9/22)"/>
    <x v="1"/>
  </r>
  <r>
    <s v="BIL/INFT/0 002077372_x000a_34/NA/"/>
    <m/>
    <n v="75000"/>
    <s v="7570322.9_x000a_0"/>
    <s v="AASHU TYAGI"/>
    <s v="I F PLOT NO B12"/>
    <m/>
    <m/>
    <m/>
    <s v="ADVANCE"/>
    <m/>
    <s v="ADVANCE"/>
    <x v="1"/>
  </r>
  <r>
    <s v="INF/INFT/0 249853317_x000a_91/amaruja la_x000a_/amarujala"/>
    <n v="291500"/>
    <m/>
    <s v="7278822.9_x000a_0"/>
    <s v="AMAR UJALA"/>
    <s v="FOR ADD IN NEWS PAPER"/>
    <s v="ADVANCE"/>
    <m/>
    <s v="ADVANCE"/>
    <m/>
    <m/>
    <s v="EXP"/>
    <x v="16"/>
  </r>
  <r>
    <s v="UPI/12571 6219276/P_x000a_ayment from Ph/945752_x000a_8439@ybl/ St"/>
    <m/>
    <n v="60000"/>
    <s v="7338822.9_x000a_0"/>
    <s v="OMINDRA KUMAR"/>
    <s v="I F PLOT NO A84"/>
    <s v="REFUND("/>
    <m/>
    <s v="REFUND("/>
    <s v="REFUND(22/6/22)"/>
    <m/>
    <m/>
    <x v="1"/>
  </r>
  <r>
    <s v="NEFT- PUNBH21 257681304_x000a_-REENA WO SUNIL KUMAR-- 043121"/>
    <m/>
    <n v="400000"/>
    <s v="7738822.9_x000a_0"/>
    <s v="REENA"/>
    <s v="I F PLOT NO B14"/>
    <m/>
    <m/>
    <m/>
    <s v="ADVANCE"/>
    <m/>
    <m/>
    <x v="1"/>
  </r>
  <r>
    <s v="CLG/CHA RAN SINGH/187 973/PNB/0_x000a_9.09.2021"/>
    <m/>
    <n v="782600"/>
    <s v="8521422.9_x000a_0"/>
    <s v="CHARAN SINGH"/>
    <s v="I F PLOT NO B33"/>
    <s v="BEHALF OF FARMER"/>
    <m/>
    <s v="BEHALF OF FARMER"/>
    <s v="ADVANCE"/>
    <m/>
    <s v="REFUND(6/5/23)"/>
    <x v="1"/>
  </r>
  <r>
    <s v="CLG/SATV EER SINGH/504 523/SBI/13_x000a_.09.2021"/>
    <m/>
    <n v="300000"/>
    <s v="8821422.9_x000a_0"/>
    <s v="SATVEER SINGH"/>
    <s v="I F PLOT NO A71"/>
    <m/>
    <m/>
    <m/>
    <s v="REFUN(16/6/22)"/>
    <m/>
    <m/>
    <x v="1"/>
  </r>
  <r>
    <s v="CLG/SURA J/683521/I ND/11.09.2 021"/>
    <m/>
    <n v="90000"/>
    <s v="8911422.9_x000a_0"/>
    <s v="SURAJ"/>
    <s v="IF OF PLOT NO A124"/>
    <m/>
    <m/>
    <m/>
    <s v="ADVANCE"/>
    <m/>
    <m/>
    <x v="1"/>
  </r>
  <r>
    <s v="UPI/12587 3400885/P_x000a_ayment from Ph/989797_x000a_6974@ybl/ Un"/>
    <m/>
    <n v="50000"/>
    <s v="8961422.9_x000a_0"/>
    <s v="RAHUL CHAUDHARY"/>
    <s v="I F PLOT NO B46"/>
    <m/>
    <m/>
    <m/>
    <s v="ADVANCE"/>
    <m/>
    <m/>
    <x v="1"/>
  </r>
  <r>
    <s v="UPI/12586 9104359/U_x000a_PI/ksandee p60489@o_x000a_/Axis Bank Ltd"/>
    <m/>
    <n v="50000"/>
    <s v="9011422.9_x000a_0"/>
    <s v="SANDEEP"/>
    <s v="IN FAVOUR OF KULDEEP TOMAR CAPITAL"/>
    <m/>
    <m/>
    <m/>
    <s v="ADVANCE"/>
    <m/>
    <m/>
    <x v="13"/>
  </r>
  <r>
    <s v="UPI/12586 9115329/U_x000a_PI/ksandee p60489@o_x000a_/Axis Bank Ltd"/>
    <m/>
    <n v="40000"/>
    <s v="9051422.9_x000a_0"/>
    <s v="SANDEEP"/>
    <s v="IN FAVOUR OF KULDEEP TOMAR CAPITAL"/>
    <m/>
    <m/>
    <m/>
    <s v="ADVANCE"/>
    <m/>
    <m/>
    <x v="13"/>
  </r>
  <r>
    <s v="CLG/SSUR AJMUKHI SAINI/6835 20/IND/13._x000a_09.2021"/>
    <m/>
    <n v="500000"/>
    <s v="9551422.9_x000a_0"/>
    <s v="SURAJMUKHI SAINI"/>
    <s v="IN FAVOUR OF KULDEEP TOMAR CAPITAL"/>
    <m/>
    <m/>
    <m/>
    <s v="OPEN IN REGISTRY"/>
    <m/>
    <m/>
    <x v="17"/>
  </r>
  <r>
    <s v="CLG/SURA JMUKHI SAINI/6835 18/IND/13._x000a_09.2021"/>
    <m/>
    <n v="460000"/>
    <s v="10011422._x000a_90"/>
    <s v="SURAJMUKHI SAINI"/>
    <s v="IN FAVOUR OF KULDEEP TOMAR CAPITAL"/>
    <m/>
    <m/>
    <m/>
    <s v="OPEN IN REGISTRY"/>
    <m/>
    <m/>
    <x v="17"/>
  </r>
  <r>
    <s v="CLG/SATE NDRA KUMAR/95 1265/YES/_x000a_12.09.2021"/>
    <m/>
    <n v="381000"/>
    <s v="10392422._x000a_90"/>
    <s v="SATENDRA KUMAR"/>
    <s v="I F PLOT NO A11"/>
    <s v="ADVANCE"/>
    <m/>
    <s v="ADVANCE"/>
    <s v="REFUND(6/12/21)"/>
    <m/>
    <m/>
    <x v="1"/>
  </r>
  <r>
    <s v="CLG/MAHI PAL SINGH/607 133/SBI/10_x000a_.09.2021"/>
    <m/>
    <n v="300000"/>
    <s v="10692422._x000a_90"/>
    <s v="MAHIPAL SINGH"/>
    <s v="I F PLOT NO A81"/>
    <m/>
    <m/>
    <m/>
    <s v="REFUND(18/11/22)"/>
    <m/>
    <m/>
    <x v="1"/>
  </r>
  <r>
    <s v="CLG/ANU RADHA/00 0004/BOB/_x000a_21.08.2021"/>
    <m/>
    <n v="86000"/>
    <s v="10778422._x000a_90"/>
    <s v="ANURADHA"/>
    <s v="I F PLOT NO B18"/>
    <s v="BEHALF OF FARMER"/>
    <m/>
    <s v="BEHALF OF FARMER"/>
    <s v="OPEN IN REGISTRY"/>
    <m/>
    <s v="ADVANCE"/>
    <x v="1"/>
  </r>
  <r>
    <s v="CLG/CHE QUE/5610 76/SBI/10._x000a_09.2021"/>
    <m/>
    <n v="50000"/>
    <s v="10828422._x000a_90"/>
    <s v="SHIV ONKAR SHARMA"/>
    <s v="I F PLOT NO A53"/>
    <s v="ADVANCE"/>
    <m/>
    <s v="ADVANCE"/>
    <s v="ADVANCE"/>
    <m/>
    <m/>
    <x v="1"/>
  </r>
  <r>
    <s v="UPI/12581 0624342/P_x000a_ayment from Ph/976046_x000a_4545@ybl/ St"/>
    <m/>
    <n v="95000"/>
    <s v="10923422._x000a_90"/>
    <s v="ANUJ KUMAR"/>
    <s v="I F PLOT NO B32"/>
    <s v="ADVANCE"/>
    <m/>
    <s v="ADVANCE"/>
    <s v="REFUND(2/9/22)"/>
    <m/>
    <s v="REFUND (2/9/22)"/>
    <x v="1"/>
  </r>
  <r>
    <s v="CLG/SATP AL SINGH/157 162/PNB/1_x000a_2.09.2021"/>
    <m/>
    <n v="200000"/>
    <s v="11123422._x000a_90"/>
    <s v="SATPAL SINGH"/>
    <s v="I F PLOT NO A92"/>
    <m/>
    <m/>
    <m/>
    <s v="ADVANCE"/>
    <m/>
    <m/>
    <x v="1"/>
  </r>
  <r>
    <s v="RTGS/ICIC R4202109 160051918_x000a_5/PUNB05_x000a_22810/sum iti Ch"/>
    <n v="1000000"/>
    <m/>
    <s v="10123422._x000a_90"/>
    <s v="SUMITI SINGH"/>
    <s v="FROM KULDEEP TOMAR CAPITAL"/>
    <s v="BEHALF OF FARMER"/>
    <m/>
    <s v="BEHALF OF FARMER"/>
    <s v="REFUND(16/7/21"/>
    <m/>
    <m/>
    <x v="4"/>
  </r>
  <r>
    <s v="CLG/RAJA N KR/014359_x000a_/UBI/15.09. 2021"/>
    <m/>
    <n v="300000"/>
    <s v="10423422._x000a_90"/>
    <s v="RAJAN KUMAR"/>
    <s v="I F PLOT NO A97"/>
    <s v="ADVANCE"/>
    <m/>
    <s v="ADVANCE"/>
    <s v="BOUNCE"/>
    <m/>
    <m/>
    <x v="1"/>
  </r>
  <r>
    <s v="CLG/SAVI TA MALIK AND/1688 65/SBI/13._x000a_09.2021"/>
    <m/>
    <n v="640000"/>
    <s v="11063422._x000a_90"/>
    <s v="SAVITA MALIK"/>
    <s v="I F PLOT NO B46"/>
    <m/>
    <m/>
    <m/>
    <s v="ADVANCE"/>
    <m/>
    <m/>
    <x v="1"/>
  </r>
  <r>
    <s v="CLG/SHEL LY SHELLY/6 04241/SBI/_x000a_14.09.2021"/>
    <m/>
    <n v="400000"/>
    <s v="11463422._x000a_90"/>
    <s v="SHELLY SHELLY"/>
    <s v="I F PLOT NO B24"/>
    <s v="RETURN"/>
    <m/>
    <s v="RETURN"/>
    <s v="OPEN IN REGISTRY"/>
    <m/>
    <m/>
    <x v="1"/>
  </r>
  <r>
    <s v="CLG/BRIJ PAL/62578 6/PNB/14.0_x000a_9.2021"/>
    <m/>
    <n v="150000"/>
    <s v="11613422._x000a_90"/>
    <s v="BRIJPAL"/>
    <s v="I F PLOT NO B26"/>
    <m/>
    <m/>
    <m/>
    <s v="ADVANCE"/>
    <m/>
    <s v="ADVANCE"/>
    <x v="1"/>
  </r>
  <r>
    <s v="NEFT- SBIN32125 9834819- RAVIRAJ-_x000a_/ATTN/NE FT- 000000323"/>
    <m/>
    <n v="200000"/>
    <s v="11813422._x000a_90"/>
    <s v="RAVIRAJ"/>
    <s v="I F PLOT NO B18"/>
    <m/>
    <m/>
    <m/>
    <s v="ADVANCE"/>
    <m/>
    <m/>
    <x v="1"/>
  </r>
  <r>
    <s v="NEFT- AXMB2125 98416923- RAVI KUMAR 201014361_x000a_/PTC--9"/>
    <m/>
    <n v="331000"/>
    <s v="12144422._x000a_90"/>
    <s v="RAVI KUMAR"/>
    <s v="I F PLOT NO A142"/>
    <s v="BEHALF OF FARMER"/>
    <m/>
    <s v="BEHALF OF FARMER"/>
    <s v="ADVANCE"/>
    <m/>
    <m/>
    <x v="1"/>
  </r>
  <r>
    <s v="UPI/12597 4940807/M_x000a_anish yadav/robi nyadav123 45/Punj"/>
    <m/>
    <n v="100"/>
    <s v="12144522._x000a_90"/>
    <s v="MANISH YADAV"/>
    <s v="I F PLOT NO B38"/>
    <s v="RETURN"/>
    <m/>
    <s v="RETURN"/>
    <s v="ADVANCE"/>
    <m/>
    <m/>
    <x v="1"/>
  </r>
  <r>
    <s v="REJECT:1 4359:OTH ER REASONS"/>
    <n v="300000"/>
    <m/>
    <s v="11844522._x000a_90"/>
    <s v="RAJAN KUMAR"/>
    <s v="FROM PLOT NO A97"/>
    <s v="BEHALF OF FARMER"/>
    <m/>
    <s v="BEHALF OF FARMER"/>
    <s v="BOUNCE"/>
    <m/>
    <m/>
    <x v="1"/>
  </r>
  <r>
    <s v="UPI/12597 5145834/m_x000a_anish yadav/robi nyadav123 45/Punj"/>
    <m/>
    <n v="19900"/>
    <s v="11864422._x000a_90"/>
    <s v="MANISH YADAV"/>
    <s v="I F PLOT NO B38"/>
    <s v="BEHALF OF FARMER"/>
    <m/>
    <s v="BEHALF OF FARMER"/>
    <s v="ADVANCE"/>
    <m/>
    <m/>
    <x v="1"/>
  </r>
  <r>
    <s v="UPI/12598 8010687/U_x000a_PI/ksandee p60489@o_x000a_/Axis Bank Ltd"/>
    <m/>
    <n v="50000"/>
    <s v="11914422._x000a_90"/>
    <s v="SANDEEP"/>
    <s v="IN FAVOUR OF KULDEEP TOMAR CAPITAL"/>
    <m/>
    <m/>
    <m/>
    <s v="ADVANCE"/>
    <m/>
    <m/>
    <x v="13"/>
  </r>
  <r>
    <s v="UPI/12598 8019852/U_x000a_PI/ksandee p60489@o_x000a_/Axis Bank Ltd"/>
    <m/>
    <n v="40000"/>
    <s v="11954422._x000a_90"/>
    <s v="SANDEEP"/>
    <s v="IN FAVOUR OF KULDEEP TOMAR CAPITAL"/>
    <m/>
    <m/>
    <m/>
    <s v="ADVANCE"/>
    <m/>
    <m/>
    <x v="13"/>
  </r>
  <r>
    <s v="INF/INFT/0 250060070_x000a_01/retenent ry_x000a_/kuldeepici ci"/>
    <n v="300000"/>
    <m/>
    <s v="11654422._x000a_90"/>
    <s v="KULDEEP TOMAR"/>
    <s v="FROM KULDEEP TOMAR CAPITAL"/>
    <s v="ADVANCE"/>
    <m/>
    <s v="ADVANCE"/>
    <m/>
    <m/>
    <m/>
    <x v="0"/>
  </r>
  <r>
    <s v="UPI/12603 6638688/P_x000a_ayment from Ph/976046_x000a_4545@ybl/ St"/>
    <m/>
    <n v="5000"/>
    <s v="11659422._x000a_90"/>
    <s v="ANUJ KUMAR"/>
    <s v="I F PLOT NO B32"/>
    <m/>
    <m/>
    <m/>
    <s v="REFUND(2/9/22)"/>
    <m/>
    <s v="REFUND (2/9/22)"/>
    <x v="1"/>
  </r>
  <r>
    <s v="RTGS/ICIC R4202109 170052274_x000a_2/UTIB000_x000a_1100/kavya ele"/>
    <n v="1000000"/>
    <m/>
    <s v="10659422._x000a_90"/>
    <s v="KAVYA"/>
    <s v="FOR ELECTRICITY"/>
    <m/>
    <m/>
    <m/>
    <m/>
    <m/>
    <m/>
    <x v="18"/>
  </r>
  <r>
    <s v="RTGS/ICIC R4202109 170052297_x000a_2/UTIB000_x000a_1100/kavya ele"/>
    <n v="500000"/>
    <m/>
    <s v="10159422._x000a_90"/>
    <s v="KAVYA"/>
    <s v="FOR ELECTRICITY"/>
    <m/>
    <m/>
    <m/>
    <m/>
    <m/>
    <m/>
    <x v="18"/>
  </r>
  <r>
    <s v="CLG/RAJA N KR SO SUSHIL/01 4359/UBI/1_x000a_5.09.2021"/>
    <m/>
    <n v="300000"/>
    <s v="10459422._x000a_90"/>
    <s v="RAJAN KUMAR"/>
    <s v="I F PLOT NO A97"/>
    <m/>
    <m/>
    <m/>
    <s v="BOUNCE"/>
    <m/>
    <m/>
    <x v="1"/>
  </r>
  <r>
    <s v="REJECT:1 4359:OTH ER REASONS"/>
    <n v="300000"/>
    <m/>
    <s v="10159422._x000a_90"/>
    <s v="RAJAN KUMAR"/>
    <s v="I F PLOT NO A97"/>
    <s v="ADVANCE"/>
    <m/>
    <s v="ADVANCE"/>
    <s v="BOUNCE"/>
    <m/>
    <m/>
    <x v="1"/>
  </r>
  <r>
    <s v="UPI/12601 6710576/U_x000a_PI/ksandee p60489@o_x000a_/Axis Bank Ltd"/>
    <m/>
    <n v="50000"/>
    <s v="10209422._x000a_90"/>
    <s v="SANDEEP"/>
    <s v="IN FAVOUR OF KULDEEP TOMAR CAPITAL"/>
    <m/>
    <m/>
    <m/>
    <s v="ADVANCE"/>
    <m/>
    <m/>
    <x v="13"/>
  </r>
  <r>
    <s v="UPI/12601 6726734/U_x000a_PI/ksandee p60489@o_x000a_/Axis Bank Ltd"/>
    <m/>
    <n v="40000"/>
    <s v="10249422._x000a_90"/>
    <s v="SANDEEP"/>
    <s v="IN FAVOUR OF KULDEEP TOMAR CAPITAL"/>
    <m/>
    <m/>
    <m/>
    <s v="ADVANCE"/>
    <m/>
    <m/>
    <x v="13"/>
  </r>
  <r>
    <s v="INF/INFT/0 250180907_x000a_21/dialpipe private/day alpipes"/>
    <n v="200000"/>
    <m/>
    <s v="10049422._x000a_90"/>
    <s v="DAYAL SPUN PIPES (P)LTD."/>
    <s v="FOR SIVEG PIPE"/>
    <s v="ADVANCE"/>
    <m/>
    <s v="ADVANCE"/>
    <m/>
    <m/>
    <m/>
    <x v="19"/>
  </r>
  <r>
    <s v="MMT/IMPS_x000a_/12611139_x000a_0651/reune ntry/sumiti_x000a_/PUNB052"/>
    <n v="100000"/>
    <m/>
    <s v="9949422.9_x000a_0"/>
    <s v="SUMITI SINGH"/>
    <s v="FROM KULDEEP TOMAR CAPITAL"/>
    <s v="BEHALF OF FARMER"/>
    <m/>
    <s v="BEHALF OF FARMER"/>
    <s v="REFUND(16/7/21"/>
    <m/>
    <m/>
    <x v="4"/>
  </r>
  <r>
    <s v="UPI/12635 4243214/U_x000a_PI/ksandee p60489@o_x000a_/Axis Bank Ltd"/>
    <m/>
    <n v="40000"/>
    <s v="9989422.9_x000a_0"/>
    <s v="SANDEEP"/>
    <s v="IN FAVOUR OF KULDEEP TOMAR CAPITAL"/>
    <m/>
    <m/>
    <m/>
    <s v="ADVANCE"/>
    <m/>
    <m/>
    <x v="13"/>
  </r>
  <r>
    <s v="RTGS/ICIC R4202109 200051981_x000a_8/PUNB05_x000a_22810/sum iti Ch"/>
    <n v="300000"/>
    <m/>
    <s v="9689422.9_x000a_0"/>
    <s v="SUMITI SINGH"/>
    <s v="FROM KULDEEP TOMAR CAPITAL"/>
    <s v="ADVANCE"/>
    <m/>
    <s v="ADVANCE"/>
    <m/>
    <m/>
    <m/>
    <x v="4"/>
  </r>
  <r>
    <s v="BIL/INFT/0 002119661_x000a_53/NA/"/>
    <m/>
    <n v="100000"/>
    <s v="9789422.9_x000a_0"/>
    <s v="AASHU TYAGI"/>
    <s v="I F PLOT NO A46"/>
    <m/>
    <m/>
    <m/>
    <s v="REFUND"/>
    <m/>
    <s v="ADVANCE"/>
    <x v="1"/>
  </r>
  <r>
    <s v="CLG/SUBH ASH SINGH/052 687/CAB/1_x000a_5.09.2021"/>
    <m/>
    <n v="100000"/>
    <s v="9889422.9_x000a_0"/>
    <s v="SUBHASH SINGH"/>
    <s v="I F PLOT NO B24"/>
    <s v="BEHALF OF FARMER"/>
    <m/>
    <s v="BEHALF OF FARMER"/>
    <s v="ADVANCE"/>
    <m/>
    <m/>
    <x v="1"/>
  </r>
  <r>
    <s v="CLG/RAJE EV KUMAR/84 6524/SBI/1_x000a_6.09.2021"/>
    <m/>
    <n v="400000"/>
    <s v="10289422._x000a_90"/>
    <s v="RAJEEV KUMAR"/>
    <s v="I F PLOT NO B47"/>
    <m/>
    <m/>
    <m/>
    <s v="ADVANCE"/>
    <m/>
    <m/>
    <x v="1"/>
  </r>
  <r>
    <s v="CLG/NARE SH KUMAR/00 0007/HDF/_x000a_16.09.2021"/>
    <m/>
    <n v="350000"/>
    <s v="10639422._x000a_90"/>
    <s v="NARESH KUMAR"/>
    <s v="I F PLOT NO A10"/>
    <s v="ADVANCE"/>
    <m/>
    <s v="ADVANCE"/>
    <s v="REFUND(7/7/22)"/>
    <m/>
    <m/>
    <x v="1"/>
  </r>
  <r>
    <s v="UPI/12634 9222067/P_x000a_ayment from Ph/905888_x000a_5052@ybl/ St"/>
    <m/>
    <n v="40000"/>
    <s v="10679422._x000a_90"/>
    <s v="MUKESH TOMAR"/>
    <s v="I F PLOT NO B35"/>
    <s v="ADVANCE"/>
    <m/>
    <s v="ADVANCE"/>
    <s v="REFUND(4/7/22)"/>
    <m/>
    <m/>
    <x v="1"/>
  </r>
  <r>
    <s v="UPI/12630 0666568/P_x000a_ayment from Ph/905888_x000a_5052@ybl/ St"/>
    <m/>
    <n v="60000"/>
    <s v="10739422._x000a_90"/>
    <s v="MUKESH TOMAR"/>
    <s v="I F PLOT NO B35"/>
    <s v="ADVANCE"/>
    <m/>
    <s v="ADVANCE"/>
    <s v="REFUND(4/7/22)"/>
    <m/>
    <m/>
    <x v="1"/>
  </r>
  <r>
    <s v="RTGS/ICIC R4202109 200053055_x000a_4/PUNB00_x000a_42400/eee dd4"/>
    <n v="842752"/>
    <m/>
    <s v="9896670.9_x000a_0"/>
    <s v="EEE DD4"/>
    <s v="FOR ELECTRICITY"/>
    <s v="ADVANCE"/>
    <m/>
    <s v="ADVANCE"/>
    <m/>
    <m/>
    <m/>
    <x v="18"/>
  </r>
  <r>
    <s v="RTGS/ICIC R4202109 200053127_x000a_2/PUNB00_x000a_42400/Vidy ut vi"/>
    <n v="606386"/>
    <m/>
    <s v="9290284.9_x000a_0"/>
    <s v="VIDYUT VI"/>
    <s v="FOR ELECTRICITY"/>
    <s v="ADVANCE"/>
    <m/>
    <s v="ADVANCE"/>
    <m/>
    <m/>
    <m/>
    <x v="18"/>
  </r>
  <r>
    <s v="CLG/YOG ESH SHARMA/4 67812/SBI/_x000a_20.09.2021"/>
    <m/>
    <n v="90000"/>
    <s v="9380284.9_x000a_0"/>
    <s v="YOGESH SHARMA"/>
    <s v="I F PLOT NO A40"/>
    <s v="ADVANCE"/>
    <s v="REFUND(19/1/22)"/>
    <s v="ADVANCE"/>
    <s v="REFUND(21/10/22)"/>
    <m/>
    <m/>
    <x v="1"/>
  </r>
  <r>
    <s v="CLG/AASH U TYAGI/770 756/PNB/2_x000a_0.09.2021"/>
    <m/>
    <n v="100000"/>
    <s v="9480284.9_x000a_0"/>
    <s v="AASHU TYAGI"/>
    <s v="I F PLOT NO A47"/>
    <m/>
    <m/>
    <m/>
    <s v="REFUND"/>
    <m/>
    <s v="ADVANCE"/>
    <x v="1"/>
  </r>
  <r>
    <s v="CLG/AASH U TYAGI/770 755/PNB/2_x000a_0.09.2021"/>
    <m/>
    <n v="100000"/>
    <s v="9580284.9_x000a_0"/>
    <s v="AASHU TYAGI"/>
    <s v="I F PLOT NO A96"/>
    <s v="BEHALF OF FARMER"/>
    <m/>
    <s v="BEHALF OF FARMER"/>
    <s v="REFUND"/>
    <m/>
    <s v="ADVANCE"/>
    <x v="1"/>
  </r>
  <r>
    <s v="CLG/NISH ANT SAROHA/1 33506/AXI/_x000a_20.09.2021"/>
    <m/>
    <n v="100000"/>
    <s v="9680284.9_x000a_0"/>
    <s v="NISHANT SAROHA"/>
    <s v="I F PLOT NO A80"/>
    <s v="ADVANCE"/>
    <m/>
    <s v="ADVANCE"/>
    <s v="ADVANCE"/>
    <m/>
    <m/>
    <x v="1"/>
  </r>
  <r>
    <s v="CLG/SUSH IL KUMAR/00 3021/UBI/2_x000a_0.09.2021"/>
    <m/>
    <n v="400000"/>
    <s v="10080284._x000a_90"/>
    <s v="SUSHIL KUMAR"/>
    <s v="I F PLOT NO B14"/>
    <m/>
    <m/>
    <m/>
    <s v="ADVANCE"/>
    <m/>
    <m/>
    <x v="1"/>
  </r>
  <r>
    <s v="NEFT- SBIN42126 6024969- SHIV ONKAR SHARMA-_x000a_/ATTN/CH Q5"/>
    <m/>
    <n v="180000"/>
    <s v="10260284._x000a_90"/>
    <s v="SHIV ONKAR SHARMA"/>
    <s v="I F PLOT NO A53"/>
    <m/>
    <m/>
    <m/>
    <s v="ADVANCE"/>
    <m/>
    <m/>
    <x v="1"/>
  </r>
  <r>
    <s v="UPI/12660 5345083/P_x000a_ayment from Ph/766266_x000a_@ibl/State"/>
    <m/>
    <n v="5000"/>
    <s v="10265284._x000a_90"/>
    <s v="ANMOL"/>
    <s v="I F PLOT NO A145"/>
    <m/>
    <m/>
    <m/>
    <s v="ADVANCE"/>
    <m/>
    <s v="ADVANCE"/>
    <x v="1"/>
  </r>
  <r>
    <s v="UPI/12664 2615832/P_x000a_ayment from Ph/703746_x000a_9385@ybl/ St"/>
    <m/>
    <n v="5000"/>
    <s v="10270284._x000a_90"/>
    <s v="ANNO KUMARI"/>
    <s v="I F PLOT NO B28"/>
    <s v="BEHALF OF FARMER"/>
    <m/>
    <m/>
    <s v="ADVANCE"/>
    <m/>
    <s v="ADVANCE"/>
    <x v="1"/>
  </r>
  <r>
    <s v="UPI/12675 0840732/P_x000a_ayment from Ph/905888_x000a_5052@ybl/ St"/>
    <m/>
    <n v="92500"/>
    <s v="10362784._x000a_90"/>
    <s v="MUKESH TOMAR"/>
    <s v="I F PLOT NO B35"/>
    <s v="ADVANCE"/>
    <m/>
    <s v="ADVANCE"/>
    <s v="REFUND(4/7/22)"/>
    <m/>
    <m/>
    <x v="1"/>
  </r>
  <r>
    <s v="INF/INFT/0 250661659_x000a_01/dyalpipe pamamtp/d ayalpipes"/>
    <n v="200000"/>
    <m/>
    <s v="10162784._x000a_90"/>
    <s v="DYALPIPE"/>
    <s v="SIVIR LINE PIPE"/>
    <m/>
    <m/>
    <m/>
    <m/>
    <m/>
    <m/>
    <x v="19"/>
  </r>
  <r>
    <s v="CLG/SAR OJ AND VAIBHAV KUMAR/07 4209/SBI/2_x000a_3.09.2021"/>
    <m/>
    <n v="720000"/>
    <s v="10882784._x000a_90"/>
    <s v="SAROJ AND VAIBHAVKUMAR"/>
    <s v="I F PLOT no A64"/>
    <m/>
    <m/>
    <m/>
    <s v="REFUND"/>
    <m/>
    <m/>
    <x v="1"/>
  </r>
  <r>
    <s v="CLG/RAJA N KR/014359_x000a_/UBI/15.09. 2021"/>
    <m/>
    <n v="300000"/>
    <s v="11182784._x000a_90"/>
    <s v="RAJAN KUMAR"/>
    <s v="I F PLOT NO A97"/>
    <s v="REFUND"/>
    <m/>
    <s v="REFUND"/>
    <s v="ADVANCE"/>
    <m/>
    <m/>
    <x v="1"/>
  </r>
  <r>
    <s v="CLG/PRAD EEP KUMAR/00 0009/HDF/_x000a_24.09.2021"/>
    <m/>
    <n v="178500"/>
    <s v="11361284._x000a_90"/>
    <s v="PRADEEP KUMAR"/>
    <s v="I F PLOT NO B17"/>
    <s v="ADVANCE"/>
    <m/>
    <s v="ADVANCE"/>
    <s v="ADVANCE"/>
    <m/>
    <m/>
    <x v="1"/>
  </r>
  <r>
    <s v="MMT/IMPS_x000a_/12711386_x000a_5148/renen entry/harsa ran_x000a_/SBIN00"/>
    <n v="100000"/>
    <m/>
    <s v="11261284._x000a_90"/>
    <s v="HARI SARAN"/>
    <s v="I F PLOT NO B12 REFUND"/>
    <s v="ADVANCE"/>
    <m/>
    <m/>
    <s v="REFUND(25/7/21,27/7/21)"/>
    <m/>
    <m/>
    <x v="1"/>
  </r>
  <r>
    <s v="NEFT- IDIBH2127 2459151- MR SATANDR KUMAR S O BHULLA"/>
    <m/>
    <n v="160000"/>
    <s v="11421284._x000a_90"/>
    <s v="SATANDRA KUMAR"/>
    <s v="I F PLOT NO B4"/>
    <s v="ADVANCE"/>
    <m/>
    <s v="ADVANCE"/>
    <s v="OPEN IN REGISTRY"/>
    <m/>
    <m/>
    <x v="1"/>
  </r>
  <r>
    <s v="MMT/IMPS_x000a_/12721401_x000a_5961/loking tyallavar/ty aldilsad/P"/>
    <n v="100000"/>
    <m/>
    <s v="11321284._x000a_90"/>
    <s v="DILSHAD"/>
    <s v="LABOUR THEKEDAR"/>
    <m/>
    <m/>
    <m/>
    <m/>
    <m/>
    <m/>
    <x v="20"/>
  </r>
  <r>
    <s v="NEFT- SBIN42127 3421694- SHIV ONKAR SHARMA-_x000a_/URGENT/ SH"/>
    <m/>
    <n v="120000"/>
    <s v="11441284._x000a_90"/>
    <s v="SHIV ONKAR SHARMA"/>
    <s v="I F PLOT NO A53"/>
    <s v="ADVANCE"/>
    <m/>
    <s v="ADVANCE"/>
    <s v="ADVANCE"/>
    <m/>
    <m/>
    <x v="1"/>
  </r>
  <r>
    <s v="UPI/12738 1242457/P_x000a_ayment from Ph/945752_x000a_8439@ybl/ St"/>
    <m/>
    <n v="90000"/>
    <s v="11531284._x000a_90"/>
    <s v="OMINDRA KUMAR"/>
    <s v="I F PLOT NO A84"/>
    <s v="REFUND"/>
    <m/>
    <s v="REFUND"/>
    <s v="REFUND(22/6/22)"/>
    <m/>
    <m/>
    <x v="1"/>
  </r>
  <r>
    <s v="RTGS/ICIC R4202109 300051231_x000a_2/UBIN056_x000a_0430/teare mex"/>
    <n v="1000000"/>
    <m/>
    <s v="10531284._x000a_90"/>
    <s v="PEAREMEX TRNSFORMERS"/>
    <s v="FOR TRANSFARMER "/>
    <s v="ADVANCE"/>
    <m/>
    <s v="ADVANCE"/>
    <m/>
    <m/>
    <m/>
    <x v="18"/>
  </r>
  <r>
    <s v="MMT/IMPS_x000a_/12731709_x000a_5536/cema nt/bharatce me/BDBL0 00119"/>
    <n v="80000"/>
    <m/>
    <s v="10451284._x000a_90"/>
    <s v="BHARAT GROUP"/>
    <s v="FOR CEMENT"/>
    <s v="ADVANCE"/>
    <m/>
    <s v="ADVANCE"/>
    <m/>
    <m/>
    <s v="EXP"/>
    <x v="21"/>
  </r>
  <r>
    <s v="UPI/12743 8874352/P_x000a_ayment from Ph/945752_x000a_8439@ybl/ St"/>
    <m/>
    <n v="90000"/>
    <s v="10541284._x000a_90"/>
    <s v="OMINDRA KUMAR"/>
    <s v="I F PLOT NO A84"/>
    <m/>
    <m/>
    <m/>
    <s v="REFUND(22/6/22)"/>
    <m/>
    <m/>
    <x v="1"/>
  </r>
  <r>
    <s v="MMT/IMPS_x000a_/12741335_x000a_4487/julfith ekedarla/z ulfekar  /P"/>
    <n v="200000"/>
    <m/>
    <s v="10341284._x000a_90"/>
    <s v="JULFIKAR"/>
    <s v="LABOUR THEKEDAR"/>
    <m/>
    <m/>
    <m/>
    <m/>
    <m/>
    <m/>
    <x v="20"/>
  </r>
  <r>
    <s v="MMT/IMPS_x000a_/12741335_x000a_4487/julfith ekedarla/z ulfekar  /P"/>
    <m/>
    <n v="200000"/>
    <s v="10541284._x000a_90"/>
    <s v="JULFIKAR"/>
    <s v="LABOUR THEKEDAR"/>
    <m/>
    <m/>
    <m/>
    <m/>
    <m/>
    <m/>
    <x v="20"/>
  </r>
  <r>
    <s v="MMT/IMPS_x000a_/12741454_x000a_4995/Zulfik arthekeda/ zulfekar  /P"/>
    <n v="200000"/>
    <m/>
    <s v="10341284._x000a_90"/>
    <s v="JULFIKAR"/>
    <s v="LABOUR THEKEDAR"/>
    <m/>
    <m/>
    <m/>
    <m/>
    <m/>
    <m/>
    <x v="20"/>
  </r>
  <r>
    <s v="RTGS- BDBLR520 211001000_x000a_04008-MR BRIJBIR SINGH- 5020"/>
    <m/>
    <n v="500000"/>
    <s v="10841284._x000a_90"/>
    <s v="BRIJBIR SINGH"/>
    <s v="I F PLOT NO A95"/>
    <m/>
    <m/>
    <m/>
    <s v="ADVANCE"/>
    <m/>
    <s v="REFUND(17/7/23)"/>
    <x v="1"/>
  </r>
  <r>
    <s v="UPI/12752 1828304/P_x000a_ayment from Ph/945752_x000a_8439@ybl/ St"/>
    <m/>
    <n v="60000"/>
    <s v="10901284._x000a_90"/>
    <s v="OMINDRA KUMAR"/>
    <s v="I F PLOT NO A84"/>
    <m/>
    <m/>
    <m/>
    <s v="REFUND(22/6/22)"/>
    <m/>
    <m/>
    <x v="1"/>
  </r>
  <r>
    <s v="BIL/INFT/0 002227263_x000a_97/NA/"/>
    <m/>
    <n v="100000"/>
    <s v="11001284._x000a_90"/>
    <s v="AASHU TYAGI"/>
    <s v="IN THE FAVOUR OF YOGESH TYAGI CAPITAL"/>
    <m/>
    <m/>
    <m/>
    <s v="ADVANCE"/>
    <m/>
    <s v="REFUND AS ON DATE 11/8/21"/>
    <x v="6"/>
  </r>
  <r>
    <s v="UPI/12801 2748830/U_x000a_PI/renurpfk cg@oksb/ State Bank Of"/>
    <m/>
    <n v="99999"/>
    <s v="11101283._x000a_90"/>
    <s v="RENU"/>
    <s v="I F PLOT NO B22"/>
    <s v="BEHALF OF FARMER"/>
    <m/>
    <s v="BEHALF OF FARMER"/>
    <s v="REFUND(19/1/22)"/>
    <m/>
    <m/>
    <x v="1"/>
  </r>
  <r>
    <s v="UPI/12801 2759521/U_x000a_PI/renurpfk cg@oksb/ State Bank Of"/>
    <m/>
    <n v="1"/>
    <s v="11101284._x000a_90"/>
    <s v="RENU"/>
    <s v="I F PLOT NO B22"/>
    <m/>
    <m/>
    <m/>
    <s v="REFUND(19/1/22)"/>
    <m/>
    <m/>
    <x v="1"/>
  </r>
  <r>
    <s v="UPI/12803 7506481/P_x000a_ayment from Ph/harvir76 @ybl/Stat"/>
    <m/>
    <n v="57000"/>
    <s v="11158284._x000a_90"/>
    <s v="HARVIR"/>
    <s v="I F PLOT NO B22"/>
    <m/>
    <m/>
    <m/>
    <s v="REFUND(19/1/22)"/>
    <m/>
    <m/>
    <x v="1"/>
  </r>
  <r>
    <s v="UPI/12805 7346822/P_x000a_ayment from Ph/harvir75 @ybl/Stat"/>
    <m/>
    <n v="23000"/>
    <s v="11181284._x000a_90"/>
    <s v="HARVIR"/>
    <s v="I F PLOT NO B22"/>
    <m/>
    <m/>
    <m/>
    <s v="REFUND(19/1/22)"/>
    <m/>
    <m/>
    <x v="1"/>
  </r>
  <r>
    <s v="UPI/12809 6545021/N A/9568531_x000a_984@payt/ State Bank Of"/>
    <m/>
    <n v="30000"/>
    <s v="11211284._x000a_90"/>
    <s v="RAJESH KUMAR"/>
    <s v="I F PLOT NO B22"/>
    <s v="BEHALF OF FARMER"/>
    <m/>
    <s v="BEHALF OF FARMER"/>
    <s v="REFUND(19/1/22)"/>
    <m/>
    <m/>
    <x v="1"/>
  </r>
  <r>
    <s v="MMT/IMPS_x000a_/12801689 7132/MOB LT0710160 849/RAJE NDER S/S"/>
    <m/>
    <n v="1"/>
    <s v="11211285._x000a_90"/>
    <s v="RAJENDER SINGH"/>
    <s v="SUSPENSE ENTRY"/>
    <m/>
    <m/>
    <m/>
    <m/>
    <m/>
    <m/>
    <x v="1"/>
  </r>
  <r>
    <s v="UPI/12807 1279179/U_x000a_PI/digpalsi ngh1988/B ank of Barod"/>
    <m/>
    <n v="50000"/>
    <s v="11261285._x000a_90"/>
    <s v="DIGPAL SINGH"/>
    <s v="I F PLOT NO A53"/>
    <s v="BEHALF OF FARMER"/>
    <m/>
    <s v="BEHALF OF FARMER"/>
    <s v="ADVANCE"/>
    <m/>
    <m/>
    <x v="1"/>
  </r>
  <r>
    <s v="UPI/12807 1311229/U_x000a_PI/digpalsi ngh1988/B ank of Barod"/>
    <m/>
    <n v="49000"/>
    <s v="11310285._x000a_90"/>
    <s v="DIGPAL SINGH"/>
    <s v="I F PLOT NO A53"/>
    <m/>
    <m/>
    <m/>
    <s v="ADVANCE"/>
    <m/>
    <m/>
    <x v="1"/>
  </r>
  <r>
    <s v="RTGS/ICIC R4202110 080050888_x000a_2/PUNB00_x000a_26610/inus h ali"/>
    <n v="1000000"/>
    <m/>
    <s v="10310285._x000a_90"/>
    <s v="INUSH ALI"/>
    <s v="FARMER PAYMENT"/>
    <s v="ADVANCE"/>
    <m/>
    <s v="ADVANCE"/>
    <m/>
    <m/>
    <m/>
    <x v="7"/>
  </r>
  <r>
    <s v="RTGS/ICIC R4202110 080050926_x000a_8/PUNB00_x000a_26610/inus h ali"/>
    <n v="1000000"/>
    <m/>
    <s v="9310285.9_x000a_0"/>
    <s v="INUSH ALI"/>
    <s v="FARMER PAYMENT"/>
    <s v="ADVANCE"/>
    <m/>
    <s v="ADVANCE"/>
    <m/>
    <m/>
    <m/>
    <x v="7"/>
  </r>
  <r>
    <s v="RTGS/ICIC R4202110 080050972_x000a_2/PUNB00_x000a_26610/kas am alo"/>
    <n v="1000000"/>
    <m/>
    <s v="8310285.9_x000a_0"/>
    <s v="KASAM ALI"/>
    <s v="FARMER PAYMENT"/>
    <s v="ADVANCE"/>
    <m/>
    <s v="ADVANCE"/>
    <m/>
    <m/>
    <m/>
    <x v="7"/>
  </r>
  <r>
    <s v="RTGS/ICIC R4202110 080050980_x000a_9/PUNB00_x000a_26610/kas am alo"/>
    <n v="1000000"/>
    <m/>
    <s v="7310285.9_x000a_0"/>
    <s v="KASAM ALI"/>
    <s v="FARMER PAYMENT"/>
    <s v="BEHALF OF FARMER"/>
    <m/>
    <s v="BEHALF OF FARMER"/>
    <m/>
    <m/>
    <m/>
    <x v="7"/>
  </r>
  <r>
    <s v="RTGS/ICIC R4202110 080050998_x000a_9/PUNB00_x000a_26610/shal au di"/>
    <n v="1000000"/>
    <m/>
    <s v="6310285.9_x000a_0"/>
    <s v="SHALAU DIN"/>
    <s v="FARMER PAYMENT"/>
    <s v="BEHALF OF FARMER"/>
    <m/>
    <s v="BEHALF OF FARMER"/>
    <m/>
    <m/>
    <m/>
    <x v="7"/>
  </r>
  <r>
    <s v="RTGS/ICIC R4202110 080051018_x000a_4/PUNB00_x000a_26610/shal au di"/>
    <n v="1000000"/>
    <m/>
    <s v="5310285.9_x000a_0"/>
    <s v="SHALAU DIN"/>
    <s v="FARMER PAYMENT"/>
    <s v="ADVANCE"/>
    <m/>
    <s v="ADVANCE"/>
    <m/>
    <m/>
    <m/>
    <x v="7"/>
  </r>
  <r>
    <s v="RTGS/ICIC R4202110 080051028_x000a_6/PUNB00_x000a_26610/kas am alo"/>
    <n v="1000000"/>
    <m/>
    <s v="4310285.9_x000a_0"/>
    <s v="KASAM ALI"/>
    <s v="FARMER PAYMENT"/>
    <s v="REFUND"/>
    <m/>
    <s v="REFUND"/>
    <m/>
    <m/>
    <m/>
    <x v="7"/>
  </r>
  <r>
    <s v="UPI/12811 2216871/U_x000a_PI/riskyjaat rohit@/Stat e Bank Of"/>
    <m/>
    <n v="49000"/>
    <s v="4359285.9_x000a_0"/>
    <s v="ROHIT KUMAR"/>
    <s v="I F PLOT NO A17"/>
    <m/>
    <m/>
    <m/>
    <s v="ADVANCE"/>
    <m/>
    <m/>
    <x v="1"/>
  </r>
  <r>
    <s v="UPI/12818 5083833/U_x000a_PI/ravibaliy an8979/Pu njab Nation"/>
    <m/>
    <n v="10000"/>
    <s v="4369285.9_x000a_0"/>
    <s v="RAVI KUMAR"/>
    <s v="I F PLOT NO A17"/>
    <m/>
    <m/>
    <m/>
    <s v="ADVANCE"/>
    <m/>
    <m/>
    <x v="1"/>
  </r>
  <r>
    <s v="UPI/12818 5099567/U_x000a_PI/ravibaliy an8979/Pu njab Nation"/>
    <m/>
    <n v="20000"/>
    <s v="4389285.9_x000a_0"/>
    <s v="RAVI KUMAR"/>
    <s v="I F PLOT NO A17"/>
    <m/>
    <m/>
    <m/>
    <s v="ADVANCE"/>
    <m/>
    <m/>
    <x v="1"/>
  </r>
  <r>
    <s v="UPI/12818 5114125/U_x000a_PI/ravibaliy an8979/Pu njab Nation"/>
    <m/>
    <n v="20000"/>
    <s v="4409285.9_x000a_0"/>
    <s v="RAVI KUMAR"/>
    <s v="I F PLOT NO A17"/>
    <s v="ADVANCE"/>
    <m/>
    <s v="ADVANCE"/>
    <s v="ADVANCE"/>
    <m/>
    <m/>
    <x v="1"/>
  </r>
  <r>
    <s v="UPI/12818 5127647/U_x000a_PI/ravibaliy an8979/Pu njab Nation"/>
    <m/>
    <n v="25000"/>
    <s v="4434285.9_x000a_0"/>
    <s v="RAVI KUMAR"/>
    <s v="I F PLOT NO A17"/>
    <s v="ADVANCE"/>
    <m/>
    <s v="ADVANCE"/>
    <s v="ADVANCE"/>
    <m/>
    <m/>
    <x v="1"/>
  </r>
  <r>
    <s v="UPI/12818 5138077/U_x000a_PI/ravibaliy an8979/Pu njab Nation"/>
    <m/>
    <n v="20000"/>
    <s v="4454285.9_x000a_0"/>
    <s v="RAVI KUMAR"/>
    <s v="I F PLOT NO A17"/>
    <m/>
    <m/>
    <m/>
    <s v="ADVANCE"/>
    <m/>
    <m/>
    <x v="1"/>
  </r>
  <r>
    <s v="UPI/12818 5148422/U_x000a_PI/ravibaliy an8979/Pu njab Nation"/>
    <m/>
    <n v="4000"/>
    <s v="4458285.9_x000a_0"/>
    <s v="RAVI KUMAR"/>
    <s v="I F PLOT NO A17"/>
    <m/>
    <m/>
    <m/>
    <s v="ADVANCE"/>
    <m/>
    <m/>
    <x v="1"/>
  </r>
  <r>
    <s v="MMT/IMPS_x000a_/12811258 9559/MOB LT0810125 787/ROHIT KUMA/S"/>
    <m/>
    <n v="25000"/>
    <s v="4483285.9_x000a_0"/>
    <s v="ROHIT KUMAR"/>
    <s v="I F PLOT NO A17"/>
    <s v="BEHALF OF FARMER"/>
    <m/>
    <s v="BEHALF OF FARMER"/>
    <s v="ADVANCE"/>
    <m/>
    <m/>
    <x v="1"/>
  </r>
  <r>
    <s v="RTGS/ICIC R4202110 080052071_x000a_2/PUNB00_x000a_26610/kas am alo"/>
    <n v="1000000"/>
    <m/>
    <s v="3483285.9_x000a_0"/>
    <s v="KASAM ALI"/>
    <s v="FARMER PAYMENT"/>
    <s v="BEHALF OF FARMER"/>
    <m/>
    <s v="BEHALF OF FARMER"/>
    <m/>
    <m/>
    <m/>
    <x v="7"/>
  </r>
  <r>
    <s v="RTGS/ICIC R4202110 080052140_x000a_0/PUNB00_x000a_26610/kas am alo"/>
    <n v="1000000"/>
    <m/>
    <s v="2483285.9_x000a_0"/>
    <s v="KASAM ALI"/>
    <s v="FARMER PAYMENT"/>
    <m/>
    <m/>
    <m/>
    <m/>
    <m/>
    <m/>
    <x v="7"/>
  </r>
  <r>
    <s v="MMT/IMPS_x000a_/12821541_x000a_3320/brek/ hanumanB RI/BARB0 SHAMLI"/>
    <n v="100000"/>
    <m/>
    <s v="2383285.9_x000a_0"/>
    <s v="HANUMAN BRICK FIELD"/>
    <s v="FOR BRICKS"/>
    <s v="BEHALF OF FARMER"/>
    <m/>
    <s v="BEHALF OF FARMER"/>
    <m/>
    <m/>
    <m/>
    <x v="15"/>
  </r>
  <r>
    <s v="INF/INFT/0 251901372_x000a_81/lokingty al_x000a_/avniECOin dus"/>
    <n v="500000"/>
    <m/>
    <s v="1883285.9_x000a_0"/>
    <s v="AVNI ECO INDUSTRIES"/>
    <s v="FOR LOKING TAYAL"/>
    <s v="ADVANCE"/>
    <m/>
    <s v="ADVANCE"/>
    <m/>
    <m/>
    <s v="EXP"/>
    <x v="22"/>
  </r>
  <r>
    <s v="MMT/IMPS_x000a_/12821654_x000a_0185/gsbro ad/reliableI N/PUNB00 704"/>
    <n v="80000"/>
    <m/>
    <s v="1803285.9_x000a_0"/>
    <s v="REIJABLE INFRA TECH"/>
    <s v="GSB MEX"/>
    <s v="ADVANCE"/>
    <m/>
    <s v="ADVANCE"/>
    <m/>
    <m/>
    <m/>
    <x v="23"/>
  </r>
  <r>
    <s v="MMT/IMPS_x000a_/12821656_x000a_1393/salar y/avinashD G_x000a_/PUNB047 160"/>
    <n v="30000"/>
    <m/>
    <s v="1773285.9_x000a_0"/>
    <s v="AVINASH TYAGI"/>
    <s v="SALARY"/>
    <m/>
    <m/>
    <m/>
    <m/>
    <m/>
    <m/>
    <x v="24"/>
  </r>
  <r>
    <s v="MMT/IMPS_x000a_/12821656_x000a_1393/salar y/avinashD G_x000a_/PUNB047 160"/>
    <m/>
    <n v="30000"/>
    <s v="1803285.9_x000a_0"/>
    <s v="AVINASH TYAGI"/>
    <s v="SALARY"/>
    <m/>
    <m/>
    <m/>
    <m/>
    <m/>
    <m/>
    <x v="24"/>
  </r>
  <r>
    <s v="MMT/IMPS_x000a_/12821657_x000a_2875/salar y/avinashD G_x000a_/PUNB047 160"/>
    <n v="30000"/>
    <m/>
    <s v="1773285.9_x000a_0"/>
    <s v="AVINASH TYAGI"/>
    <s v="SALARY"/>
    <m/>
    <m/>
    <m/>
    <m/>
    <m/>
    <m/>
    <x v="24"/>
  </r>
  <r>
    <s v="MMT/IMPS_x000a_/12821657_x000a_2875/salar y/avinashD G_x000a_/PUNB047 160"/>
    <m/>
    <n v="30000"/>
    <s v="1803285.9_x000a_0"/>
    <s v="AVINASH TYAGI"/>
    <s v="SALARY"/>
    <m/>
    <m/>
    <m/>
    <m/>
    <m/>
    <m/>
    <x v="24"/>
  </r>
  <r>
    <s v="MMT/IMPS_x000a_/12821661_x000a_5810/salar y/goravDG_x000a_/CNRB000 232"/>
    <n v="30000"/>
    <m/>
    <s v="1773285.9_x000a_0"/>
    <s v="GORAV "/>
    <s v="SALARY"/>
    <m/>
    <m/>
    <m/>
    <m/>
    <m/>
    <m/>
    <x v="25"/>
  </r>
  <r>
    <s v="MMT/IMPS_x000a_/12821661_x000a_9451/salar y/alokTYA GId/SBIN0 01660"/>
    <n v="30000"/>
    <m/>
    <s v="1743285.9_x000a_0"/>
    <s v="ALOK TYAGI"/>
    <s v="SALARY"/>
    <m/>
    <m/>
    <m/>
    <m/>
    <m/>
    <m/>
    <x v="24"/>
  </r>
  <r>
    <s v="MMT/IMPS_x000a_/12821662_x000a_3583/salar y/vinayMA LIK/SBIN0 00761"/>
    <n v="30000"/>
    <m/>
    <s v="1713285.9_x000a_0"/>
    <s v="vinay kumar malik"/>
    <s v="SALARY"/>
    <m/>
    <s v="refund(18/2/22"/>
    <m/>
    <m/>
    <m/>
    <m/>
    <x v="24"/>
  </r>
  <r>
    <s v="MMT/IMPS_x000a_/12821662_x000a_8886/salar y/sagarMA LIK/CNRB 000218"/>
    <n v="30000"/>
    <m/>
    <s v="1683285.9_x000a_0"/>
    <s v="SAGAR MALIK"/>
    <s v="SALARY"/>
    <m/>
    <m/>
    <m/>
    <m/>
    <m/>
    <m/>
    <x v="24"/>
  </r>
  <r>
    <s v="INF/INFT/0 251906066_x000a_21/salary_x000a_/yogrshTY AGId"/>
    <n v="30000"/>
    <m/>
    <s v="1653285.9_x000a_0"/>
    <s v="YOGESH TYAGI"/>
    <s v="SALARY"/>
    <m/>
    <m/>
    <m/>
    <m/>
    <m/>
    <m/>
    <x v="24"/>
  </r>
  <r>
    <s v="INF/INFT/0 251906132_x000a_61/salary_x000a_/aashu"/>
    <n v="30000"/>
    <m/>
    <s v="1623285.9_x000a_0"/>
    <s v="AASHU TYAGI"/>
    <s v="SALARY"/>
    <m/>
    <m/>
    <m/>
    <m/>
    <m/>
    <m/>
    <x v="24"/>
  </r>
  <r>
    <s v="MMT/IMPS_x000a_/12821663_x000a_9248/salar y/rahulCHA UD/HDFC0 00435"/>
    <n v="30000"/>
    <m/>
    <s v="1593285.9_x000a_0"/>
    <s v="RAHUL CHAUDHARY"/>
    <s v="SALARY"/>
    <m/>
    <m/>
    <m/>
    <m/>
    <m/>
    <m/>
    <x v="24"/>
  </r>
  <r>
    <s v="MMT/IMPS_x000a_/12821767_x000a_3262/salar y/ARUNbhi DG_x000a_/SBIN0016 60"/>
    <n v="30000"/>
    <m/>
    <s v="1563285.9_x000a_0"/>
    <s v="ARUN CHAUDHARY"/>
    <s v="SALARY"/>
    <m/>
    <m/>
    <m/>
    <m/>
    <m/>
    <m/>
    <x v="24"/>
  </r>
  <r>
    <s v="MMT/IMPS_x000a_/12821771_x000a_2878/salar y/avinashT YA/PUNB0 47160"/>
    <n v="30000"/>
    <m/>
    <s v="1533285.9_x000a_0"/>
    <s v="AVINASH TYAGI"/>
    <s v="SALARY"/>
    <m/>
    <m/>
    <m/>
    <m/>
    <m/>
    <m/>
    <x v="24"/>
  </r>
  <r>
    <s v="MMT/IMPS_x000a_/12821771_x000a_6670/salar y/AMITgdT OMA/PUN B000420"/>
    <n v="30000"/>
    <m/>
    <s v="1503285.9_x000a_0"/>
    <s v="AMIT TOMAR"/>
    <s v="SALARY"/>
    <m/>
    <m/>
    <m/>
    <m/>
    <m/>
    <m/>
    <x v="24"/>
  </r>
  <r>
    <s v="MMT/IMPS_x000a_/12831518_x000a_9910/Gsbr oad/reliabl eIN/PUNB 00704"/>
    <n v="35000"/>
    <m/>
    <s v="1468285.9_x000a_0"/>
    <s v="REIJABLE INFRA TECH"/>
    <s v="GSB MEX"/>
    <m/>
    <m/>
    <m/>
    <m/>
    <m/>
    <m/>
    <x v="23"/>
  </r>
  <r>
    <s v="MMT/IMPS_x000a_/12831524_x000a_0425/gsbro ad/yamuna naga/HDF C00025"/>
    <n v="100000"/>
    <m/>
    <s v="1368285.9_x000a_0"/>
    <s v="VANSH INDUSTRIESH"/>
    <s v="GSB MEX"/>
    <s v="ADVANCE"/>
    <m/>
    <s v="ADVANCE"/>
    <m/>
    <m/>
    <m/>
    <x v="23"/>
  </r>
  <r>
    <s v="MMT/IMPS_x000a_/12841021_x000a_9523/salar y/mohiKU MARd/IOB A000356"/>
    <n v="30000"/>
    <m/>
    <s v="1338285.9_x000a_0"/>
    <s v="MOHIT KUMAR"/>
    <s v="SALARY"/>
    <m/>
    <m/>
    <m/>
    <m/>
    <m/>
    <m/>
    <x v="24"/>
  </r>
  <r>
    <s v="MMT/IMPS_x000a_/12841765_x000a_9414/gsbro ad/CHAPR ANAtr/PUN B07517"/>
    <n v="38000"/>
    <m/>
    <s v="1300285.9_x000a_0"/>
    <s v="CHAPRANA TRADERS"/>
    <s v="GSB MEX"/>
    <s v="BEHALF OF FARMER"/>
    <m/>
    <s v="BEHALF OF FARMER"/>
    <m/>
    <m/>
    <s v="EXP"/>
    <x v="23"/>
  </r>
  <r>
    <s v="MMT/IMPS_x000a_/12841908_x000a_4468/gsbro ad/reliableI N/PUNB00 704"/>
    <n v="80000"/>
    <m/>
    <s v="1220285.9_x000a_0"/>
    <s v="REIJABLE INFRA TECH"/>
    <s v="GSB MEX"/>
    <s v="BEHALF OF FARMER"/>
    <m/>
    <s v="BEHALF OF FARMER"/>
    <m/>
    <m/>
    <m/>
    <x v="23"/>
  </r>
  <r>
    <s v="MMT/IMPS_x000a_/12851675_x000a_1451/gsbro ad/yamuna naga/HDF C00025"/>
    <n v="32000"/>
    <m/>
    <s v="1188285.9_x000a_0"/>
    <s v="VANSH INDUSTRIESH"/>
    <s v="GSB MEX"/>
    <s v="BEHALF OF FARMER"/>
    <m/>
    <s v="BEHALF OF FARMER"/>
    <m/>
    <m/>
    <m/>
    <x v="23"/>
  </r>
  <r>
    <s v="MMT/IMPS_x000a_/12851676_x000a_3367/gsbro ad/CHAPR ANAtr/PUN B07517"/>
    <n v="67000"/>
    <m/>
    <s v="1121285.9_x000a_0"/>
    <s v="CHAPRANA TRADERS"/>
    <s v="GSB MEX"/>
    <s v="BEHALF OF FARMER"/>
    <m/>
    <s v="BEHALF OF FARMER"/>
    <m/>
    <m/>
    <s v="EXP"/>
    <x v="23"/>
  </r>
  <r>
    <s v="MMT/IMPS_x000a_/12851676_x000a_9652/gsbro ad/reliableI N/PUNB00 704"/>
    <n v="85000"/>
    <m/>
    <s v="1036285.9_x000a_0"/>
    <s v="REIJABLE INFRA TECH"/>
    <s v="GSB MEX"/>
    <s v="ADVANCE"/>
    <s v="R"/>
    <s v="ADVANCE"/>
    <s v="R"/>
    <m/>
    <m/>
    <x v="23"/>
  </r>
  <r>
    <s v="CLG/SATP AL SINGH/157 165/PNB/0_x000a_8.10.2021"/>
    <m/>
    <n v="100000"/>
    <s v="1136285.9_x000a_0"/>
    <s v="SATPAL SINGH"/>
    <s v="I F PLOT NO A25"/>
    <s v="BEHALF OF FARMER"/>
    <m/>
    <s v="BEHALF OF FARMER"/>
    <s v="ADVANCE"/>
    <m/>
    <m/>
    <x v="1"/>
  </r>
  <r>
    <s v="CLG/SATP AL SINGH/157 164/PNB/0_x000a_7.10.2021"/>
    <m/>
    <n v="100000"/>
    <s v="1236285.9_x000a_0"/>
    <s v="SATPAL SINGH"/>
    <s v="I F PLOT NO A67"/>
    <m/>
    <m/>
    <m/>
    <s v="ADVANCE"/>
    <m/>
    <m/>
    <x v="1"/>
  </r>
  <r>
    <s v="MMT/IMPS_x000a_/12861441_x000a_2431/dilsad lokingtya/ty aldilsad/P"/>
    <n v="98000"/>
    <m/>
    <s v="1138285.9_x000a_0"/>
    <s v="DILSHAD"/>
    <s v="LOKING TAYAL LAVER"/>
    <m/>
    <m/>
    <m/>
    <m/>
    <m/>
    <m/>
    <x v="20"/>
  </r>
  <r>
    <s v="MMT/IMPS_x000a_/12861442_x000a_2037/breka s/ASHAra mBRI/PUN B037190"/>
    <n v="61500"/>
    <m/>
    <s v="1076785.9_x000a_0"/>
    <s v="ASHA RAM BRICK FIELD"/>
    <s v="FOR BRICKS"/>
    <s v="BEHALF OF FARMER"/>
    <m/>
    <s v="BEHALF OF FARMER"/>
    <m/>
    <m/>
    <s v="EXP"/>
    <x v="15"/>
  </r>
  <r>
    <s v="MMT/IMPS_x000a_/12861547_x000a_4916/gsbro ad/CHAPR ANAtr/PUN B07517"/>
    <n v="80000"/>
    <m/>
    <n v="996785.9"/>
    <s v="CHAPRANA TRADERS"/>
    <s v="GSB MEX"/>
    <s v="ADVANCE"/>
    <m/>
    <s v="ADVANCE"/>
    <m/>
    <m/>
    <s v="EXP"/>
    <x v="23"/>
  </r>
  <r>
    <s v="CLG/ANN O KUMARI/0 00003/KM B/03.10.20 21"/>
    <m/>
    <n v="374354"/>
    <s v="1371139.9_x000a_0"/>
    <s v="ANNO KUMARI"/>
    <s v="I F PLOT NO A145"/>
    <m/>
    <m/>
    <m/>
    <s v="ADVANCE"/>
    <m/>
    <s v="ADVANCE"/>
    <x v="1"/>
  </r>
  <r>
    <s v="CLG/ANN O KUMARI/0 00002/KM B/03.10.20 21"/>
    <m/>
    <n v="322661"/>
    <s v="1693800.9_x000a_0"/>
    <s v="ANNO KUMARI"/>
    <s v="I F PLOT NO B28"/>
    <s v="BEHALF OF FARMER"/>
    <m/>
    <s v="BEHALF OF FARMER"/>
    <s v="ADVANCE"/>
    <m/>
    <s v="ADVANCE"/>
    <x v="1"/>
  </r>
  <r>
    <s v="MMT/IMPS_x000a_/12871178_x000a_9446/cema nt/bharatce me/BDBL0 00119"/>
    <n v="29000"/>
    <m/>
    <s v="1664800.9_x000a_0"/>
    <s v="BHARAT GROUP"/>
    <s v="FOR CEMENT"/>
    <s v="BOUNCE "/>
    <m/>
    <s v="BOUNCE "/>
    <m/>
    <m/>
    <s v="EXP"/>
    <x v="21"/>
  </r>
  <r>
    <s v="MMT/IMPS_x000a_/12871317_x000a_4615/gsbro ad/yamuna naga/HDF C00025"/>
    <n v="34000"/>
    <m/>
    <s v="1630800.9_x000a_0"/>
    <s v="VANSH INDUSTRIESH"/>
    <s v="FOR GSB MEX"/>
    <s v="ADVANCE"/>
    <m/>
    <s v="ADVANCE"/>
    <m/>
    <m/>
    <m/>
    <x v="23"/>
  </r>
  <r>
    <s v="CLG/MUK ESH KUMAR/12 4720/IDB/0_x000a_5.10.2021"/>
    <m/>
    <n v="400000"/>
    <s v="2030800.9_x000a_0"/>
    <s v="MUKESH KUMAR SHARMA"/>
    <s v="IN FAVOUR OF KULDEEP TOMAR CAPITAL"/>
    <m/>
    <m/>
    <m/>
    <s v="OPEN IN REGISTRY"/>
    <m/>
    <m/>
    <x v="26"/>
  </r>
  <r>
    <s v="MMT/IMPS_x000a_/12871672_x000a_2979/gsbro ad/CHAPR ANAtr/PUN B07517"/>
    <n v="35000"/>
    <m/>
    <s v="1995800.9_x000a_0"/>
    <s v="CHAPRANA TRADERS"/>
    <s v="FOR GSB MEX"/>
    <s v="BEHALF OF FARMER"/>
    <m/>
    <s v="BEHALF OF FARMER"/>
    <m/>
    <m/>
    <s v="EXP"/>
    <x v="27"/>
  </r>
  <r>
    <s v="MMT/IMPS_x000a_/12871672_x000a_9009/gsbro ad/reliableI N/PUNB00 704"/>
    <n v="80000"/>
    <m/>
    <s v="1915800.9_x000a_0"/>
    <s v="REIJABLE INFRA TECH"/>
    <s v="FOR GSB MEX"/>
    <s v="ADVANCE"/>
    <m/>
    <s v="ADVANCE"/>
    <m/>
    <m/>
    <m/>
    <x v="27"/>
  </r>
  <r>
    <s v="RTGS/ICIC R4202110 140052944_x000a_7/BDBL000_x000a_1199/Bhar at gr"/>
    <n v="235000"/>
    <m/>
    <s v="1680800.9_x000a_0"/>
    <s v="BHARAT GROUP"/>
    <s v="FOR CEMENT"/>
    <s v="BOUNCE"/>
    <m/>
    <s v="BOUNCE"/>
    <m/>
    <m/>
    <s v="EXP"/>
    <x v="21"/>
  </r>
  <r>
    <s v="UPI/12871 8048774/s_x000a_hri ganesh/rav ikumar827 363/State"/>
    <m/>
    <n v="30000"/>
    <s v="1710800.9_x000a_0"/>
    <s v="RAVI KUMAR"/>
    <s v="IN FAVOUR OF KULDEEP TOMAR CAPITAL"/>
    <m/>
    <m/>
    <m/>
    <s v="ADVANCE"/>
    <m/>
    <m/>
    <x v="28"/>
  </r>
  <r>
    <s v="UPI/12871 8032497/s_x000a_hri ganesh/rav ikumar827 363/State"/>
    <m/>
    <n v="30000"/>
    <s v="1740800.9_x000a_0"/>
    <s v="RAVI KUMAR"/>
    <s v="IN FAVOUR OF KULDEEP TOMAR CAPITAL"/>
    <m/>
    <m/>
    <m/>
    <s v="ADVANCE"/>
    <m/>
    <m/>
    <x v="28"/>
  </r>
  <r>
    <s v="INF/INFT/0 252346358_x000a_01/salary_x000a_/kuldeepici ci"/>
    <n v="100000"/>
    <m/>
    <s v="1640800.9_x000a_0"/>
    <s v="KULDEEP TOMAR"/>
    <s v="SALARY"/>
    <m/>
    <m/>
    <m/>
    <m/>
    <m/>
    <m/>
    <x v="24"/>
  </r>
  <r>
    <s v="MMT/IMPS_x000a_/12871803_x000a_8152/salar y/sumiti_x000a_/PUNB052 281"/>
    <n v="100000"/>
    <m/>
    <s v="1540800.9_x000a_0"/>
    <s v="SUMITI SINGH"/>
    <s v="SALARY"/>
    <m/>
    <m/>
    <m/>
    <m/>
    <m/>
    <m/>
    <x v="24"/>
  </r>
  <r>
    <s v="UPI/12871 9361873/S_x000a_heri ganesh/rav ikumar827 363/Stat"/>
    <m/>
    <n v="40000"/>
    <s v="1580800.9_x000a_0"/>
    <s v="RAVI KUMAR"/>
    <s v="IN FAVOUR OF KULDEEP TOMAR CAPITAL"/>
    <m/>
    <m/>
    <m/>
    <s v="ADVANCE"/>
    <m/>
    <m/>
    <x v="28"/>
  </r>
  <r>
    <s v="NEFT- N2872116 75607472- RAHUL KUMAR- TRF FOR HOUSE CO"/>
    <m/>
    <n v="50000"/>
    <s v="1630800.9_x000a_0"/>
    <s v="RAHUL KUMAR"/>
    <s v="IN FAVOUR OF KULDEEP TOMAR CAPITAL"/>
    <m/>
    <m/>
    <m/>
    <s v="ADVANCE"/>
    <m/>
    <m/>
    <x v="29"/>
  </r>
  <r>
    <s v="MMT/IMPS_x000a_/12881732_x000a_0027/gsbro ad/CHAPR ANAtr/PUN B07517"/>
    <n v="70000"/>
    <m/>
    <s v="1560800.9_x000a_0"/>
    <s v="CHAPRANA TRADERS"/>
    <s v="FOR GSB MEX"/>
    <s v="ADVANCE"/>
    <m/>
    <s v="ADVANCE"/>
    <m/>
    <m/>
    <s v="EXP"/>
    <x v="23"/>
  </r>
  <r>
    <s v="NEFT- N2882116 75954059- RAHUL KUMAR- NEFT TO KULDEEP-"/>
    <m/>
    <n v="150000"/>
    <s v="1710800.9_x000a_0"/>
    <s v="RAHUL KUMAR"/>
    <s v="IN FAVOUR OF KULDEEP TOMAR CAPITAL"/>
    <m/>
    <m/>
    <m/>
    <s v="ADVANCE"/>
    <m/>
    <m/>
    <x v="29"/>
  </r>
  <r>
    <s v="UPI/12891 2110016/s_x000a_hri ganesh/rav ikumar827 363/State"/>
    <m/>
    <n v="30000"/>
    <s v="1740800.9_x000a_0"/>
    <s v="RAVI KUMAR"/>
    <s v="IN FAVOUR OF KULDEEP TOMAR CAPITAL"/>
    <m/>
    <m/>
    <m/>
    <s v="ADVANCE"/>
    <m/>
    <m/>
    <x v="28"/>
  </r>
  <r>
    <s v="UPI/12891 2143541/s_x000a_hri ganesh/rav ikumar827 363/State"/>
    <m/>
    <n v="30000"/>
    <s v="1770800.9_x000a_0"/>
    <s v="RAVI KUMAR"/>
    <s v="IN FAVOUR OF KULDEEP TOMAR CAPITAL"/>
    <m/>
    <m/>
    <m/>
    <s v="ADVANCE"/>
    <m/>
    <m/>
    <x v="28"/>
  </r>
  <r>
    <s v="UPI/12891 2137302/s_x000a_hri ganesh/rav ikumar827 363/State"/>
    <m/>
    <n v="40000"/>
    <s v="1810800.9_x000a_0"/>
    <s v="RAVI KUMAR"/>
    <s v="IN FAVOUR OF KULDEEP TOMAR CAPITAL"/>
    <m/>
    <m/>
    <m/>
    <s v="ADVANCE"/>
    <m/>
    <m/>
    <x v="28"/>
  </r>
  <r>
    <s v="MMT/IMPS_x000a_/12891433_x000a_3393/gsbro ad/CHAPR ANAtr/PUN B07517"/>
    <n v="73000"/>
    <m/>
    <s v="1737800.9_x000a_0"/>
    <s v="CHAPRANA TRADERS"/>
    <s v="FOR GSB MEX"/>
    <s v="BEHALF OF FARMER"/>
    <m/>
    <s v="BEHALF OF FARMER"/>
    <m/>
    <m/>
    <s v="EXP"/>
    <x v="23"/>
  </r>
  <r>
    <s v="MMT/IMPS_x000a_/12891656_x000a_6852/invert er/JainBan dhu/BDBL0 001"/>
    <n v="27500"/>
    <m/>
    <s v="1710300.9_x000a_0"/>
    <s v="JAIN BANDHU"/>
    <s v="FOR INVERTER "/>
    <s v="BOUNCE"/>
    <m/>
    <s v="BOUNCE"/>
    <m/>
    <m/>
    <m/>
    <x v="30"/>
  </r>
  <r>
    <s v="MMT/IMPS_x000a_/12891904_x000a_6450/salar y/PRAVIN DRAk/PUN B002661"/>
    <n v="30000"/>
    <m/>
    <s v="1680300.9_x000a_0"/>
    <s v="PRAVINDRA KUMAR"/>
    <s v="SALARY"/>
    <m/>
    <m/>
    <m/>
    <m/>
    <m/>
    <m/>
    <x v="24"/>
  </r>
  <r>
    <s v="MMT/IMPS_x000a_/12911395_x000a_7297/gsbro ad/reliableI N/PUNB00 704"/>
    <n v="75000"/>
    <m/>
    <s v="1605300.9_x000a_0"/>
    <s v="REIJABLE INFRA TECH"/>
    <s v="FOR GSB MEX"/>
    <m/>
    <m/>
    <m/>
    <m/>
    <m/>
    <m/>
    <x v="23"/>
  </r>
  <r>
    <s v="MMT/IMPS_x000a_/12911305_x000a_5480/ceme nt/bharatce me/BDBL0 00119"/>
    <n v="50000"/>
    <m/>
    <s v="1555300.9_x000a_0"/>
    <s v="BHARAT GROUP"/>
    <s v="FOR CEMENT"/>
    <s v="ADVANCE"/>
    <m/>
    <s v="ADVANCE"/>
    <m/>
    <m/>
    <s v="EXP"/>
    <x v="21"/>
  </r>
  <r>
    <s v="MMT/IMPS_x000a_/12911307_x000a_5104/home rent/vijayP ALho/PUN B0745"/>
    <n v="25000"/>
    <m/>
    <s v="1530300.9_x000a_0"/>
    <s v="VIJAY PAL"/>
    <s v="FOR HOUSE RENT"/>
    <s v="ADVANCE"/>
    <m/>
    <s v="ADVANCE"/>
    <m/>
    <m/>
    <m/>
    <x v="31"/>
  </r>
  <r>
    <s v="CLG/AMIT YADAV/00 0032/HDF/_x000a_13.10.2021"/>
    <m/>
    <n v="300000"/>
    <s v="1830300.9_x000a_0"/>
    <s v="AMIT YADAV"/>
    <s v="I F PLOT NO A34"/>
    <m/>
    <m/>
    <m/>
    <s v="ADVANCE"/>
    <m/>
    <s v="REFUND (8/6/23)"/>
    <x v="1"/>
  </r>
  <r>
    <s v="MMT/IMPS_x000a_/12921276_x000a_2161/gsbro ad/CHAPR ANAtr/PUN B07517"/>
    <n v="150000"/>
    <m/>
    <s v="1680300.9_x000a_0"/>
    <s v="CHAPRANA TRADERS"/>
    <s v="FOR GSB MEX"/>
    <s v="ADVANCE"/>
    <m/>
    <s v="ADVANCE"/>
    <m/>
    <m/>
    <s v="EXP"/>
    <x v="23"/>
  </r>
  <r>
    <s v="MMT/IMPS_x000a_/12921909_x000a_9808/solarli ght/UNATIt rade/PUNB 07"/>
    <n v="142750"/>
    <m/>
    <s v="1537550.9_x000a_0"/>
    <s v="UNATI TRADERS"/>
    <s v="FOR SOLAR LIGHTS"/>
    <s v="ADVANCE"/>
    <m/>
    <s v="ADVANCE"/>
    <m/>
    <m/>
    <m/>
    <x v="18"/>
  </r>
  <r>
    <s v="TRFR FROM: ARCHANA KUMARI"/>
    <m/>
    <n v="100000"/>
    <s v="1637550.9_x000a_0"/>
    <s v="ARCHANA KUMARI"/>
    <s v="I F PLOT NO A37"/>
    <m/>
    <m/>
    <m/>
    <s v="REFUND(11/1/22)"/>
    <m/>
    <s v="REFUND (11/1/22)"/>
    <x v="1"/>
  </r>
  <r>
    <s v="CLG/SURE NDER ISNGH/998 644/SBI/21_x000a_.10.2021"/>
    <m/>
    <n v="150000"/>
    <s v="1787550.9_x000a_0"/>
    <s v="SURENDRA SINGH"/>
    <s v="I F PLOT NO A111"/>
    <m/>
    <m/>
    <m/>
    <s v="REFUND(20/12/22)"/>
    <m/>
    <s v="REFUND(20/12/22)"/>
    <x v="1"/>
  </r>
  <r>
    <s v="CLG/YASH PAL SINGH/760 335/SBI/20_x000a_.10.2021"/>
    <m/>
    <n v="150000"/>
    <s v="1937550.9_x000a_0"/>
    <s v="yashpal singh"/>
    <s v="I F PLOT NO A111"/>
    <s v="ADVANCE"/>
    <m/>
    <s v="ADVANCE"/>
    <s v="REFUND(20/12/22)"/>
    <m/>
    <m/>
    <x v="1"/>
  </r>
  <r>
    <s v="MMT/IMPS_x000a_/13001250_x000a_5667/ceme nt/bharatce me/BDBL0 00119"/>
    <n v="80000"/>
    <m/>
    <s v="1857550.9_x000a_0"/>
    <s v="BHARAT GROUP"/>
    <s v="FOR CEMENT"/>
    <s v="BEHALF OF FARMER"/>
    <m/>
    <s v="BEHALF OF FARMER"/>
    <m/>
    <m/>
    <s v="EXP"/>
    <x v="21"/>
  </r>
  <r>
    <s v="CLG/PRA MOD KUMARI/1 57229/PNB_x000a_/22.10.202 1"/>
    <m/>
    <n v="200000"/>
    <s v="2057550.9_x000a_0"/>
    <s v="PRAMOD KUMARI"/>
    <s v="I F PLOT NO A27"/>
    <m/>
    <m/>
    <m/>
    <s v="ADVANCE"/>
    <m/>
    <m/>
    <x v="1"/>
  </r>
  <r>
    <s v="MMT/IMPS_x000a_/13011478_x000a_2160/officla var/mainpa l   /UBIN05"/>
    <n v="35000"/>
    <m/>
    <s v="2022550.9_x000a_0"/>
    <s v="MAINPAL"/>
    <s v="LABOUR THEKEDAR"/>
    <m/>
    <m/>
    <m/>
    <m/>
    <m/>
    <m/>
    <x v="20"/>
  </r>
  <r>
    <s v="CLG/ANIT A SHMRA/90 9537/SBI/2_x000a_0.10.2021"/>
    <m/>
    <n v="300000"/>
    <s v="2322550.9_x000a_0"/>
    <s v="ANITA SHMRA"/>
    <s v="IN FAVOUR OF KULDEEP TOMAR CAPITAL"/>
    <m/>
    <m/>
    <m/>
    <s v="ADVANCE"/>
    <m/>
    <s v="ADVANCE"/>
    <x v="32"/>
  </r>
  <r>
    <s v="MMT/IMPS_x000a_/13011622_x000a_6864/refrig erator/Ank urElect/IDI B"/>
    <n v="12200"/>
    <m/>
    <s v="2310350.9_x000a_0"/>
    <s v="ANKUR ELECTRONICS"/>
    <s v="FOR WASHING MACHINE"/>
    <s v="ADVANCE"/>
    <m/>
    <s v="ADVANCE"/>
    <m/>
    <m/>
    <s v="EXP"/>
    <x v="33"/>
  </r>
  <r>
    <s v="INF/INFT/0 253361585_x000a_51/lockingti les_x000a_/avniECOin dus"/>
    <n v="500000"/>
    <m/>
    <s v="1810350.9_x000a_0"/>
    <s v="AVNI ECO INDUSTRIES"/>
    <s v="FOR LOKING TAYAL"/>
    <s v="BOUNCE"/>
    <m/>
    <s v="BOUNCE"/>
    <m/>
    <m/>
    <s v="EXP"/>
    <x v="22"/>
  </r>
  <r>
    <s v="MMT/IMPS_x000a_/13021241_x000a_0306/julfika rlabour/zulf ekar  /PU"/>
    <n v="148500"/>
    <m/>
    <s v="1661850.9_x000a_0"/>
    <s v="JULFIKAR"/>
    <s v="LABOUR THEKEDAR"/>
    <m/>
    <s v="refund(13/6/22)"/>
    <m/>
    <s v="refund(13/6/22)"/>
    <s v="EXPENCE"/>
    <m/>
    <x v="20"/>
  </r>
  <r>
    <s v="RTGS/ICIC R4202110 290054204_x000a_1/PUNB00_x000a_26610/inus h ali"/>
    <n v="260000"/>
    <m/>
    <s v="1401850.9_x000a_0"/>
    <s v="INUSH ALI"/>
    <s v="FARMER PAYMENT"/>
    <m/>
    <m/>
    <m/>
    <m/>
    <m/>
    <m/>
    <x v="7"/>
  </r>
  <r>
    <s v="RTGS/ICIC R4202110 290054224_x000a_5/PUNB00_x000a_26610/shal au di"/>
    <n v="515000"/>
    <m/>
    <n v="886850.9"/>
    <s v="SHALAU DIN"/>
    <s v="FARMER PAYMENT"/>
    <s v="BEHALF OF FARMER"/>
    <m/>
    <s v="BEHALF OF FARMER"/>
    <m/>
    <m/>
    <m/>
    <x v="7"/>
  </r>
  <r>
    <s v="RTGS/ICIC R4202110 290054996_x000a_5/SBIN001_x000a_7876/Harp al Si"/>
    <n v="230000"/>
    <m/>
    <n v="656850.9"/>
    <s v="HARPAL SINGH"/>
    <s v="FOR STAMP PURCHASE"/>
    <s v="BEHALF OF FARMER"/>
    <m/>
    <s v="BEHALF OF FARMER"/>
    <m/>
    <s v="EXPENCE"/>
    <m/>
    <x v="34"/>
  </r>
  <r>
    <s v="BIL/INFT/0 002439694_x000a_55/NA/"/>
    <m/>
    <n v="10"/>
    <n v="656860.9"/>
    <s v="SHIVANSHI GARG"/>
    <s v="I F PLOT NO B14"/>
    <m/>
    <m/>
    <m/>
    <s v="ADVANCE"/>
    <m/>
    <m/>
    <x v="1"/>
  </r>
  <r>
    <s v="BIL/INFT/0 002439741_x000a_25/NA/"/>
    <m/>
    <n v="300000"/>
    <n v="956860.9"/>
    <s v="SHIVANSHI GARG"/>
    <s v="I F PLOT NO B14"/>
    <m/>
    <m/>
    <m/>
    <s v="OPEN IN REGISTRY"/>
    <m/>
    <m/>
    <x v="1"/>
  </r>
  <r>
    <s v="MMT/IMPS_x000a_/13040982_x000a_5267/lockin gtileDils/tya ldilsad/P"/>
    <n v="100000"/>
    <m/>
    <n v="856860.9"/>
    <s v="DILSHAD"/>
    <s v="LABOUR THEKEDAR"/>
    <m/>
    <m/>
    <m/>
    <m/>
    <s v="EXPENCE"/>
    <m/>
    <x v="20"/>
  </r>
  <r>
    <s v="MMT/IMPS_x000a_/13051769_x000a_8983/gsb/r eliableIN/P UNB00704 00"/>
    <n v="41790"/>
    <m/>
    <n v="815070.9"/>
    <s v="REIJABLE INFRA TECH"/>
    <s v="GSB MEX"/>
    <s v="BEHALF OF FARMER"/>
    <m/>
    <s v="BEHALF OF FARMER"/>
    <m/>
    <s v="EXPENCE"/>
    <m/>
    <x v="23"/>
  </r>
  <r>
    <s v="MMT/IMPS_x000a_/13061082_x000a_1740/lavar/ minesgMO SI/PUNB01 15910"/>
    <n v="10000"/>
    <m/>
    <n v="805070.9"/>
    <s v="MINESH"/>
    <s v="LABOUR"/>
    <m/>
    <m/>
    <m/>
    <m/>
    <s v="EXPENCE"/>
    <m/>
    <x v="20"/>
  </r>
  <r>
    <s v="MMT/IMPS_x000a_/13061198_x000a_1174/salar y/rahulCHA UD/HDFC0 00435"/>
    <n v="30000"/>
    <m/>
    <n v="775070.9"/>
    <s v="RAHUL CHAUDHARY"/>
    <s v="SALARY"/>
    <m/>
    <m/>
    <m/>
    <m/>
    <m/>
    <m/>
    <x v="24"/>
  </r>
  <r>
    <s v="MMT/IMPS_x000a_/13061476 8670/JCVp_x000a_ayment/JS construc/IO BA00"/>
    <n v="88000"/>
    <m/>
    <n v="687070.9"/>
    <s v="JS CONSTRUCTOR"/>
    <s v="LABOUR  "/>
    <m/>
    <m/>
    <m/>
    <m/>
    <s v="EXPENCE"/>
    <m/>
    <x v="20"/>
  </r>
  <r>
    <s v="MMT/IMPS_x000a_/13081178_x000a_2574/salar y/goravDG_x000a_/CNRB000 232"/>
    <n v="30000"/>
    <m/>
    <n v="657070.9"/>
    <s v="GORAV "/>
    <s v="SALARY"/>
    <m/>
    <m/>
    <m/>
    <m/>
    <m/>
    <m/>
    <x v="25"/>
  </r>
  <r>
    <s v="UPI/13127 0735474/D_x000a_efnce garden s/8979890_x000a_449@ybl/S t"/>
    <m/>
    <n v="45000"/>
    <n v="702070.9"/>
    <s v="ARJUN SINGH"/>
    <s v="I F PLOT NO B22"/>
    <m/>
    <m/>
    <m/>
    <s v="REFUND(19/1/22)"/>
    <m/>
    <s v="REFUND (19/1/22)"/>
    <x v="1"/>
  </r>
  <r>
    <s v="UPI/13127 9155410/U_x000a_PI/renurpfk cg@okic/St ate Bank Of"/>
    <m/>
    <n v="70000"/>
    <n v="772070.9"/>
    <s v="RENU"/>
    <s v="I F PLOT NO B22"/>
    <s v="BEHALF OF FARMER"/>
    <m/>
    <s v="BEHALF OF FARMER"/>
    <s v="REFUND(19/1/22)"/>
    <m/>
    <m/>
    <x v="1"/>
  </r>
  <r>
    <s v="UPI/13131 4634304/Bi_x000a_rpal singh/birpal singh8145/ Stat"/>
    <m/>
    <n v="100000"/>
    <n v="872070.9"/>
    <s v="BIRPAL SINGH"/>
    <s v="I F PLOT NO A51"/>
    <m/>
    <m/>
    <m/>
    <s v="ADVANCE"/>
    <m/>
    <s v="REFUND(4/7/23)"/>
    <x v="1"/>
  </r>
  <r>
    <s v="MMT/IMPS_x000a_/13131547_x000a_8294/gsb/r eliableIN/P UNB00704 00"/>
    <n v="41980"/>
    <m/>
    <n v="830090.9"/>
    <s v="REIJABLE INFRA TECH"/>
    <s v="GSB MEX"/>
    <s v="BEHALF OF FARMER"/>
    <m/>
    <s v="BEHALF OF FARMER"/>
    <m/>
    <s v="EXPENCE"/>
    <m/>
    <x v="23"/>
  </r>
  <r>
    <s v="INF/INFT/0 254336040_x000a_81/fabricat or_x000a_/nandkisho r"/>
    <n v="100000"/>
    <m/>
    <n v="730090.9"/>
    <s v="NANDKISHOR"/>
    <s v="FABRICATER"/>
    <s v="ADVANCE"/>
    <m/>
    <s v="ADVANCE"/>
    <m/>
    <s v="EXPENCE"/>
    <m/>
    <x v="35"/>
  </r>
  <r>
    <s v="MMT/IMPS_x000a_/13141437_x000a_8270/gsbg st/reliableI N/PUNB00 7040"/>
    <n v="21000"/>
    <m/>
    <n v="709090.9"/>
    <s v="REIJABLE INFRA TECH"/>
    <s v="GSB MEX"/>
    <s v="ADVANCE"/>
    <m/>
    <s v="ADVANCE"/>
    <m/>
    <s v="EXPENCE"/>
    <m/>
    <x v="23"/>
  </r>
  <r>
    <s v="MMT/IMPS_x000a_/13141438_x000a_5808/gsbg st/CHAPR ANAtr/PUN B075170"/>
    <n v="23000"/>
    <m/>
    <n v="686090.9"/>
    <s v="CHAPRANA TRADERS"/>
    <s v="GSB MEX"/>
    <s v="ADVANCE"/>
    <m/>
    <s v="ADVANCE"/>
    <m/>
    <s v="EXPENCE"/>
    <s v="EXP"/>
    <x v="23"/>
  </r>
  <r>
    <s v="UPI/13167 4126703/P_x000a_ayment from Ph/976046_x000a_4545@ybl/ St"/>
    <m/>
    <n v="60000"/>
    <n v="746090.9"/>
    <s v="ANUJ KUMAR"/>
    <s v="I F PLOT NO B32"/>
    <m/>
    <m/>
    <m/>
    <s v="REFUND(2/9/22)"/>
    <m/>
    <s v="REFUND (2/9/22)"/>
    <x v="1"/>
  </r>
  <r>
    <s v="RTGS/ICIC R4202111 120054361_x000a_0/BDBL000_x000a_1199/Bhar at gr"/>
    <n v="270000"/>
    <m/>
    <n v="476090.9"/>
    <s v="BHARAT GROUP"/>
    <s v="FOR CEMENT"/>
    <s v="ADVANCE"/>
    <m/>
    <s v="ADVANCE"/>
    <m/>
    <s v="EXPENCE"/>
    <s v="EXP"/>
    <x v="21"/>
  </r>
  <r>
    <s v="UPI/13181 8893079/fr om anmol pawa/varu nkmr2915 @ok/S"/>
    <m/>
    <n v="100000"/>
    <n v="576090.9"/>
    <s v="VARUN KUMAR"/>
    <s v="I F PLOT NO A145"/>
    <m/>
    <m/>
    <m/>
    <s v="OPEN IN REGISTRY"/>
    <m/>
    <m/>
    <x v="1"/>
  </r>
  <r>
    <s v="NEFT- IDIBH2131 9313664- SATANDR KUMAR-- 000000062_x000a_7827"/>
    <m/>
    <n v="203000"/>
    <n v="779090.9"/>
    <s v="SATANDRA KUMAR"/>
    <s v="I F PLOT NO B4"/>
    <s v="ADVANCE"/>
    <m/>
    <s v="ADVANCE"/>
    <s v="OPEN IN REGISTRY"/>
    <m/>
    <m/>
    <x v="1"/>
  </r>
  <r>
    <s v="MMT/IMPS_x000a_/13191427_x000a_6067/lookin gtilesDil/tya ldilsad/P"/>
    <n v="100000"/>
    <m/>
    <n v="679090.9"/>
    <s v="DILSHAD"/>
    <s v="LABOUR THEKEDAR"/>
    <m/>
    <m/>
    <m/>
    <m/>
    <s v="EXPENCE"/>
    <m/>
    <x v="20"/>
  </r>
  <r>
    <s v="UPI/13200 8348874/U_x000a_PI/varunkm r2915@ok/ State Bank Of"/>
    <m/>
    <n v="100000"/>
    <n v="779090.9"/>
    <s v="VARUN KUMAR"/>
    <s v="I F PLOT NO A145"/>
    <m/>
    <m/>
    <m/>
    <s v="OPEN IN REGISTRY"/>
    <m/>
    <m/>
    <x v="1"/>
  </r>
  <r>
    <s v="NEFT- AXMB2132 07219062- RAVI KUMAR 201014361_x000a_/PTC--9"/>
    <m/>
    <n v="75000"/>
    <n v="854090.9"/>
    <s v="RAVI KUMAR"/>
    <s v="I F PLOT NO A144"/>
    <m/>
    <m/>
    <m/>
    <s v="ADVANCE"/>
    <m/>
    <m/>
    <x v="1"/>
  </r>
  <r>
    <s v="RTGS/ICIC R4202111 160054268_x000a_0/UTIB000_x000a_2688/avni eco"/>
    <n v="250000"/>
    <m/>
    <n v="604090.9"/>
    <s v="AVNI ECO INDUSTRIES"/>
    <s v="FOR LOKING TAYAL"/>
    <s v="BOUNCE"/>
    <m/>
    <s v="BOUNCE"/>
    <m/>
    <s v="EXPENCE"/>
    <s v="EXP"/>
    <x v="22"/>
  </r>
  <r>
    <s v="UPI/13210 9384884/fr om anmol/varu nkmr2915 @ok/State"/>
    <m/>
    <n v="100000"/>
    <n v="704090.9"/>
    <s v="VARUN KUMAR"/>
    <s v="I F PLOT NO A145"/>
    <m/>
    <m/>
    <m/>
    <s v="OPEN IN REGISTRY"/>
    <m/>
    <m/>
    <x v="1"/>
  </r>
  <r>
    <s v="CLG/BRIJ PAL/62578 7/PNB/26.1_x000a_0.2021"/>
    <m/>
    <n v="56000"/>
    <n v="760090.9"/>
    <s v="BRIJPAL"/>
    <s v="I F PLOT NO B26"/>
    <m/>
    <m/>
    <m/>
    <s v="ADVANCE"/>
    <m/>
    <s v="ADVANCE"/>
    <x v="1"/>
  </r>
  <r>
    <s v="MMT/IMPS_x000a_/13211402_x000a_3651/ceme nt/bharatce me/BDBL0 00119"/>
    <n v="60000"/>
    <m/>
    <n v="700090.9"/>
    <s v="BHARAT GROUP"/>
    <s v="FOR CEMENT"/>
    <s v="ADVANCE"/>
    <m/>
    <s v="ADVANCE"/>
    <m/>
    <s v="EXPENCE"/>
    <s v="EXP"/>
    <x v="21"/>
  </r>
  <r>
    <s v="CLG/PRA MOD KUMAR/15 7232/PNB/_x000a_11.11.2021"/>
    <m/>
    <n v="695000"/>
    <s v="1395090.9_x000a_0"/>
    <s v="PRAMOD KUMARI"/>
    <s v="I F PLOT NO A27"/>
    <m/>
    <m/>
    <m/>
    <s v="ADVANCE"/>
    <m/>
    <m/>
    <x v="1"/>
  </r>
  <r>
    <s v="MMT/IMPS_x000a_/13211643_x000a_8911/officel ever/mainp al   /UBIN0"/>
    <n v="35000"/>
    <m/>
    <s v="1360090.9_x000a_0"/>
    <s v="MAINPAL"/>
    <s v="FOR OFFICE LABOUR"/>
    <s v="ADVANCE"/>
    <m/>
    <s v="ADVANCE"/>
    <m/>
    <s v="EXPENCE"/>
    <m/>
    <x v="20"/>
  </r>
  <r>
    <s v="MMT/IMPS_x000a_/13221128_x000a_3891/refun dentry/arvi ndKUMA/C NRB0"/>
    <n v="164000"/>
    <m/>
    <s v="1196090.9_x000a_0"/>
    <s v="ARVIND KUMAR"/>
    <s v="FROM PLOT NO B3"/>
    <s v="BEHALF OF FARMER"/>
    <m/>
    <s v="BEHALF OF FARMER"/>
    <s v="REFUND(19/8/21)"/>
    <m/>
    <s v="REFUND AS ON DATE (19/8/21)"/>
    <x v="1"/>
  </r>
  <r>
    <s v="RTGS/ICIC R4202111 180050741_x000a_6/SBIN000_x000a_1563/jagat sin"/>
    <n v="200000"/>
    <m/>
    <n v="996090.9"/>
    <s v="JAGAT SINGH"/>
    <s v="FROM PLOT NO A17"/>
    <s v="ADVANCE"/>
    <m/>
    <s v="ADVANCE"/>
    <s v="REFUND(30/7/21)"/>
    <m/>
    <m/>
    <x v="1"/>
  </r>
  <r>
    <s v="MMT/IMPS_x000a_/13221129_x000a_2393/refun dentry/aka sCHAUDH/ SBIN0"/>
    <n v="35000"/>
    <m/>
    <n v="961090.9"/>
    <s v="AKASH CHOUDHARY"/>
    <s v="FROM PLOT NO A17"/>
    <s v="BOUNCE"/>
    <m/>
    <s v="BOUNCE"/>
    <s v="BOUNCE"/>
    <m/>
    <s v="REFUND AS ON DATE (13/9/21)"/>
    <x v="1"/>
  </r>
  <r>
    <s v="MMT/IMPS_x000a_/13221129_x000a_6957/refun dentry/arvi ndA17A/U TIB0"/>
    <n v="20000"/>
    <m/>
    <n v="941090.9"/>
    <s v="ARVIND"/>
    <s v="FROM PLOT NO A17"/>
    <s v="BOUNCE"/>
    <m/>
    <s v="BOUNCE"/>
    <s v="REFUND(13/9/21)"/>
    <m/>
    <s v="REFUND AS ON DATE (13/9/21)"/>
    <x v="1"/>
  </r>
  <r>
    <s v="MMT/IMPS_x000a_/13221129_x000a_9206/refun dentry/arvi ndA17_x000a_/BARB0"/>
    <n v="45000"/>
    <m/>
    <n v="896090.9"/>
    <s v="ARVIND"/>
    <s v="FROM PLOT NO A17"/>
    <m/>
    <m/>
    <m/>
    <s v="REFUND(13/9/21)"/>
    <m/>
    <s v="REFUND AS ON DATE (13/9/21, )"/>
    <x v="1"/>
  </r>
  <r>
    <s v="MMT/IMPS_x000a_/13221498_x000a_3699/labou r/SHIVANA INs/SBIN0 00187"/>
    <n v="19500"/>
    <m/>
    <n v="876590.9"/>
    <s v="SHIVANA"/>
    <s v="FOR LABOUR"/>
    <s v="BOUNCE"/>
    <m/>
    <s v="BOUNCE"/>
    <m/>
    <s v="EXPENCE"/>
    <m/>
    <x v="20"/>
  </r>
  <r>
    <s v="CLG/NISH ANT SAROHA/1 33512/AXI/_x000a_15.11.2021"/>
    <m/>
    <n v="300000"/>
    <s v="1176590.9_x000a_0"/>
    <s v="NISHANT SAROHA"/>
    <s v="I F PLOT NO A80"/>
    <m/>
    <m/>
    <m/>
    <s v="BOUNCE"/>
    <m/>
    <m/>
    <x v="1"/>
  </r>
  <r>
    <s v="REJECT:1 33512:KIN DLY CONTACT DRAWER/ DRAWEE BANK &amp;"/>
    <n v="300000"/>
    <m/>
    <n v="876590.9"/>
    <s v="NISHANT SAROHA"/>
    <s v="FROM PLOT NO A80"/>
    <s v="BOUNCE"/>
    <m/>
    <s v="BOUNCE"/>
    <s v="BOUNCE"/>
    <m/>
    <m/>
    <x v="1"/>
  </r>
  <r>
    <s v="MMT/IMPS_x000a_/13231458_x000a_1565/salar y/alokTYA GId/SBIN0 01660"/>
    <n v="30000"/>
    <m/>
    <n v="846590.9"/>
    <s v="ALOK TYAGI"/>
    <s v="SALARY"/>
    <m/>
    <m/>
    <m/>
    <m/>
    <m/>
    <m/>
    <x v="24"/>
  </r>
  <r>
    <s v="RTGS- PUNBR52 021112016_x000a_698511- SHALAU DIN S/O WASIDH-"/>
    <m/>
    <n v="404000"/>
    <s v="1250590.9_x000a_0"/>
    <s v="SHALAU DIN"/>
    <s v="FROM FARMER PAYMENT"/>
    <s v="ADVANCE"/>
    <m/>
    <s v="ADVANCE"/>
    <m/>
    <m/>
    <m/>
    <x v="7"/>
  </r>
  <r>
    <s v="MMT/IMPS_x000a_/13241886_x000a_7750/salar y/avinashT YA/PUNB0 47160"/>
    <n v="30000"/>
    <m/>
    <s v="1220590.9_x000a_0"/>
    <s v="AVINASH TYAGI"/>
    <s v="SALARY"/>
    <m/>
    <m/>
    <m/>
    <m/>
    <m/>
    <m/>
    <x v="24"/>
  </r>
  <r>
    <s v="NEFT- SBIN52132 7942249- MRS ANURADH A SHARMA-_x000a_/ATTN/"/>
    <m/>
    <n v="100000"/>
    <s v="1320590.9_x000a_0"/>
    <s v="ANURADHA SHARMA"/>
    <s v="I F PLOT NO A10"/>
    <s v="ADVANCE"/>
    <m/>
    <s v="ADVANCE"/>
    <s v="REFUND(7/7/22)"/>
    <m/>
    <s v="REFUND (7/7/22)"/>
    <x v="1"/>
  </r>
  <r>
    <s v="NEFT- N3282117 24135455- PARTAP PANWAR- A 106 PLOT PAY"/>
    <m/>
    <n v="207250"/>
    <s v="1527840.9_x000a_0"/>
    <s v="Partap panwar"/>
    <s v="I F PLOT NO A86"/>
    <s v="ADVANCE"/>
    <s v="REFUND(6/8/22)"/>
    <s v="ADVANCE"/>
    <s v="REFUND"/>
    <m/>
    <m/>
    <x v="1"/>
  </r>
  <r>
    <s v="MMT/IMPS_x000a_/13281291_x000a_5001/jcv/J Sconstruc/I OBA00006 08"/>
    <n v="45000"/>
    <m/>
    <s v="1482840.9_x000a_0"/>
    <s v="JS CONSTRUCTOR"/>
    <s v="LABOUR"/>
    <m/>
    <m/>
    <m/>
    <m/>
    <s v="EXPENCE"/>
    <m/>
    <x v="20"/>
  </r>
  <r>
    <s v="MMT/IMPS_x000a_/13281804_x000a_7199/salar y/AMITgdT OMA/PUN B000420"/>
    <n v="30000"/>
    <m/>
    <s v="1452840.9_x000a_0"/>
    <s v="AMIT TOMAR"/>
    <s v="SALARY"/>
    <m/>
    <m/>
    <m/>
    <m/>
    <m/>
    <m/>
    <x v="24"/>
  </r>
  <r>
    <s v="MMT/IMPS_x000a_/13281804_x000a_8820/salar y/ARUNbhi DG_x000a_/SBIN0016 60"/>
    <n v="30000"/>
    <m/>
    <s v="1422840.9_x000a_0"/>
    <s v="ARUN CHAUDHARY"/>
    <s v="SALARY"/>
    <m/>
    <m/>
    <m/>
    <m/>
    <m/>
    <m/>
    <x v="24"/>
  </r>
  <r>
    <s v="MMT/IMPS_x000a_/13281804_x000a_9442/salar y/vinayMA LIK/SBIN0 00761"/>
    <n v="30000"/>
    <m/>
    <s v="1392840.9_x000a_0"/>
    <s v="vinay kumar malik"/>
    <s v="SALARY"/>
    <m/>
    <s v="refund(22/3/22)"/>
    <m/>
    <m/>
    <m/>
    <m/>
    <x v="24"/>
  </r>
  <r>
    <s v="MMT/IMPS_x000a_/13281805_x000a_3395/salar y/sagarMA LIK/CNRB 000218"/>
    <n v="30000"/>
    <m/>
    <s v="1362840.9_x000a_0"/>
    <s v="SAGAR MALIK"/>
    <s v="SALARY"/>
    <m/>
    <m/>
    <m/>
    <m/>
    <m/>
    <m/>
    <x v="24"/>
  </r>
  <r>
    <s v="INF/INFT/0 255532575_x000a_61/salary_x000a_/aashu"/>
    <n v="30000"/>
    <m/>
    <s v="1332840.9_x000a_0"/>
    <s v="AASHU TYAGI"/>
    <s v="SALARY"/>
    <m/>
    <m/>
    <m/>
    <m/>
    <m/>
    <m/>
    <x v="24"/>
  </r>
  <r>
    <s v="INF/INFT/0 255532615_x000a_41/salary_x000a_/yogrshTY AGId"/>
    <n v="30000"/>
    <m/>
    <s v="1302840.9_x000a_0"/>
    <s v="YOGESH TYAGI"/>
    <s v="SALARY"/>
    <m/>
    <m/>
    <m/>
    <m/>
    <m/>
    <m/>
    <x v="24"/>
  </r>
  <r>
    <s v="MMT/IMPS_x000a_/13281805_x000a_7688/salar y/mohiKU MARd/IOB A000356"/>
    <n v="30000"/>
    <m/>
    <s v="1272840.9_x000a_0"/>
    <s v="MOHIT KUMAR"/>
    <s v="SALARY"/>
    <m/>
    <m/>
    <m/>
    <m/>
    <m/>
    <m/>
    <x v="24"/>
  </r>
  <r>
    <s v="MMT/IMPS_x000a_/13281806_x000a_2004/salar y/PRAVIN DRAk/PUN B002661"/>
    <n v="30000"/>
    <m/>
    <s v="1242840.9_x000a_0"/>
    <s v="PRAVINDRA KUMAR"/>
    <s v="SALARY"/>
    <m/>
    <m/>
    <m/>
    <m/>
    <m/>
    <m/>
    <x v="24"/>
  </r>
  <r>
    <s v="MMT/IMPS_x000a_/13281806_x000a_3375/salar y/PRAVIN DRAk/PUN B002661"/>
    <n v="100000"/>
    <m/>
    <s v="1142840.9_x000a_0"/>
    <s v="PRAVINDRA KUMAR"/>
    <s v="ADVANCE"/>
    <m/>
    <m/>
    <m/>
    <m/>
    <m/>
    <m/>
    <x v="36"/>
  </r>
  <r>
    <s v="INF/INFT/0 255532895_x000a_41/salary_x000a_/kuldeepici ci"/>
    <n v="100000"/>
    <m/>
    <s v="1042840.9_x000a_0"/>
    <s v="KULDEEP TOMAR"/>
    <s v="SALARY"/>
    <m/>
    <m/>
    <m/>
    <m/>
    <m/>
    <m/>
    <x v="24"/>
  </r>
  <r>
    <s v="MMT/IMPS_x000a_/13281807_x000a_0256/salar y/sumiti_x000a_/PUNB052 281"/>
    <n v="100000"/>
    <m/>
    <n v="942840.9"/>
    <s v="SUMITI SINGH"/>
    <s v="SALARY"/>
    <m/>
    <m/>
    <m/>
    <m/>
    <m/>
    <m/>
    <x v="24"/>
  </r>
  <r>
    <s v="RTGS/ICIC R4202111 240054063_x000a_4/UBIN055_x000a_0256/ajs texti"/>
    <n v="306453"/>
    <m/>
    <n v="636387.9"/>
    <s v="A J S TEXTILES"/>
    <s v="BLANKETS"/>
    <s v="ADVANCE"/>
    <m/>
    <s v="ADVANCE"/>
    <m/>
    <s v="EXPENCE"/>
    <s v="EXP"/>
    <x v="23"/>
  </r>
  <r>
    <s v="MMT/IMPS_x000a_/13291548_x000a_0127/ceme nt/bharatce me/BDBL0 00119"/>
    <n v="75000"/>
    <m/>
    <n v="561387.9"/>
    <s v="BHARAT GROUP"/>
    <s v="FOR CEMENT"/>
    <s v="ADVANCE"/>
    <m/>
    <s v="ADVANCE"/>
    <m/>
    <s v="EXPENCE"/>
    <s v="EXP"/>
    <x v="21"/>
  </r>
  <r>
    <s v="MMT/IMPS_x000a_/13300942_x000a_6493/blank et/AJStextil e/UBIN055 02"/>
    <n v="1000"/>
    <m/>
    <n v="560387.9"/>
    <s v="A J S TEXTILES"/>
    <s v="BLANKETS"/>
    <s v="ADVANCE"/>
    <m/>
    <s v="ADVANCE"/>
    <m/>
    <s v="EXPENCE"/>
    <s v="EXP"/>
    <x v="23"/>
  </r>
  <r>
    <s v="UPI/13307 8872887/P_x000a_ayment from Ph/945752_x000a_8439@ybl/ St"/>
    <m/>
    <n v="14000"/>
    <n v="574387.9"/>
    <s v="OMINDRA KUMAR"/>
    <s v="I F PLOT NO A84"/>
    <m/>
    <m/>
    <m/>
    <s v="REFUND(22/6/22)"/>
    <m/>
    <m/>
    <x v="1"/>
  </r>
  <r>
    <s v="MMT/IMPS_x000a_/13301791_x000a_7409/salar y/AMITyad av_x000a_/HDFC000 065"/>
    <n v="20000"/>
    <m/>
    <n v="554387.9"/>
    <s v="AMIT YADAV"/>
    <s v="SALARY"/>
    <m/>
    <m/>
    <m/>
    <m/>
    <m/>
    <m/>
    <x v="24"/>
  </r>
  <r>
    <s v="CLG/RAJE EV KUMAR/84 6528/SBI/1_x000a_9.11.2021"/>
    <m/>
    <n v="110000"/>
    <n v="664387.9"/>
    <s v="RAJEEV KUMAR"/>
    <s v="I FPLOT NO B47"/>
    <m/>
    <m/>
    <m/>
    <s v="ADVANCE"/>
    <m/>
    <m/>
    <x v="1"/>
  </r>
  <r>
    <s v="INF/INFT/0 255857770_x000a_51/salary_x000a_/kuldeepici ci"/>
    <n v="50000"/>
    <m/>
    <n v="614387.9"/>
    <s v="KULDEEP TOMAR"/>
    <s v="SALARY"/>
    <m/>
    <m/>
    <m/>
    <m/>
    <m/>
    <m/>
    <x v="24"/>
  </r>
  <r>
    <s v="RTGS/ICIC R4202111 300051331_x000a_1/UTIB000_x000a_2688/avni eco"/>
    <n v="200000"/>
    <m/>
    <n v="414387.9"/>
    <s v="AVNI ECO INDUSTRIES"/>
    <s v="FOR LOKING TAYAL"/>
    <s v="ADVANCE"/>
    <m/>
    <s v="ADVANCE"/>
    <m/>
    <s v="EXPENCE"/>
    <s v="EXP"/>
    <x v="22"/>
  </r>
  <r>
    <s v="MMT/IMPS_x000a_/13362283_x000a_9124/salar y/MANISH_x000a_saga/PUN B007290"/>
    <n v="20000"/>
    <m/>
    <n v="394387.9"/>
    <s v="MANISH SAGAR"/>
    <s v="SALARY"/>
    <m/>
    <m/>
    <m/>
    <m/>
    <m/>
    <m/>
    <x v="24"/>
  </r>
  <r>
    <s v="RTGS- SBINR520 211203550_x000a_36199- BRIJ PAL SINGH- 3022512"/>
    <m/>
    <n v="600000"/>
    <n v="994387.9"/>
    <s v="BRIJPAL SINGH"/>
    <s v="I F PLOT NO A30"/>
    <m/>
    <m/>
    <m/>
    <s v="REFUND(20/12/22)"/>
    <m/>
    <s v="REFUND(20/12/22)"/>
    <x v="1"/>
  </r>
  <r>
    <s v="UPI/13382 4529818/P_x000a_ayment from Ph/992783_x000a_0484@ybl/ St"/>
    <m/>
    <n v="10000"/>
    <s v="1004387.9_x000a_0"/>
    <s v="ARUN CHAUDHARY"/>
    <s v="I F PLOT NO A1"/>
    <m/>
    <m/>
    <m/>
    <s v="ADVANCE"/>
    <m/>
    <s v="5000 ADVANCE"/>
    <x v="1"/>
  </r>
  <r>
    <s v="MMT/IMPS_x000a_/13391795_x000a_2656/refun dentry/ITE SHbansa/C NRB0"/>
    <n v="100000"/>
    <m/>
    <n v="904387.9"/>
    <s v="ITESH BANSAL"/>
    <s v="FROM PLOT NO A30"/>
    <s v="ADVANCE"/>
    <m/>
    <s v="ADVANCE"/>
    <s v="REFUND(27/8/21)"/>
    <m/>
    <m/>
    <x v="1"/>
  </r>
  <r>
    <s v="RTGS/ICIC R4202112 050050344_x000a_3/YESB00_x000a_00470/sate ndra"/>
    <n v="381000"/>
    <m/>
    <n v="523387.9"/>
    <s v="SATENDRA KUMAR"/>
    <s v="FROM PLOT NO A11"/>
    <s v="ADVANCE"/>
    <m/>
    <s v="ADVANCE"/>
    <s v="REFUND(23/8/21)"/>
    <m/>
    <m/>
    <x v="1"/>
  </r>
  <r>
    <s v="MMT/IMPS_x000a_/13401475_x000a_6290/jcv/J Sconstruc/I OBA00006 08"/>
    <n v="20000"/>
    <m/>
    <n v="503387.9"/>
    <s v="JS CONSTRUCTOR"/>
    <s v="LABOUR"/>
    <m/>
    <m/>
    <m/>
    <m/>
    <s v="EXPENCE"/>
    <m/>
    <x v="20"/>
  </r>
  <r>
    <s v="MMT/IMPS_x000a_/13401592_x000a_3180/ceme nt/bharatce me/BDBL0 00119"/>
    <n v="90000"/>
    <m/>
    <n v="413387.9"/>
    <s v="BHARAT GROUP"/>
    <s v="FOR CEMENT"/>
    <s v="ADVANCE"/>
    <m/>
    <s v="ADVANCE"/>
    <m/>
    <s v="EXPENCE"/>
    <s v="EXP"/>
    <x v="21"/>
  </r>
  <r>
    <s v="MMT/IMPS_x000a_/13401979_x000a_1054/salry/ alokTYAGI d/SBIN001 6609"/>
    <n v="30000"/>
    <m/>
    <n v="383387.9"/>
    <s v="ALOK TYAGI"/>
    <s v="SALARY"/>
    <m/>
    <m/>
    <m/>
    <m/>
    <m/>
    <m/>
    <x v="24"/>
  </r>
  <r>
    <s v="CLG/Mr SUNIL KUMAR BANSAL/B NB"/>
    <n v="200000"/>
    <m/>
    <n v="183387.9"/>
    <s v="SUNIL KUMAR BANSAL"/>
    <s v="FROM PLOT NO A30"/>
    <s v="ADVANCE"/>
    <m/>
    <s v="ADVANCE"/>
    <s v="REFUND(26/8/21,27/8/21)"/>
    <m/>
    <m/>
    <x v="1"/>
  </r>
  <r>
    <s v="CLG/JITEN DRA/3494 18/SBI/03._x000a_12.2021"/>
    <m/>
    <n v="200000"/>
    <n v="383387.9"/>
    <s v="JITENDRA KUMAR"/>
    <s v="I F POLT NO A42"/>
    <s v="BEHALF OF FARMER"/>
    <m/>
    <s v="BEHALF OF FARMER"/>
    <s v="REFUND(6/8/22)"/>
    <m/>
    <m/>
    <x v="1"/>
  </r>
  <r>
    <s v="CLG/MUK ESH KUMAR/88 9160/PNB/_x000a_30.11.2021"/>
    <m/>
    <n v="300000"/>
    <n v="683387.9"/>
    <s v="MUKESH KUMAR"/>
    <s v="I F PLOT NO A60"/>
    <s v="BOUNCE"/>
    <m/>
    <s v="BOUNCE"/>
    <s v="REFUND(11/4/22)"/>
    <m/>
    <m/>
    <x v="1"/>
  </r>
  <r>
    <s v="MMT/IMPS_x000a_/13431006_x000a_9787/lockin gtiles/tyaldi lsad/PUNB"/>
    <n v="100000"/>
    <m/>
    <n v="583387.9"/>
    <s v="DILSHAD"/>
    <s v="LABOUR"/>
    <m/>
    <m/>
    <m/>
    <m/>
    <s v="EXPENCE"/>
    <m/>
    <x v="20"/>
  </r>
  <r>
    <s v="MMT/IMPS_x000a_/13441822_x000a_5750/saley/ goravDG_x000a_/CNRB000 2323"/>
    <n v="10000"/>
    <m/>
    <n v="573387.9"/>
    <s v="GORAV "/>
    <s v="SALARY"/>
    <m/>
    <m/>
    <m/>
    <m/>
    <m/>
    <m/>
    <x v="25"/>
  </r>
  <r>
    <s v="MMT/IMPS_x000a_/13441827_x000a_0420/salar y/goravDG_x000a_/CNRB000 232"/>
    <n v="20000"/>
    <m/>
    <n v="553387.9"/>
    <s v="GORAV "/>
    <s v="SALARY"/>
    <m/>
    <m/>
    <m/>
    <m/>
    <m/>
    <m/>
    <x v="25"/>
  </r>
  <r>
    <s v="NEFT- N3452117 49219794- NARESH KUMAR-A 10 EMI-_x000a_501002"/>
    <m/>
    <n v="40000"/>
    <n v="593387.9"/>
    <s v="NARESH KUMAR"/>
    <s v="I F PLOT NO A10"/>
    <s v="ADVANCE"/>
    <m/>
    <s v="ADVANCE"/>
    <s v="REFUND(7/7/22)"/>
    <m/>
    <m/>
    <x v="1"/>
  </r>
  <r>
    <s v="MMT/IMPS_x000a_/13461432_x000a_5692/comp utertally/mit talTALE/H DF"/>
    <n v="21240"/>
    <m/>
    <n v="572147.9"/>
    <s v="MITTAL ONLINE SERVICES"/>
    <s v="FOR TALLY PRIME SILVER"/>
    <s v="ADVANCE"/>
    <m/>
    <s v="ADVANCE"/>
    <m/>
    <s v="EXPENCE"/>
    <m/>
    <x v="33"/>
  </r>
  <r>
    <s v="NEFT- SBIN52134 6164648- MRS ANURADH A SHARMA-_x000a_/ATTN/"/>
    <m/>
    <n v="200000"/>
    <n v="772147.9"/>
    <s v="ANURADHA SHARMA"/>
    <s v="I F PLOT NO A10"/>
    <s v="ADVANCE"/>
    <m/>
    <s v="ADVANCE"/>
    <s v="REFUND(7/7/22)"/>
    <m/>
    <s v="REFUND (7/7/22)"/>
    <x v="1"/>
  </r>
  <r>
    <s v="INF/INFT/0 257185424_x000a_41/refunda 11_x000a_/satendraA 11"/>
    <n v="51000"/>
    <m/>
    <n v="721147.9"/>
    <s v="SATENDRA KUMAR"/>
    <s v="FROM PLOT NO A11"/>
    <s v="ADVANCE"/>
    <m/>
    <s v="ADVANCE"/>
    <s v="REFUND(15/9/21)"/>
    <m/>
    <m/>
    <x v="1"/>
  </r>
  <r>
    <s v="MMT/IMPS_x000a_/13510802_x000a_1027/salar y/rahulCHA UD/HDFC0 00435"/>
    <n v="30000"/>
    <m/>
    <n v="691147.9"/>
    <s v="RAHUL CHAUDHARY"/>
    <s v="SALARY"/>
    <m/>
    <m/>
    <m/>
    <m/>
    <m/>
    <m/>
    <x v="24"/>
  </r>
  <r>
    <s v="MMT/IMPS_x000a_/13511902_x000a_8821/ceme nt/bharatce me/BDBL0 00119"/>
    <n v="45000"/>
    <m/>
    <n v="646147.9"/>
    <s v="BHARAT GROUP"/>
    <s v="FOR CEMENT"/>
    <s v="ADVANCE"/>
    <s v="REFUND(18/11/21)"/>
    <s v="ADVANCE"/>
    <s v="REFUND(18/11/21)"/>
    <s v="EXPENCE"/>
    <s v="EXP"/>
    <x v="21"/>
  </r>
  <r>
    <s v="INF/INFT/0 257743779_x000a_31/salary_x000a_/kuldeepici ci"/>
    <n v="100000"/>
    <m/>
    <n v="546147.9"/>
    <s v="KULDEEP TOMAR"/>
    <s v="SALARY"/>
    <m/>
    <m/>
    <m/>
    <m/>
    <m/>
    <m/>
    <x v="24"/>
  </r>
  <r>
    <s v="MMT/IMPS_x000a_/13541486_x000a_4324/salar y/sumiti_x000a_/PUNB052 281"/>
    <n v="100000"/>
    <m/>
    <n v="446147.9"/>
    <s v="SUMITI SINGH"/>
    <s v="SALARY"/>
    <m/>
    <m/>
    <m/>
    <m/>
    <m/>
    <m/>
    <x v="24"/>
  </r>
  <r>
    <s v="RTGS- IDIBR5202 112212627_x000a_3505-MR PRAVEEN KUMAR- 0000"/>
    <m/>
    <n v="275000"/>
    <n v="721147.9"/>
    <s v="PRAVEEN KUMAR"/>
    <s v="I F PLOT NO B15"/>
    <m/>
    <m/>
    <m/>
    <s v="OPEN IN REGISTRY"/>
    <m/>
    <m/>
    <x v="1"/>
  </r>
  <r>
    <s v="NEFT- PUNBH21 355888740_x000a_-PRITI PANWAR-- 403900010_x000a_01943"/>
    <m/>
    <n v="300000"/>
    <s v="1021147.9_x000a_0"/>
    <s v="PRITI PANWAR"/>
    <s v="I F PLOT NO A29"/>
    <m/>
    <m/>
    <m/>
    <s v="REFUND(28/8/22)"/>
    <m/>
    <m/>
    <x v="1"/>
  </r>
  <r>
    <s v="MMT/IMPS_x000a_/13561143_x000a_9049/lokun gtyal/AVNI ecoIND/UT IB00"/>
    <n v="100000"/>
    <m/>
    <n v="921147.9"/>
    <s v="AVNI ECO INDUSTRIES"/>
    <s v="FOR LOKING TAYAL"/>
    <s v="ADVANCE"/>
    <m/>
    <s v="ADVANCE"/>
    <m/>
    <s v="EXPENCE"/>
    <s v="EXP"/>
    <x v="22"/>
  </r>
  <r>
    <s v="NEFT- PUNBH21 356004928_x000a_-PRITI PANWAR-- 403900010_x000a_01943"/>
    <m/>
    <n v="300000"/>
    <s v="1221147.9_x000a_0"/>
    <s v="PRITI PANWAR"/>
    <s v="I F PLOT NO A29"/>
    <m/>
    <m/>
    <m/>
    <s v="REFUND(28/8/22)"/>
    <m/>
    <m/>
    <x v="1"/>
  </r>
  <r>
    <s v="RTGS/ICIC R4202112 220053092_x000a_1/CNRB00_x000a_02189/ites h ban"/>
    <n v="229500"/>
    <m/>
    <n v="991647.9"/>
    <s v="ITESH BANSAL"/>
    <s v="FROM PLOT NO A29"/>
    <s v="ADVANCE"/>
    <m/>
    <s v="ADVANCE"/>
    <s v="REFUND(2/9/21)"/>
    <m/>
    <m/>
    <x v="1"/>
  </r>
  <r>
    <s v="MMT/IMPS_x000a_/13571507 7479/BRIC_x000a_S/ASHAra mBRI/PUN B0371900"/>
    <n v="60000"/>
    <m/>
    <n v="931647.9"/>
    <s v="ASHA RAM BRICK FIELD"/>
    <s v="FOR BRICKS"/>
    <s v="BEHALF OF FARMER"/>
    <m/>
    <s v="BEHALF OF FARMER"/>
    <m/>
    <s v="EXPENCE"/>
    <s v="EXP"/>
    <x v="15"/>
  </r>
  <r>
    <s v="INF/INFT/0 258039737_x000a_31/severpi pes_x000a_/dayalpipes"/>
    <n v="14000"/>
    <m/>
    <n v="917647.9"/>
    <s v="DAYAL SPUN PIPES (P)LTD."/>
    <s v="FOR SEVER PIPE "/>
    <s v="ADVANCE"/>
    <m/>
    <s v="ADVANCE"/>
    <m/>
    <s v="EXPENCE"/>
    <m/>
    <x v="19"/>
  </r>
  <r>
    <s v="CLG/DEEP AK VARMA/C AB"/>
    <n v="10000"/>
    <m/>
    <n v="907647.9"/>
    <s v="DEEPAK VARMA"/>
    <s v="FROM PLOT NO A63"/>
    <s v="ADVANCE"/>
    <m/>
    <s v="ADVANCE"/>
    <m/>
    <m/>
    <m/>
    <x v="1"/>
  </r>
  <r>
    <s v="UPI/13608 4749572/B_x000a_6 plot defence/vik rantmalik8 50/H"/>
    <m/>
    <n v="25000"/>
    <n v="932647.9"/>
    <s v="VIKRANT MALIK"/>
    <s v="I F PLOT NO B6"/>
    <s v="BEHALF OF FARMER"/>
    <m/>
    <s v="BEHALF OF FARMER"/>
    <s v="ADVANCE"/>
    <m/>
    <m/>
    <x v="1"/>
  </r>
  <r>
    <s v="CLG/Mr SUNIL KUMAR BANSAL/B NB"/>
    <n v="129500"/>
    <m/>
    <n v="803147.9"/>
    <s v="SUNIL KUMAR BANSAL"/>
    <s v="FROM PLOT MO A29"/>
    <s v="ADVANCE"/>
    <m/>
    <s v="ADVANCE"/>
    <s v="REFUND(2/9/21)"/>
    <m/>
    <m/>
    <x v="1"/>
  </r>
  <r>
    <s v="RTGS- UBINR220 211228016_x000a_43697- RAVI MALIK SON OF SOM"/>
    <m/>
    <n v="200000"/>
    <s v="1003147.9_x000a_0"/>
    <s v="RAVI MALIK"/>
    <s v="I F PLOT NO B32"/>
    <m/>
    <m/>
    <m/>
    <s v="REFUND(2/9/22)"/>
    <m/>
    <m/>
    <x v="1"/>
  </r>
  <r>
    <s v="MMT/IMPS_x000a_/13632003_x000a_5239/lockin gtilelabo/ty aldilsad/P"/>
    <n v="49500"/>
    <m/>
    <n v="953647.9"/>
    <s v="DILSHAD"/>
    <s v="LABOUR THEKEDAR"/>
    <m/>
    <m/>
    <m/>
    <m/>
    <s v="EXPENCE"/>
    <m/>
    <x v="20"/>
  </r>
  <r>
    <s v="MMT/IMPS_x000a_/13632004_x000a_1030/ceme nt/bharatce me/BDBL0 00119"/>
    <n v="80000"/>
    <m/>
    <n v="873647.9"/>
    <s v="BHARAT GROUP"/>
    <s v="FOR CEMENT"/>
    <s v="ADVANCE"/>
    <s v="REFUND(3/9/21)"/>
    <s v="ADVANCE"/>
    <s v="REFUND(3/9/21)"/>
    <s v="EXPENCE"/>
    <s v="EXP"/>
    <x v="21"/>
  </r>
  <r>
    <s v="UPI/13641 8730152/Bi_x000a_rpal singh/birpal singh8145/ Stat"/>
    <m/>
    <n v="100000"/>
    <n v="973647.9"/>
    <s v="BIRPAL SINGH"/>
    <s v="I F SHOP NO S1"/>
    <m/>
    <m/>
    <m/>
    <s v="ADVANCE"/>
    <m/>
    <s v="REFUND(4/7/23)"/>
    <x v="1"/>
  </r>
  <r>
    <s v="UPI/13646 0974763/P_x000a_ayment from Ph/821842_x000a_8973@ybl/ St"/>
    <m/>
    <n v="50000"/>
    <s v="1023647.9_x000a_0"/>
    <s v="SANDEEP MALIK"/>
    <s v="I F SHOP NO S2"/>
    <m/>
    <m/>
    <m/>
    <s v="ADVANCE"/>
    <m/>
    <m/>
    <x v="1"/>
  </r>
  <r>
    <s v="MMT/IMPS_x000a_/20031545_x000a_9393/salar y/MANISH_x000a_saga/PUN B007290"/>
    <n v="20000"/>
    <m/>
    <s v="1003647.9_x000a_0"/>
    <s v="MANISH SAGAR"/>
    <s v="SALARY"/>
    <m/>
    <m/>
    <m/>
    <m/>
    <m/>
    <m/>
    <x v="24"/>
  </r>
  <r>
    <s v="MMT/IMPS_x000a_/20031546_x000a_2701/salar y/AMITyad av_x000a_/HDFC000 065"/>
    <n v="20000"/>
    <m/>
    <n v="983647.9"/>
    <s v="AMIT YADAV"/>
    <s v="SALARY"/>
    <m/>
    <m/>
    <m/>
    <m/>
    <m/>
    <m/>
    <x v="24"/>
  </r>
  <r>
    <s v="MMT/IMPS_x000a_/20061415_x000a_5566/salar y/AMITgdT OMA/PUN B000420"/>
    <n v="30000"/>
    <m/>
    <n v="953647.9"/>
    <s v="AMIT TOMAR"/>
    <s v="SALARY"/>
    <m/>
    <m/>
    <m/>
    <m/>
    <m/>
    <m/>
    <x v="24"/>
  </r>
  <r>
    <s v="MMT/IMPS_x000a_/20061676_x000a_9949/lockin gtilelabo/ty aldilsad/P"/>
    <n v="49500"/>
    <m/>
    <n v="904147.9"/>
    <s v="DILSHAD"/>
    <s v="LABOUR THEKEDAR"/>
    <m/>
    <m/>
    <m/>
    <m/>
    <s v="EXPENCE"/>
    <m/>
    <x v="20"/>
  </r>
  <r>
    <s v="INF/INFT/0 259256320_x000a_31/lockingti le_x000a_/avniECOin dus"/>
    <n v="310000"/>
    <m/>
    <n v="594147.9"/>
    <s v="AVNI ECO INDUSTRIES"/>
    <s v="FOR LOKING TAYAL"/>
    <s v="ADVANCE"/>
    <m/>
    <s v="ADVANCE"/>
    <m/>
    <s v="EXPENCE"/>
    <s v="EXP"/>
    <x v="22"/>
  </r>
  <r>
    <s v="RTGS/ICIC R4202201 060053673_x000a_2/UTIB000_x000a_2688/avni eco"/>
    <n v="310000"/>
    <m/>
    <n v="284147.90000000002"/>
    <s v="AVNI ECO INDUSTRIES"/>
    <s v="FOR LOKING TAYAL"/>
    <s v="BEHALF OF FARMER"/>
    <m/>
    <s v="BEHALF OF FARMER"/>
    <m/>
    <s v="EXPENCE"/>
    <s v="RETURN"/>
    <x v="22"/>
  </r>
  <r>
    <s v="INF/INFT/0 259266261_x000a_41/refund_x000a_/AVNI ECO IND"/>
    <m/>
    <n v="310000"/>
    <n v="594147.9"/>
    <s v="AVNI ECO INDUSTRIES"/>
    <s v="FROM LOKING TAYAL"/>
    <s v="BEHALF OF FARMER"/>
    <m/>
    <s v="BEHALF OF FARMER"/>
    <m/>
    <s v="EXPENCE"/>
    <s v="RETURN"/>
    <x v="22"/>
  </r>
  <r>
    <s v="MMT/IMPS_x000a_/20061943_x000a_8418/selfie/ rahulCHAU D/HDFC00 0435"/>
    <n v="30000"/>
    <m/>
    <n v="564147.9"/>
    <s v="RAHUL CHAUDHARY"/>
    <s v="SALARY"/>
    <m/>
    <m/>
    <m/>
    <m/>
    <m/>
    <m/>
    <x v="24"/>
  </r>
  <r>
    <s v="UPI/20091 3509074/A_x000a_5 plot - Shaml/987 3077782@_x000a_payt/I"/>
    <m/>
    <n v="10000"/>
    <n v="574147.9"/>
    <s v="SANDEEP KUMAR"/>
    <s v="I F PLOT NO A5"/>
    <s v="BEHALF OF FARMER"/>
    <m/>
    <s v="BEHALF OF FARMER"/>
    <s v="REFUND"/>
    <m/>
    <m/>
    <x v="1"/>
  </r>
  <r>
    <s v="CLG/CHE QUE/2166 77/PNB/28._x000a_12.2021"/>
    <m/>
    <n v="260000"/>
    <n v="834147.9"/>
    <s v="KASAM ALI"/>
    <s v="FROM FARMER PAYMENT"/>
    <s v="ADVANCE"/>
    <s v="REFUND(3/9/21)"/>
    <s v="ADVANCE"/>
    <s v="REFUND(3/9/21)"/>
    <m/>
    <m/>
    <x v="7"/>
  </r>
  <r>
    <s v="UPI/20104 8731195/C_x000a_ommercial/ 987307778_x000a_2@payt/ICI CI"/>
    <m/>
    <n v="10000"/>
    <n v="844147.9"/>
    <s v="SANDEEP KUMAR"/>
    <s v="I F SHOP NO S12"/>
    <m/>
    <m/>
    <m/>
    <s v="REFUND"/>
    <m/>
    <m/>
    <x v="1"/>
  </r>
  <r>
    <s v="UPI/20104 2449704/P_x000a_ayment from Ph/992721_x000a_0730@ybl/ Pu"/>
    <m/>
    <n v="10000"/>
    <n v="854147.9"/>
    <s v="PARVEER SINGH"/>
    <s v="I F PLOT NO B20"/>
    <m/>
    <m/>
    <m/>
    <s v="ADVANCE"/>
    <m/>
    <m/>
    <x v="1"/>
  </r>
  <r>
    <s v="CLG/INUS H ALI/43744 6/PNB/04.0_x000a_1.2022"/>
    <m/>
    <n v="600000"/>
    <s v="1454147.9_x000a_0"/>
    <s v="INUSH ALI"/>
    <s v="FROM FARMER PAYMENT"/>
    <s v="BEHALF OF FARMER"/>
    <m/>
    <s v="BEHALF OF FARMER"/>
    <m/>
    <m/>
    <m/>
    <x v="7"/>
  </r>
  <r>
    <s v="CLG/SHAL AU DIN/49171 8/PNB/04.0_x000a_1.2022"/>
    <m/>
    <n v="520000"/>
    <s v="1974147.9_x000a_0"/>
    <s v="SHALAU DIN"/>
    <s v="FROM FARMER PAYMENT"/>
    <s v="ADVANCE"/>
    <m/>
    <s v="ADVANCE"/>
    <m/>
    <m/>
    <m/>
    <x v="7"/>
  </r>
  <r>
    <s v="MMT/IMPS_x000a_/20101650_x000a_2658/salar y/goravDG_x000a_/CNRB000 232"/>
    <n v="30000"/>
    <m/>
    <s v="1944147.9_x000a_0"/>
    <s v="GORAV "/>
    <s v="SALARY"/>
    <m/>
    <m/>
    <m/>
    <m/>
    <m/>
    <m/>
    <x v="25"/>
  </r>
  <r>
    <s v="REJECT:4 91718:KIN DLY CONTACT DRAWER/ DRAWEE BANK &amp;"/>
    <n v="520000"/>
    <m/>
    <s v="1424147.9_x000a_0"/>
    <s v="SHALAU DIN"/>
    <s v="FARMER PAYMENT"/>
    <s v="BEHALF OF FARMER"/>
    <m/>
    <s v="BEHALF OF FARMER"/>
    <m/>
    <m/>
    <m/>
    <x v="7"/>
  </r>
  <r>
    <s v="INF/INFT/2 597338189_x000a_/refundentr ya37_x000a_/archanaK UMARIa"/>
    <n v="200000"/>
    <m/>
    <s v="1224147.9_x000a_0"/>
    <s v="ARCHANA KUMARI"/>
    <s v="FROM PLOT NO A37"/>
    <s v="ADVANCE"/>
    <m/>
    <s v="ADVANCE"/>
    <s v="refund(9/8/21,22/10/21)"/>
    <m/>
    <s v="REFUND AS ON DATE (9/8/21, 22/10/21)"/>
    <x v="1"/>
  </r>
  <r>
    <s v="NEFT- P0122201 47886697- MAHARAJ SINGH-- 855520300_x000a_0218"/>
    <m/>
    <n v="300000"/>
    <s v="1524147.9_x000a_0"/>
    <s v="MAHARAJ SINGH"/>
    <s v="I F PLOT NO B12"/>
    <s v="ADVANCE"/>
    <m/>
    <s v="ADVANCE"/>
    <s v="OPEN IN REGISTRY"/>
    <m/>
    <m/>
    <x v="1"/>
  </r>
  <r>
    <s v="MMT/IMPS_x000a_/20131237_x000a_0650/ceme nt/bharatce me/BDBL0 00119"/>
    <n v="80000"/>
    <m/>
    <s v="1444147.9_x000a_0"/>
    <s v="BHARAT GROUP"/>
    <s v="FOR CEMENT"/>
    <s v="ADVANCE"/>
    <m/>
    <s v="ADVANCE"/>
    <m/>
    <s v="EXPENCE"/>
    <s v="EXP"/>
    <x v="21"/>
  </r>
  <r>
    <s v="INF/INFT/2 600687654_x000a_/salary_x000a_/kuldeepici ci"/>
    <n v="150000"/>
    <m/>
    <s v="1294147.9_x000a_0"/>
    <s v="KULDEEP TOMAR"/>
    <s v="SALARY"/>
    <m/>
    <s v="refund22/2/22"/>
    <m/>
    <m/>
    <m/>
    <m/>
    <x v="24"/>
  </r>
  <r>
    <s v="MMT/IMPS_x000a_/20132139_x000a_7887/salar y/sumiti_x000a_/PUNB052 281"/>
    <n v="100000"/>
    <m/>
    <s v="1194147.9_x000a_0"/>
    <s v="SUMITI SINGH"/>
    <s v="SALARY"/>
    <m/>
    <m/>
    <m/>
    <m/>
    <m/>
    <m/>
    <x v="24"/>
  </r>
  <r>
    <s v="CLG/ASSH U TYAGI/770 760/PNB/1_x000a_3.01.2022"/>
    <m/>
    <n v="200000"/>
    <s v="1394147.9_x000a_0"/>
    <s v="AASHU TYAGI"/>
    <s v="IN FAVOUR OF YOGESH TYAGI CAPITAL"/>
    <m/>
    <m/>
    <m/>
    <s v="ADVANCE"/>
    <m/>
    <s v="REFUND AS ON DATE( 11/8/21)"/>
    <x v="6"/>
  </r>
  <r>
    <s v="RTGS- PUNBR52 022011518_x000a_477373- SHALAU DIN S/O WASIDH-"/>
    <m/>
    <n v="520000"/>
    <s v="1914147.9_x000a_0"/>
    <s v="SHALAU DIN"/>
    <s v="FROM FARMER PAYMENT"/>
    <s v="ADVANCE"/>
    <m/>
    <s v="ADVANCE"/>
    <m/>
    <m/>
    <m/>
    <x v="7"/>
  </r>
  <r>
    <s v="CLG/MAH ENDRA SINGH/229 337/CAB/0_x000a_9.01.2022"/>
    <m/>
    <n v="907000"/>
    <s v="2821147.9_x000a_0"/>
    <s v="MAHENDRA SINGH"/>
    <s v="I F PLOT NO A77"/>
    <m/>
    <m/>
    <m/>
    <m/>
    <m/>
    <m/>
    <x v="1"/>
  </r>
  <r>
    <s v="CLG/SATV EER SINGH/239 317/SBI/12_x000a_.01.2022"/>
    <m/>
    <n v="100000"/>
    <s v="2921147.9_x000a_0"/>
    <s v="SATVEER SINGH"/>
    <s v="I F SHOP NO S12"/>
    <m/>
    <m/>
    <m/>
    <s v="REFUND(27/8/22)"/>
    <m/>
    <m/>
    <x v="1"/>
  </r>
  <r>
    <s v="UPI/20181 6953132/D_x000a_efiance Garden/96 34249184_x000a_@upi/Pu"/>
    <m/>
    <n v="8000"/>
    <s v="2929147.9_x000a_0"/>
    <s v="SEEMA RANA"/>
    <s v="I F PLOT NO B29"/>
    <m/>
    <m/>
    <m/>
    <s v="ADVANCE"/>
    <m/>
    <m/>
    <x v="1"/>
  </r>
  <r>
    <s v="MMT/IMPS_x000a_/20191452_x000a_7875/b22re turnentry/R ATESHku_x000a_ma/SB"/>
    <n v="30000"/>
    <m/>
    <s v="2899147.9_x000a_0"/>
    <s v="RAJESH KUMAR"/>
    <s v="FROM PLOT NO B22"/>
    <s v="BEHALF OF FARMER"/>
    <m/>
    <s v="BEHALF OF FARMER"/>
    <s v="REFUND(7/10/21)"/>
    <m/>
    <m/>
    <x v="1"/>
  </r>
  <r>
    <s v="MMT/IMPS_x000a_/20191567_x000a_9802/b22re turnentry/R ENUb22_x000a_/SB"/>
    <n v="170000"/>
    <m/>
    <s v="2729147.9_x000a_0"/>
    <s v="RENU"/>
    <s v="FROM PLOT NO B22"/>
    <s v="ADVANCE"/>
    <s v="REFUND(18/11/21)"/>
    <s v="ADVANCE"/>
    <s v="REFUND(7/12/21,8/11/21)"/>
    <m/>
    <m/>
    <x v="1"/>
  </r>
  <r>
    <s v="MMT/IMPS_x000a_/20191568_x000a_5636/b22re turnentry/A RJUNsingh_x000a_/SB"/>
    <n v="45000"/>
    <m/>
    <s v="2684147.9_x000a_0"/>
    <s v="ARJUN SINGH"/>
    <s v="FROM PLOT NO B22"/>
    <s v="ADVANCE"/>
    <s v="REFUND(18/11/21)"/>
    <s v="ADVANCE"/>
    <s v="REFUND(18/11/21)"/>
    <m/>
    <s v="REFUND AS ON DATE (8/11/21)"/>
    <x v="1"/>
  </r>
  <r>
    <s v="MMT/IMPS_x000a_/20191568_x000a_5636/b22re turnentry/A RJUNsingh_x000a_/SB"/>
    <m/>
    <n v="45000"/>
    <s v="2729147.9_x000a_0"/>
    <s v="ARJUN SINGH"/>
    <s v="I F PLOT NO B22"/>
    <s v="ADVANCE"/>
    <m/>
    <s v="ADVANCE"/>
    <s v="REFUND(19/1/22)"/>
    <m/>
    <s v="REFUND (19/1/22)"/>
    <x v="1"/>
  </r>
  <r>
    <s v="MMT/IMPS_x000a_/20191569_x000a_3712/b22re turnentry/H ARBEERsi_x000a_n/SB"/>
    <n v="80000"/>
    <m/>
    <s v="2649147.9_x000a_0"/>
    <s v="HARVIR SINGH"/>
    <s v="FROM PLOT NO B22"/>
    <s v="ADVANCE"/>
    <s v="REFUND(18/11/21)"/>
    <s v="ADVANCE"/>
    <s v="REFUND(7/10/21)"/>
    <m/>
    <m/>
    <x v="1"/>
  </r>
  <r>
    <s v="MMT/IMPS_x000a_/20191841_x000a_4750/b22re turnentry/A RJUNsingh_x000a_/SB"/>
    <n v="45000"/>
    <m/>
    <s v="2604147.9_x000a_0"/>
    <s v="ARJUN SINGH"/>
    <s v="FROM PLOT NO B22"/>
    <s v="ADVANCE"/>
    <s v="REFUND(18/11/21)"/>
    <s v="ADVANCE"/>
    <s v="REFUND(18/11/21)"/>
    <m/>
    <s v="REFUND AS ON DATE (19/1/22)"/>
    <x v="1"/>
  </r>
  <r>
    <s v="CLG/DIGP AL SINGH/000 011/BOB/1_x000a_6.01.2022"/>
    <m/>
    <n v="200000"/>
    <s v="2804147.9_x000a_0"/>
    <s v="DIGPAL SINGH"/>
    <s v="IN FABOUR OF YOGESH TYAGI CAPITAL"/>
    <m/>
    <m/>
    <m/>
    <s v="ADVANCE"/>
    <m/>
    <m/>
    <x v="37"/>
  </r>
  <r>
    <s v="CLG/PRAV IDRA KUMR/725 932/PNB/1_x000a_5.01.2022"/>
    <m/>
    <n v="100000"/>
    <s v="2904147.9_x000a_0"/>
    <s v="PRAVINDRA KUMAR"/>
    <s v="RETURN ENTRY"/>
    <m/>
    <m/>
    <m/>
    <m/>
    <m/>
    <m/>
    <x v="36"/>
  </r>
  <r>
    <s v="RTGS- SBINR520 220120628_x000a_48120- SHIV ONKAR SHARMA- 2005"/>
    <m/>
    <n v="315000"/>
    <s v="3219147.9_x000a_0"/>
    <s v="SHIV ONKAR SHARMA"/>
    <s v="I F PLOT NO A53"/>
    <s v="BEHALF OF FARMER"/>
    <m/>
    <m/>
    <s v="ADVANCE"/>
    <m/>
    <m/>
    <x v="1"/>
  </r>
  <r>
    <s v="CLG/NISH ANT SAROHA/1 33514/AXI/_x000a_27.12.2021"/>
    <m/>
    <n v="300000"/>
    <s v="3519147.9_x000a_0"/>
    <s v="NISHANT SAROHA"/>
    <s v="I F PLOT NO A80"/>
    <m/>
    <m/>
    <m/>
    <s v="BOUNCE"/>
    <m/>
    <m/>
    <x v="1"/>
  </r>
  <r>
    <s v="REJECT:1 33514:FUN DS INSUFFICI ENT"/>
    <n v="300000"/>
    <m/>
    <s v="3219147.9_x000a_0"/>
    <s v="NISHANT SAROHA"/>
    <s v="FROM PLOT NO A80"/>
    <s v="ADVANCE"/>
    <m/>
    <s v="ADVANCE"/>
    <s v="BOUNCE"/>
    <m/>
    <m/>
    <x v="1"/>
  </r>
  <r>
    <s v="RTN CHG- 133514/FU NDS INSUFFICI ENT/20.01. 22"/>
    <n v="118"/>
    <m/>
    <s v="3219029.9_x000a_0"/>
    <s v="BANK"/>
    <s v="Bank Charges"/>
    <s v="ADVANCE"/>
    <m/>
    <s v="ADVANCE"/>
    <m/>
    <s v="EXPENCE"/>
    <m/>
    <x v="2"/>
  </r>
  <r>
    <s v="UPI/20241 5682842/U_x000a_PI/manjitsi ngh.kus/St ate Bank Of"/>
    <m/>
    <n v="11000"/>
    <s v="3230029.9_x000a_0"/>
    <s v="MANJIT SINGH"/>
    <s v="I F PLOT NO A65"/>
    <s v="ADVANCE"/>
    <m/>
    <s v="ADVANCE"/>
    <s v="ADVANCE"/>
    <m/>
    <m/>
    <x v="1"/>
  </r>
  <r>
    <s v="UPI/20241 6232485/B_x000a_ooking amount/97 20866703_x000a_@upi/Pun"/>
    <m/>
    <n v="10000"/>
    <s v="3240029.9_x000a_0"/>
    <s v="VIKAS RATHI"/>
    <s v="I F PLOT NO A135"/>
    <m/>
    <m/>
    <m/>
    <s v="OPEN IN REGISTRY"/>
    <m/>
    <m/>
    <x v="1"/>
  </r>
  <r>
    <s v="UPI/20284 2518981/P_x000a_ayment from Ph/chauha nrajnish9/S"/>
    <m/>
    <n v="5000"/>
    <s v="3245029.9_x000a_0"/>
    <s v="RAJNISH CHAUHAN"/>
    <s v="I F PLOT NO B42"/>
    <s v="BOUNCE"/>
    <m/>
    <s v="BOUNCE"/>
    <s v="ADVANCE"/>
    <m/>
    <m/>
    <x v="1"/>
  </r>
  <r>
    <s v="UPI/20288 6085009/P_x000a_ayment from Ph/chauha nrajnish9/S"/>
    <m/>
    <n v="45000"/>
    <s v="3290029.9_x000a_0"/>
    <s v="RAJNISH CHAUHAN"/>
    <s v="I F PLOT NO B41"/>
    <m/>
    <m/>
    <m/>
    <s v="ADVANCE"/>
    <m/>
    <m/>
    <x v="1"/>
  </r>
  <r>
    <s v="RTGS/ICIC R4202201 290053012/ABHISHEK_x000a_3/PUNB00_x000a_26610/abhi shek"/>
    <n v="806000"/>
    <m/>
    <s v="2484029.9_x000a_0"/>
    <s v="ABHI SHEKH"/>
    <s v="FARMER PAYMENT"/>
    <s v="REFUND(16/7/21)"/>
    <m/>
    <s v="REFUND(16/7/21)"/>
    <m/>
    <m/>
    <s v="EXP"/>
    <x v="7"/>
  </r>
  <r>
    <s v="RTGS/ICIC R4202201 290053072/SHIVAM KUMAR_x000a_2/PUNB00_x000a_26610/shiv am ku"/>
    <n v="306000"/>
    <m/>
    <s v="2178029.9_x000a_0"/>
    <s v="SHIVAM KUMAR"/>
    <s v="FARMER PAYMENT"/>
    <s v="ADVANCE"/>
    <m/>
    <s v="ADVANCE"/>
    <m/>
    <m/>
    <m/>
    <x v="7"/>
  </r>
  <r>
    <s v="UPI/20302 8261763/P_x000a_ayment from Ph/991106_x000a_6430@ybl/ HD"/>
    <m/>
    <n v="5000"/>
    <s v="2183029.9_x000a_0"/>
    <s v="PANKAJ KUMAR"/>
    <s v="I F PLOT NO B37"/>
    <m/>
    <m/>
    <m/>
    <s v="ADVANCE"/>
    <m/>
    <m/>
    <x v="1"/>
  </r>
  <r>
    <s v="NEFT- 000470042_x000a_947- RAJKUMA R-_x000a_/URGENT/- 536402030_x000a_00011"/>
    <m/>
    <n v="100000"/>
    <s v="2283029.9_x000a_0"/>
    <s v="RAJKUMAR"/>
    <s v="IN FAVOUR OF KULDEEP TOMAR CAPITAL"/>
    <m/>
    <m/>
    <m/>
    <s v="ADVANCE"/>
    <m/>
    <m/>
    <x v="38"/>
  </r>
  <r>
    <s v="CLG/CHA RAN SINGH/187 989/PNB/2_x000a_8.01.2022"/>
    <m/>
    <n v="391000"/>
    <s v="2674029.9_x000a_0"/>
    <s v="CHARAN SINGH"/>
    <s v="I F PLOT NI B33"/>
    <s v="BEHALF OF FARMER"/>
    <m/>
    <s v="BEHALF OF FARMER"/>
    <s v="ADVANCE"/>
    <m/>
    <s v="REFUND(6/5/23,18/5/23)"/>
    <x v="1"/>
  </r>
  <r>
    <s v="RTGS/ICIC R4202202 030053504_x000a_3/PUNB00_x000a_31800/Shri Shya"/>
    <n v="700000"/>
    <m/>
    <s v="1974029.9_x000a_0"/>
    <s v="SHREE SHYAM JI AUTOMOTIVE LLP"/>
    <s v="ADVANCE"/>
    <m/>
    <m/>
    <m/>
    <m/>
    <m/>
    <m/>
    <x v="33"/>
  </r>
  <r>
    <s v="CLG/SHIV KUMAR/01 3406/SBI/2_x000a_8.01.2022"/>
    <m/>
    <n v="128000"/>
    <s v="2102029.9_x000a_0"/>
    <s v="SHIV KUMAR SAROHA"/>
    <s v="I F PLOT NO B2"/>
    <m/>
    <m/>
    <m/>
    <s v="ADVANCE"/>
    <m/>
    <m/>
    <x v="1"/>
  </r>
  <r>
    <s v="UPI/20365 5351087/N_x000a_A/shauryas harma@p/ Bank of India/"/>
    <m/>
    <n v="10000"/>
    <s v="2112029.9_x000a_0"/>
    <s v="YOGESH KUMAR"/>
    <s v="I F PLOT NO A131"/>
    <m/>
    <m/>
    <m/>
    <s v="REFUND(18/11/22)"/>
    <m/>
    <m/>
    <x v="1"/>
  </r>
  <r>
    <s v="UPI/20371 2794911/k_x000a_uldeep/ravi kumar8273 63/State Ban"/>
    <m/>
    <n v="30000"/>
    <s v="2142029.9_x000a_0"/>
    <s v="RAVI KUMAR"/>
    <s v="IN FAVOUR OF KULDEEP TOMAR CAPITAL"/>
    <m/>
    <m/>
    <m/>
    <s v="ADVANCE"/>
    <m/>
    <m/>
    <x v="28"/>
  </r>
  <r>
    <s v="UPI/20371 3892421/k_x000a_uldeep/ravi kumar8273 63/State Ban"/>
    <m/>
    <n v="40000"/>
    <s v="2182029.9_x000a_0"/>
    <s v="RAVI KUMAR"/>
    <s v="IN FAVOUR OF KULDEEP TOMAR CAPITAL"/>
    <m/>
    <m/>
    <m/>
    <s v="ADVANCE"/>
    <m/>
    <m/>
    <x v="28"/>
  </r>
  <r>
    <s v="UPI/20371 3924693/k_x000a_uldeep/ravi kumar8273 63/State Ban"/>
    <m/>
    <n v="30000"/>
    <s v="2212029.9_x000a_0"/>
    <s v="RAVI KUMAR"/>
    <s v="IN FAVOUR OF KULDEEP TOMAR CAPITAL"/>
    <m/>
    <m/>
    <m/>
    <s v="ADVANCE"/>
    <m/>
    <m/>
    <x v="28"/>
  </r>
  <r>
    <s v="MMT/IMPS_x000a_/20371361 6484/MOB LT0602135 892/VINAY KUMA/S"/>
    <m/>
    <n v="1"/>
    <s v="2212030.9_x000a_0"/>
    <s v="VINAY KUMAR"/>
    <s v="I F PLOT NO A78"/>
    <m/>
    <m/>
    <m/>
    <s v="ADVANCE"/>
    <m/>
    <m/>
    <x v="1"/>
  </r>
  <r>
    <s v="INF/INFT/0 262607894_x000a_91/salary_x000a_/kuldeepici ci"/>
    <n v="150000"/>
    <m/>
    <s v="2062030.9_x000a_0"/>
    <s v="KULDEEP TOMAR"/>
    <s v="SALARY"/>
    <m/>
    <m/>
    <m/>
    <m/>
    <m/>
    <m/>
    <x v="24"/>
  </r>
  <r>
    <s v="MMT/IMPS_x000a_/20381237_x000a_1592/salar y/AMITyad av_x000a_/HDFC000 065"/>
    <n v="20000"/>
    <m/>
    <s v="2042030.9_x000a_0"/>
    <s v="AMIT YADAV"/>
    <s v="SALARY"/>
    <m/>
    <m/>
    <m/>
    <m/>
    <m/>
    <m/>
    <x v="24"/>
  </r>
  <r>
    <s v="MMT/IMPS_x000a_/20381463 9111/MOB LT0702141 971/VINAY KUMA/S"/>
    <m/>
    <n v="99000"/>
    <s v="2141030.9_x000a_0"/>
    <s v="VINAY KUMAR"/>
    <s v="I F PLOT NO A79"/>
    <m/>
    <m/>
    <m/>
    <s v="ADVANCE"/>
    <m/>
    <m/>
    <x v="1"/>
  </r>
  <r>
    <s v="UPI/20388 4629700/P_x000a_ayment from Ph/964348_x000a_4920@ibl/ St"/>
    <m/>
    <n v="100000"/>
    <s v="2241030.9_x000a_0"/>
    <s v="VINAY KUMAR"/>
    <s v="I F PLOT NO A79"/>
    <m/>
    <m/>
    <m/>
    <s v="ADVANCE"/>
    <m/>
    <m/>
    <x v="1"/>
  </r>
  <r>
    <s v="UPI/20391 2371686/k_x000a_uldeep/ravi kumar8273 63/State Ban"/>
    <m/>
    <n v="30000"/>
    <s v="2271030.9_x000a_0"/>
    <s v="RAVI KUMAR"/>
    <s v="IN FAVOUR OF KULDEEP TOMAR CAPITAL"/>
    <m/>
    <m/>
    <m/>
    <s v="ADVANCE"/>
    <m/>
    <m/>
    <x v="28"/>
  </r>
  <r>
    <s v="UPI/20391 2399377/k_x000a_uldeep/ravi kumar8273 63/State Ban"/>
    <m/>
    <n v="40000"/>
    <s v="2311030.9_x000a_0"/>
    <s v="RAVI KUMAR"/>
    <s v="IN FAVOUR OF KULDEEP TOMAR CAPITAL"/>
    <m/>
    <m/>
    <m/>
    <s v="ADVANCE"/>
    <m/>
    <m/>
    <x v="28"/>
  </r>
  <r>
    <s v="UPI/20391 2427312/k_x000a_uldeep/ravi kumar8273 63/State Ban"/>
    <m/>
    <n v="30000"/>
    <s v="2341030.9_x000a_0"/>
    <s v="RAVI KUMAR"/>
    <s v="IN FAVOUR OF KULDEEP TOMAR CAPITAL"/>
    <m/>
    <m/>
    <m/>
    <s v="ADVANCE"/>
    <m/>
    <m/>
    <x v="28"/>
  </r>
  <r>
    <s v="UPI/20395 3724231/P_x000a_ayment from Ph/941075_x000a_6235@ybl/ St"/>
    <m/>
    <n v="80000"/>
    <s v="2421030.9_x000a_0"/>
    <s v="DHARMBEER YADAV"/>
    <s v="I F PLOT NO A79"/>
    <m/>
    <m/>
    <m/>
    <s v="ADVANCE"/>
    <m/>
    <m/>
    <x v="1"/>
  </r>
  <r>
    <s v="UPI/20390 7320428/P_x000a_ayment from Ph/964348_x000a_4920@ibl/ St"/>
    <m/>
    <n v="51000"/>
    <s v="2472030.9_x000a_0"/>
    <s v="VINAY KUMAR"/>
    <s v="I F PLOT NO A79"/>
    <m/>
    <m/>
    <m/>
    <s v="ADVANCE"/>
    <m/>
    <m/>
    <x v="1"/>
  </r>
  <r>
    <s v="CLG/KRIS HAN PAL/00003 0/HDF/02.0_x000a_2.2022"/>
    <m/>
    <n v="200000"/>
    <s v="2672030.9_x000a_0"/>
    <s v="KRISHAN PAL"/>
    <s v="I F PLOT A76"/>
    <s v="BEHALF OF FARMER"/>
    <m/>
    <s v="BEHALF OF FARMER"/>
    <s v="OPEN IN REGISTRY "/>
    <m/>
    <m/>
    <x v="1"/>
  </r>
  <r>
    <s v="UPI/20409 2256245/P_x000a_ayment from Ph/chauha nrajnish9/S"/>
    <m/>
    <n v="50000"/>
    <s v="2722030.9_x000a_0"/>
    <s v="RAJNISH CHAUHAN"/>
    <s v="I F PLOT NO B42"/>
    <m/>
    <m/>
    <m/>
    <s v="ADVANCE"/>
    <m/>
    <m/>
    <x v="1"/>
  </r>
  <r>
    <s v="UPI/20408 8517347/P_x000a_ayment from Ph/891742_x000a_6408@ybl/ St"/>
    <m/>
    <n v="50000"/>
    <s v="2772030.9_x000a_0"/>
    <s v="MAHABIR"/>
    <s v="I F PLOT NO B41"/>
    <m/>
    <m/>
    <m/>
    <s v="ADVANCE"/>
    <m/>
    <m/>
    <x v="1"/>
  </r>
  <r>
    <s v="NEFT- SBIN52204 0168099- MR  SUB INSP RAJNISH CISF N"/>
    <m/>
    <n v="25000"/>
    <s v="2797030.9_x000a_0"/>
    <s v="RAJNISH CHAUHAN"/>
    <s v="I F PLOT NO B42"/>
    <m/>
    <m/>
    <m/>
    <s v="ADVANCE"/>
    <m/>
    <m/>
    <x v="1"/>
  </r>
  <r>
    <s v="UPI/20400 7189343/P_x000a_ayment from Ph/891742_x000a_6408@ybl/ St"/>
    <m/>
    <n v="50000"/>
    <s v="2847030.9_x000a_0"/>
    <s v="MAHABIR"/>
    <s v="I F PLOT NO B41"/>
    <s v="BOUNCE"/>
    <m/>
    <s v="BOUNCE"/>
    <s v="ADVANCE"/>
    <m/>
    <m/>
    <x v="1"/>
  </r>
  <r>
    <s v="NEFT- SBIN52204 0171954- JYOTI DEVI-_x000a_/ATTN//INB_x000a_-0000"/>
    <m/>
    <n v="25000"/>
    <s v="2872030.9_x000a_0"/>
    <s v="JYOTI DEVI"/>
    <s v="I F PLOT NO B41"/>
    <s v="BEHALF OF FARMER"/>
    <m/>
    <s v="BEHALF OF FARMER"/>
    <s v="ADVANCE"/>
    <m/>
    <m/>
    <x v="1"/>
  </r>
  <r>
    <s v="RTGS/ICIC R4202202 120050647_x000a_5/UTIB000_x000a_2688/avni eco"/>
    <n v="213500"/>
    <m/>
    <s v="2658530.9_x000a_0"/>
    <s v="AVNI ECO INDUSTRIES"/>
    <s v="ADVANCE"/>
    <m/>
    <m/>
    <m/>
    <m/>
    <m/>
    <s v="EXP"/>
    <x v="22"/>
  </r>
  <r>
    <s v="MMT/IMPS_x000a_/20432100_x000a_1867/salar y/sumiti_x000a_/PUNB052 281"/>
    <n v="100000"/>
    <m/>
    <s v="2558530.9_x000a_0"/>
    <s v="SUMITI SINGH"/>
    <s v="SALARY"/>
    <m/>
    <m/>
    <m/>
    <m/>
    <m/>
    <m/>
    <x v="24"/>
  </r>
  <r>
    <s v="MMT/IMPS_x000a_/20431949_x000a_3127/salar y/rahulCHA UD/HDFC0 00435"/>
    <n v="30000"/>
    <m/>
    <s v="2528530.9_x000a_0"/>
    <s v="RAHUL CHAUDHARY"/>
    <s v="SALARY"/>
    <m/>
    <m/>
    <m/>
    <m/>
    <m/>
    <m/>
    <x v="24"/>
  </r>
  <r>
    <s v="UPI/20444 4378095/P_x000a_ayment from Ph/812618_x000a_7022@axl/ St"/>
    <m/>
    <n v="5000"/>
    <s v="2533530.9_x000a_0"/>
    <s v="ANKIT MALIK"/>
    <s v="I F PLOT NO A1"/>
    <m/>
    <m/>
    <m/>
    <s v="REFUND(3/3/22)"/>
    <m/>
    <s v="REFUND (3/3/22)"/>
    <x v="1"/>
  </r>
  <r>
    <s v="RTGS- PUNBR52 022021419_x000a_377245- SHREE SHYAM JI AUTOMOT"/>
    <m/>
    <n v="700000"/>
    <s v="3233530.9_x000a_0"/>
    <s v="SHREE SHYAM JI AUTOMOTIVE LLP"/>
    <s v="RETURN ENTRY"/>
    <m/>
    <m/>
    <m/>
    <m/>
    <m/>
    <m/>
    <x v="33"/>
  </r>
  <r>
    <s v="UPI/20455 2631717/N A/9643365_x000a_488@payt/ INDUSIND BANK/"/>
    <m/>
    <n v="63000"/>
    <s v="3296530.9_x000a_0"/>
    <s v="AMIT KUMAR"/>
    <s v="CEMENT"/>
    <s v="BEHALF OF FARMER"/>
    <m/>
    <s v="BEHALF OF FARMER"/>
    <s v="REFUND"/>
    <s v="EXPENCE"/>
    <s v="REFUND (7/1/23)"/>
    <x v="21"/>
  </r>
  <r>
    <s v="RTGS/ICIC R4202202 140052629_x000a_0/UTIB000_x000a_1110/Indu Shar"/>
    <n v="797501"/>
    <m/>
    <s v="2499029.9_x000a_0"/>
    <s v="Indu sharma"/>
    <s v="FROM PLOT NO A39"/>
    <s v="ADVANCE"/>
    <m/>
    <s v="ADVANCE"/>
    <s v="REFUND23/7/21,26/7/21,7/9/21)"/>
    <m/>
    <m/>
    <x v="1"/>
  </r>
  <r>
    <s v="RTGS/ICIC R4202202 140053396_x000a_6/UTIB000_x000a_1100/kavya ele"/>
    <n v="295618"/>
    <m/>
    <s v="2203411.9_x000a_0"/>
    <s v="KAVYA"/>
    <s v="ELECTRICITY PAYMENT"/>
    <s v="ADVANCE"/>
    <m/>
    <s v="ADVANCE"/>
    <m/>
    <s v="EXPENCE"/>
    <m/>
    <x v="18"/>
  </r>
  <r>
    <s v="MMT/IMPS_x000a_/20451522_x000a_7703/salar y/goravDG_x000a_/CNRB000 232"/>
    <n v="30000"/>
    <m/>
    <s v="2173411.9_x000a_0"/>
    <s v="GORAV "/>
    <s v="SALARY"/>
    <m/>
    <m/>
    <m/>
    <m/>
    <m/>
    <m/>
    <x v="25"/>
  </r>
  <r>
    <s v="MMT/IMPS_x000a_/20451801_x000a_0525/ceme nt/bharatce me/BDBL0 00119"/>
    <n v="50000"/>
    <m/>
    <s v="2123411.9_x000a_0"/>
    <s v="BHARAT GROUP"/>
    <s v="FOR CEMENT"/>
    <s v="ADVANCE"/>
    <m/>
    <s v="ADVANCE"/>
    <m/>
    <s v="EXPENCE"/>
    <s v="EXP"/>
    <x v="21"/>
  </r>
  <r>
    <s v="UPI/20485 5971430/P_x000a_ayment from Ph/639538_x000a_4861@ybl/ Ai"/>
    <m/>
    <n v="10000"/>
    <s v="2133411.9_x000a_0"/>
    <s v="SURAT SINGH"/>
    <s v="I F PLOT NO B10"/>
    <s v="REFUND"/>
    <m/>
    <s v="REFUND"/>
    <s v="REFUND(9/6/22)"/>
    <m/>
    <m/>
    <x v="1"/>
  </r>
  <r>
    <s v="MMT/IMPS_x000a_/20481810 8592/PRIY ANKA . to SHRI GANES"/>
    <m/>
    <n v="5000"/>
    <s v="2138411.9_x000a_0"/>
    <s v="PRIYANKA"/>
    <s v="I F PLOT NO A141"/>
    <s v="BEHALF OF FARMER"/>
    <m/>
    <s v="BEHALF OF FARMER"/>
    <s v="ADVANCE"/>
    <m/>
    <m/>
    <x v="1"/>
  </r>
  <r>
    <s v="CLG/APPE KSHA/556 884/SBI/17_x000a_.02.2022"/>
    <m/>
    <n v="345000"/>
    <s v="2483411.9_x000a_0"/>
    <s v="APPEKSHA"/>
    <s v="I F PLOT NO A134"/>
    <m/>
    <m/>
    <m/>
    <s v="OPEN IN REGISTRY "/>
    <m/>
    <s v="ADVANCE"/>
    <x v="1"/>
  </r>
  <r>
    <s v="CLG/ANTI A/678711/ PNB/18.02. 2022"/>
    <m/>
    <n v="200000"/>
    <s v="2683411.9_x000a_0"/>
    <s v="ANITA  "/>
    <s v="I F PLOT NO A56"/>
    <s v="REFUND(12/9/21)"/>
    <m/>
    <m/>
    <s v="REFUND(7/6/22)"/>
    <m/>
    <s v="REFUND (7/6/22)"/>
    <x v="1"/>
  </r>
  <r>
    <s v="CLG/SHIV RAJ/17066 4/SBI/18.0_x000a_2.2022"/>
    <m/>
    <n v="400000"/>
    <s v="3083411.9_x000a_0"/>
    <s v="SHIV RAJ SINGH"/>
    <s v="IN FABOUR OF YOGESH TYAGI CAPITAL"/>
    <m/>
    <m/>
    <m/>
    <s v="REFUND(7/6/22)"/>
    <m/>
    <m/>
    <x v="1"/>
  </r>
  <r>
    <s v="CLG/SHIV RAJ/17066 5/SBI/18.0_x000a_2.2022"/>
    <m/>
    <n v="400000"/>
    <s v="3483411.9_x000a_0"/>
    <s v="SHIV RAJ SINGH"/>
    <s v="IN FABOUR OF YOGESH TYAGI CAPITAL"/>
    <m/>
    <m/>
    <m/>
    <s v="REFUND(27/6/22)"/>
    <m/>
    <m/>
    <x v="1"/>
  </r>
  <r>
    <s v="UPI/20522 0993994/U_x000a_PI/sharmaa nkit9019/P unjab Nation"/>
    <m/>
    <n v="3000"/>
    <s v="3486411.9_x000a_0"/>
    <s v="ANKIT SHARMA"/>
    <s v="I F PLOT NO A98"/>
    <m/>
    <m/>
    <m/>
    <s v="ADVANCE"/>
    <m/>
    <s v="ADVANCE"/>
    <x v="1"/>
  </r>
  <r>
    <s v="UPI/20522 1021044/U_x000a_PI/sharmaa nkit9019/P unjab Nation"/>
    <m/>
    <n v="2100"/>
    <s v="3488511.9_x000a_0"/>
    <s v="ANKIT SHARMA"/>
    <s v="I F PLOT NO A98"/>
    <s v="REFUND"/>
    <m/>
    <s v="REFUND"/>
    <s v="ADVANCE"/>
    <m/>
    <s v="ADVANCE"/>
    <x v="1"/>
  </r>
  <r>
    <s v="RTGS- PUNBR52 022022219_x000a_691015- KASAM ALI  SO RUSTAM-0"/>
    <m/>
    <n v="600000"/>
    <s v="4088511.9_x000a_0"/>
    <s v="KASAM ALI"/>
    <s v="FROM FARMER PAYMENT"/>
    <s v="ADVANCE"/>
    <m/>
    <s v="ADVANCE"/>
    <m/>
    <m/>
    <m/>
    <x v="7"/>
  </r>
  <r>
    <s v="RTGS- PUNBR52 022022219_x000a_681727- KASAM ALI  SO RUSTAM-0"/>
    <m/>
    <n v="500000"/>
    <s v="4588511.9_x000a_0"/>
    <s v="KASAM ALI"/>
    <s v="FROM FARMER PAYMENT"/>
    <s v="ADVANCE"/>
    <m/>
    <s v="ADVANCE"/>
    <m/>
    <m/>
    <m/>
    <x v="7"/>
  </r>
  <r>
    <s v="NEFT- PUNBH22 053611901_x000a_-KASAM ALI  SO RUSTAM-- 026620"/>
    <m/>
    <n v="400000"/>
    <s v="4988511.9_x000a_0"/>
    <s v="KASAM ALI"/>
    <s v="FROM FARMER PAYMENT"/>
    <s v="BEHALF OF FARMER"/>
    <m/>
    <s v="BEHALF OF FARMER"/>
    <m/>
    <m/>
    <m/>
    <x v="7"/>
  </r>
  <r>
    <s v="CLG/BRIJ BIR SINGH/038 450/INB/18_x000a_.02.2022"/>
    <m/>
    <n v="300000"/>
    <s v="5288511.9_x000a_0"/>
    <s v="BRIJBIR SINGH"/>
    <s v="I F PLOT NOA95"/>
    <s v="BEHALF OF FARMER"/>
    <m/>
    <s v="BEHALF OF FARMER"/>
    <s v="BOUNCE"/>
    <m/>
    <s v="BOUNCE"/>
    <x v="1"/>
  </r>
  <r>
    <s v="CLG/PAW AN KUMAR/00 0038/HDF/_x000a_21.02.2022"/>
    <m/>
    <n v="200000"/>
    <s v="5488511.9_x000a_0"/>
    <s v="PAWAN KUMAR"/>
    <s v="IN FABOUR OF YOGESH TYAGI CAPITAL"/>
    <m/>
    <m/>
    <m/>
    <s v="REFUND(7/6/22)"/>
    <m/>
    <m/>
    <x v="39"/>
  </r>
  <r>
    <s v="REJECT:3 8450:OTH ER REASONS"/>
    <n v="300000"/>
    <m/>
    <s v="5188511.9_x000a_0"/>
    <s v="BRIJBIR SINGH"/>
    <s v="FROM PLOT NOA95"/>
    <m/>
    <m/>
    <m/>
    <s v="BOUNCE"/>
    <m/>
    <s v="BOUNCE"/>
    <x v="1"/>
  </r>
  <r>
    <s v="MMT/IMPS_x000a_/20551527_x000a_0711/count ingmachine_x000a_/YogeshEn te/I"/>
    <n v="15900"/>
    <m/>
    <s v="5172611.9_x000a_0"/>
    <s v="YOGESH ENTERPRISES"/>
    <s v="FOR MONEY COUNTING MACHIN"/>
    <s v="ADVANCE"/>
    <m/>
    <s v="ADVANCE"/>
    <m/>
    <s v="EXPENCE"/>
    <m/>
    <x v="33"/>
  </r>
  <r>
    <s v="RTGS/ICIC R4202202 250050911_x000a_0/HDFC00_x000a_00088/kon cept a"/>
    <n v="640000"/>
    <m/>
    <s v="4532611.9_x000a_0"/>
    <s v="KONCEPT AUTOMOBILES PVT LTD"/>
    <s v="ADVANCE"/>
    <m/>
    <m/>
    <m/>
    <m/>
    <m/>
    <m/>
    <x v="33"/>
  </r>
  <r>
    <s v="RTGS/ICIC R4202202 250050943_x000a_8/HDFC00_x000a_00088/kon cept a"/>
    <n v="1000000"/>
    <m/>
    <s v="3532611.9_x000a_0"/>
    <s v="KONCEPT AUTOMOBILES PVT LTD"/>
    <s v="ADVANCE"/>
    <s v="ADVANCE"/>
    <m/>
    <s v="ADVANCE"/>
    <m/>
    <m/>
    <m/>
    <x v="33"/>
  </r>
  <r>
    <s v="MMT/IMPS_x000a_/20561187_x000a_1217/4Mah indraThar/k onceptPvt/ HDF"/>
    <n v="100000"/>
    <m/>
    <s v="3432611.9_x000a_0"/>
    <s v="KONCEPT AUTOMOBILES PVT LTD"/>
    <s v="ADVANCE"/>
    <s v="REFUND(17/9/20)/LONE"/>
    <s v="REFUND(16/9/21"/>
    <s v="REFUND(17/9/20)/LONE"/>
    <s v="REFUND(16/9/21"/>
    <m/>
    <m/>
    <x v="33"/>
  </r>
  <r>
    <s v="MMT/IMPS_x000a_/20561462_x000a_2156/forMa hindraThar/ konceptPvt_x000a_/H"/>
    <n v="20600"/>
    <m/>
    <s v="3412011.9_x000a_0"/>
    <s v="KONCEPT AUTOMOBILES PVT LTD"/>
    <s v="ADVANCE"/>
    <s v="ADVANCE"/>
    <m/>
    <s v="ADVANCE"/>
    <m/>
    <m/>
    <m/>
    <x v="33"/>
  </r>
  <r>
    <s v="UPI/20562 3364232/P_x000a_ayment from Ph/salinder singh40/P"/>
    <m/>
    <n v="5100"/>
    <s v="3417111.9_x000a_0"/>
    <s v="SALINDER SINGH"/>
    <s v="IF OF PLOT NO A132"/>
    <m/>
    <m/>
    <m/>
    <s v="ADVANCE"/>
    <m/>
    <m/>
    <x v="1"/>
  </r>
  <r>
    <s v="RTGS- PUNBR52 022030219_x000a_931372- KRISHANP AL SHORAN- 0431"/>
    <m/>
    <n v="369000"/>
    <s v="3786111.9_x000a_0"/>
    <s v="KRISHAN PAL SHORAN"/>
    <s v="I F PLOT NO A3"/>
    <m/>
    <m/>
    <m/>
    <s v="OPEN IN REGISTRY "/>
    <m/>
    <m/>
    <x v="1"/>
  </r>
  <r>
    <s v="RTGS- UPCBR52 022030200_x000a_137490- VINAY KUMAR GUPTA- 0029"/>
    <m/>
    <n v="371000"/>
    <s v="4157111.9_x000a_0"/>
    <s v="VINAY KUMAR GUPTA "/>
    <s v="I F PLOT NO A4"/>
    <m/>
    <m/>
    <m/>
    <s v="OPEN IN REGISTRY "/>
    <m/>
    <m/>
    <x v="1"/>
  </r>
  <r>
    <s v="RTGS- IDIBR5202 203022730_x000a_2385-MR BRIJBIR SINGH- 0000"/>
    <m/>
    <n v="300000"/>
    <s v="4457111.9_x000a_0"/>
    <s v="BRIJBIR SINGH"/>
    <s v="I F PLOT NO A95"/>
    <m/>
    <m/>
    <m/>
    <s v="ADVANCE"/>
    <m/>
    <s v="REFUND(17/7/23)43400 REMENIG"/>
    <x v="1"/>
  </r>
  <r>
    <s v="MMT/IMPS_x000a_/20612091_x000a_4411/salar y/MANISH_x000a_saga/PUN B007290"/>
    <n v="20000"/>
    <m/>
    <s v="4437111.9_x000a_0"/>
    <s v="MANISH SAGAR"/>
    <s v="SALARY"/>
    <m/>
    <m/>
    <m/>
    <m/>
    <m/>
    <m/>
    <x v="24"/>
  </r>
  <r>
    <s v="RTGS- CNRBR52 022030377_x000a_962348- AJAY BINDAL S/O-  GU-2"/>
    <m/>
    <n v="299000"/>
    <s v="4736111.9_x000a_0"/>
    <s v="AJAY BINDAL"/>
    <s v="I F PLOT NO A130"/>
    <m/>
    <m/>
    <m/>
    <m/>
    <m/>
    <s v="ADVANCE"/>
    <x v="1"/>
  </r>
  <r>
    <s v="MMT/IMPS_x000a_/20621982_x000a_3208/return entrya1/an kitMalok/S BI"/>
    <n v="5000"/>
    <m/>
    <s v="4731111.9_x000a_0"/>
    <s v="ANKIT MALIK"/>
    <s v="FROM PLOT NO A1"/>
    <s v="BEHALF OF FARMER"/>
    <m/>
    <s v="BEHALF OF FARMER"/>
    <s v="REFUND(14/2/22"/>
    <m/>
    <s v="REFUND AS ON DATE (14/2/22)"/>
    <x v="1"/>
  </r>
  <r>
    <s v="MMT/IMPS_x000a_/20621982_x000a_7744/salar y/AMITyad av_x000a_/HDFC000 065"/>
    <n v="20000"/>
    <m/>
    <s v="4711111.9_x000a_0"/>
    <s v="AMIT YADAV"/>
    <s v="SALARY"/>
    <m/>
    <m/>
    <m/>
    <m/>
    <m/>
    <m/>
    <x v="24"/>
  </r>
  <r>
    <s v="MMT/IMPS_x000a_/20631694_x000a_0287/salar y/rahulCHA UD/HDFC0 00435"/>
    <n v="30000"/>
    <m/>
    <s v="4681111.9_x000a_0"/>
    <s v="RAHUL CHAUDHARY"/>
    <s v="SALARY"/>
    <m/>
    <m/>
    <m/>
    <m/>
    <m/>
    <m/>
    <x v="24"/>
  </r>
  <r>
    <s v="RTGS/ICIC R4202203 040054122_x000a_2/IOBA000_x000a_1615/Shri Gane"/>
    <n v="1000000"/>
    <m/>
    <s v="3681111.9_x000a_0"/>
    <s v="SHRI GANESH ASSOCIATES"/>
    <s v="SEALF"/>
    <m/>
    <m/>
    <m/>
    <m/>
    <s v="EXPENCE"/>
    <m/>
    <x v="40"/>
  </r>
  <r>
    <s v="RTGS- PUNBR52 022030710_x000a_151401- DINESH KUMAR AND SMT A"/>
    <m/>
    <n v="600000"/>
    <s v="4281111.9_x000a_0"/>
    <s v="DINESH KUMAR"/>
    <s v="I F PLOT NO A137"/>
    <s v="BEHALF OF FARMER"/>
    <m/>
    <s v="BEHALF OF FARMER"/>
    <s v="OPEN IN REGISTRY "/>
    <m/>
    <m/>
    <x v="1"/>
  </r>
  <r>
    <s v="CLG/CHE QUE/6794 16/PSB/02._x000a_03.2022"/>
    <m/>
    <n v="40000"/>
    <s v="4321111.9_x000a_0"/>
    <s v="VIJENDRA SINGH"/>
    <s v="I F PLOT NO B31"/>
    <s v="BEHALF OF FARMER"/>
    <m/>
    <s v="BEHALF OF FARMER"/>
    <s v="ADVANCE"/>
    <m/>
    <m/>
    <x v="1"/>
  </r>
  <r>
    <s v="UPI/20673 5574312/P_x000a_ayment from Ph/628010_x000a_6699@ybl/ St"/>
    <m/>
    <n v="11000"/>
    <s v="4332111.9_x000a_0"/>
    <s v="AJAY KUMAR"/>
    <s v="I F PLOT NO A141"/>
    <s v="BEHALF OF FARMER"/>
    <m/>
    <s v="BEHALF OF FARMER"/>
    <s v="ADVANCE"/>
    <m/>
    <s v="REFUND IN CASH"/>
    <x v="1"/>
  </r>
  <r>
    <s v="CLG/MAM TA DEVI/7096 22/PNB/02._x000a_03.2022"/>
    <m/>
    <n v="300000"/>
    <s v="4632111.9_x000a_0"/>
    <s v="MAMTA DEVI"/>
    <s v="I F PLOT NO A135"/>
    <m/>
    <m/>
    <m/>
    <s v="BOUNCE"/>
    <m/>
    <m/>
    <x v="1"/>
  </r>
  <r>
    <s v="REJECT:7 09622:KIN DLY CONTACT DRAWER/ DRAWEE BANK &amp;"/>
    <n v="300000"/>
    <m/>
    <s v="4332111.9_x000a_0"/>
    <s v="MAMTA DEVI"/>
    <s v="FROM PLOT NO A135"/>
    <s v="ADVANCE"/>
    <m/>
    <s v="ADVANCE"/>
    <s v="BOUNCE"/>
    <m/>
    <m/>
    <x v="1"/>
  </r>
  <r>
    <s v="NEFT- PUNBE220 69828643- JITENDRA GIRI-- 937001000_x000a_2942"/>
    <m/>
    <n v="300000"/>
    <s v="4632111.9_x000a_0"/>
    <s v="JITENDRA GIRI"/>
    <s v="I F PLOT NO A144"/>
    <m/>
    <m/>
    <m/>
    <s v="ADVANCE"/>
    <m/>
    <m/>
    <x v="1"/>
  </r>
  <r>
    <s v="CLG/MAM TA DEVI/7096 22/PNB/02._x000a_03.2022"/>
    <m/>
    <n v="300000"/>
    <s v="4932111.9_x000a_0"/>
    <s v="MAMTA DEVI"/>
    <s v="I F PLOT NO A135"/>
    <m/>
    <m/>
    <m/>
    <s v="BOUNCE"/>
    <m/>
    <m/>
    <x v="1"/>
  </r>
  <r>
    <s v="REJECT:7 09622:KIN DLY CONTACT DRAWER/ DRAWEE BANK &amp;"/>
    <n v="300000"/>
    <m/>
    <s v="4632111.9_x000a_0"/>
    <s v="MAMTA DEVI"/>
    <s v="FROM PLOT NO A135"/>
    <s v="ADVANCE"/>
    <m/>
    <s v="ADVANCE"/>
    <s v="BOUNCE"/>
    <m/>
    <m/>
    <x v="1"/>
  </r>
  <r>
    <s v="TRF/KONC EPT AUTOMOB ILES PVT_x000a_/168035/IC I/10.03.202 2"/>
    <m/>
    <n v="1959645"/>
    <s v="6591756.9_x000a_0"/>
    <s v="KONCEPT AUTOMOBILES PVT LTD"/>
    <s v="RETURN ENTRY"/>
    <m/>
    <m/>
    <m/>
    <m/>
    <m/>
    <m/>
    <x v="33"/>
  </r>
  <r>
    <s v="UPI/20738 8473154/P_x000a_ayment from Ph/855905_x000a_3341@ybl/ St"/>
    <m/>
    <n v="10000"/>
    <s v="6601756.9_x000a_0"/>
    <s v="SUDHIR SINGH"/>
    <s v="I F PLOT NO A2O"/>
    <s v="ADVANCE"/>
    <m/>
    <s v="ADVANCE"/>
    <s v="ADVANCE"/>
    <m/>
    <m/>
    <x v="1"/>
  </r>
  <r>
    <s v="MMT/IMPS_x000a_/20731503_x000a_4125/salar y/ARUNbhi DG_x000a_/SBIN0016 60"/>
    <n v="116400"/>
    <m/>
    <s v="6485356.9_x000a_0"/>
    <s v="ARUN CHAUDHARY"/>
    <s v="SALARY"/>
    <m/>
    <m/>
    <m/>
    <m/>
    <m/>
    <m/>
    <x v="24"/>
  </r>
  <r>
    <s v="INF/INFT/0 267318854_x000a_31/Balajias sociate/Bal ajiAssoci"/>
    <n v="1000000"/>
    <m/>
    <s v="5485356.9_x000a_0"/>
    <s v="BALAJI ASSOCIATES"/>
    <s v="ADVANCE"/>
    <s v="ADVANCE"/>
    <s v="REFUND(16/9/21,"/>
    <s v="ADVANCE"/>
    <s v="REFUND(16/9/21,"/>
    <m/>
    <m/>
    <x v="41"/>
  </r>
  <r>
    <s v="UPI/20742 1534715/N_x000a_A/shauryas harma@p/ State Bank Of"/>
    <m/>
    <n v="40000"/>
    <s v="5525356.9_x000a_0"/>
    <s v="SHAURYA SHARMA"/>
    <s v="I F PLOT NO A131"/>
    <m/>
    <m/>
    <m/>
    <s v="ADVANCE"/>
    <m/>
    <m/>
    <x v="1"/>
  </r>
  <r>
    <s v="RTGS- PUNBR52 022031510_x000a_453541- MAMTA DEVI W/O ARJUN C"/>
    <m/>
    <n v="300000"/>
    <s v="5825356.9_x000a_0"/>
    <s v="MAMTA DEVI"/>
    <s v="I F PLOT NO A135"/>
    <s v="BEHALF OF FARMER"/>
    <m/>
    <s v="BEHALF OF FARMER"/>
    <s v="OPEN IN REGISTRY "/>
    <m/>
    <m/>
    <x v="1"/>
  </r>
  <r>
    <s v="CLG/SATP AL SINGH/157 172/PNB/1_x000a_2.03.2022"/>
    <m/>
    <n v="100000"/>
    <s v="5925356.9_x000a_0"/>
    <s v="SATPAL SINGH"/>
    <s v="I F OF YOGESH TYAGI CAPITAL"/>
    <s v="ADVANCE"/>
    <m/>
    <s v="ADVANCE"/>
    <s v="ADVANCE"/>
    <m/>
    <m/>
    <x v="42"/>
  </r>
  <r>
    <s v="CLG/ARU N KUMAR/00 0006/HDF/_x000a_12.03.2022"/>
    <m/>
    <n v="60000"/>
    <s v="5985356.9_x000a_0"/>
    <s v="ARUN KUMAR"/>
    <s v="I F PLOT NO A1"/>
    <m/>
    <m/>
    <m/>
    <s v="BOUNCE"/>
    <m/>
    <s v="BOUNS"/>
    <x v="1"/>
  </r>
  <r>
    <s v="UPI/20754 8980138/U PI/vk96924_x000a_-_x000a_1@okaxi/A xis Bank Ltd"/>
    <m/>
    <n v="5000"/>
    <s v="5990356.9_x000a_0"/>
    <s v="VINOD KUMAR"/>
    <s v="IN F PLOT NO A46"/>
    <m/>
    <m/>
    <m/>
    <s v="ADVANCE"/>
    <m/>
    <m/>
    <x v="1"/>
  </r>
  <r>
    <s v="UPI/20754 9013006/U PI/vk96924_x000a_-_x000a_1@okaxi/A xis Bank Ltd"/>
    <m/>
    <n v="5000"/>
    <s v="5995356.9_x000a_0"/>
    <s v="VINOD KUMAR"/>
    <s v="IN F PLOT NO A47"/>
    <m/>
    <m/>
    <m/>
    <s v="ADVANCE"/>
    <m/>
    <m/>
    <x v="1"/>
  </r>
  <r>
    <s v="REJECT:6: FUNDS INSUFFICI ENT"/>
    <n v="60000"/>
    <m/>
    <s v="5935356.9_x000a_0"/>
    <s v="ARUN KUMAR"/>
    <s v="FROM PLOT NO A1"/>
    <s v="ADVANCE"/>
    <m/>
    <s v="ADVANCE"/>
    <s v="BOUNCE"/>
    <m/>
    <s v="BOUNS"/>
    <x v="1"/>
  </r>
  <r>
    <s v="RTN CHG- 6/FUNDS INSUFFICI ENT/16.03. 22"/>
    <n v="118"/>
    <m/>
    <s v="5935238.9_x000a_0"/>
    <s v="BANK"/>
    <s v="Bank Charges"/>
    <s v="ADVANCE"/>
    <m/>
    <s v="ADVANCE"/>
    <m/>
    <s v="EXPENCE"/>
    <m/>
    <x v="2"/>
  </r>
  <r>
    <s v="MMT/IMPS_x000a_/20760805_x000a_0547/salar y/goravDG_x000a_/CNRB000 232"/>
    <n v="30000"/>
    <m/>
    <s v="5905238.9_x000a_0"/>
    <s v="GORAV "/>
    <s v="SALARY"/>
    <m/>
    <m/>
    <m/>
    <m/>
    <m/>
    <m/>
    <x v="25"/>
  </r>
  <r>
    <s v="INF/INFT/0 268219096_x000a_11/RahulK umarToma r/RAULner malDG"/>
    <n v="100000"/>
    <m/>
    <s v="5805238.9_x000a_0"/>
    <s v="Rahul tomar"/>
    <s v="ADVANCE"/>
    <s v="BEHALF OF FARMER"/>
    <m/>
    <s v="BEHALF OF FARMER"/>
    <m/>
    <m/>
    <m/>
    <x v="8"/>
  </r>
  <r>
    <s v="NEFT- N0812218 82854099- PARTAP PANWAR- PLOT A86 PMT 3"/>
    <m/>
    <n v="382250"/>
    <s v="6187488.9_x000a_0"/>
    <s v="Partap panwar"/>
    <s v="I F PLOT NO A86"/>
    <s v="ADVANCE"/>
    <m/>
    <s v="ADVANCE"/>
    <s v="REFUND"/>
    <m/>
    <m/>
    <x v="1"/>
  </r>
  <r>
    <s v="MMT/IMPS_x000a_/20811605_x000a_3123/salry/ bharatcem e/BDBL000 1199"/>
    <n v="80000"/>
    <m/>
    <s v="6107488.9_x000a_0"/>
    <s v="BHARAT GROUP"/>
    <s v="FOR CEMENT"/>
    <s v="BEHALF OF FARMER"/>
    <m/>
    <s v="BEHALF OF FARMER"/>
    <m/>
    <s v="EXPENCE"/>
    <s v="EXP"/>
    <x v="21"/>
  </r>
  <r>
    <s v="MMT/IMPS_x000a_/20841286_x000a_8338/salar y/avinashT YA/PUNB0 47160"/>
    <n v="116400"/>
    <m/>
    <s v="5991088.9_x000a_0"/>
    <s v="AVINASH TYAGI"/>
    <s v="SALARY"/>
    <m/>
    <m/>
    <m/>
    <m/>
    <m/>
    <m/>
    <x v="24"/>
  </r>
  <r>
    <s v="MMT/IMPS_x000a_/20841287_x000a_8779/salar y/AMITgdT OMA/PUN B000420"/>
    <n v="87300"/>
    <m/>
    <s v="5903788.9_x000a_0"/>
    <s v="AMIT TOMAR"/>
    <s v="SALARY"/>
    <m/>
    <m/>
    <m/>
    <m/>
    <m/>
    <m/>
    <x v="24"/>
  </r>
  <r>
    <s v="MMT/IMPS_x000a_/20841288_x000a_7789/salar y/alokTYA GId/SBIN0 01660"/>
    <n v="87300"/>
    <m/>
    <s v="5816488.9_x000a_0"/>
    <s v="ALOK TYAGI"/>
    <s v="SALARY"/>
    <m/>
    <m/>
    <m/>
    <m/>
    <m/>
    <m/>
    <x v="24"/>
  </r>
  <r>
    <s v="MMT/IMPS/208412896817/salary/sagarMALIK/CNRB0002185"/>
    <n v="116400"/>
    <m/>
    <n v="5700088.9000000004"/>
    <s v="SAGAR MALIK"/>
    <s v="SALARY"/>
    <m/>
    <m/>
    <m/>
    <m/>
    <m/>
    <m/>
    <x v="24"/>
  </r>
  <r>
    <s v="INF/INFT/0 268675568_x000a_71/salary_x000a_/yogrshTY AGId"/>
    <n v="116400"/>
    <m/>
    <s v="5583688.9_x000a_0"/>
    <s v="YOGESH TYAGI"/>
    <s v="SALARY"/>
    <m/>
    <m/>
    <m/>
    <m/>
    <m/>
    <m/>
    <x v="24"/>
  </r>
  <r>
    <s v="INF/INFT/0 268675803_x000a_91/salary_x000a_/aashu"/>
    <n v="116400"/>
    <m/>
    <s v="5467288.9_x000a_0"/>
    <s v="AASHU TYAGI"/>
    <s v="SALARY"/>
    <m/>
    <m/>
    <m/>
    <m/>
    <m/>
    <m/>
    <x v="24"/>
  </r>
  <r>
    <s v="MMT/IMPS_x000a_/20841292_x000a_5364/salar y/mohiKU MARd/IOB A000356"/>
    <n v="116400"/>
    <m/>
    <s v="5350888.9_x000a_0"/>
    <s v="MOHIT KUMAR"/>
    <s v="SALARY"/>
    <m/>
    <m/>
    <m/>
    <m/>
    <m/>
    <m/>
    <x v="24"/>
  </r>
  <r>
    <s v="INF/INFT/0 268687729_x000a_41/Balajias sociate/Bal ajiAssoci"/>
    <n v="1000000"/>
    <m/>
    <s v="4350888.9_x000a_0"/>
    <s v="BALAJI ASSOCIATES"/>
    <s v="ADVANCE"/>
    <s v="BEHALF OF FARMER"/>
    <m/>
    <s v="BEHALF OF FARMER"/>
    <m/>
    <m/>
    <m/>
    <x v="41"/>
  </r>
  <r>
    <s v="INF/INFT/0 268688418_x000a_61/Balajias sociate/Bal ajiAssoci"/>
    <n v="1000000"/>
    <m/>
    <s v="3350888.9_x000a_0"/>
    <s v="BALAJI ASSOCIATES"/>
    <s v="ADVANCE"/>
    <s v="ADVANCE"/>
    <m/>
    <s v="ADVANCE"/>
    <m/>
    <m/>
    <m/>
    <x v="41"/>
  </r>
  <r>
    <s v="INF/INFT/0 268688987_x000a_61/Balajias sociate/Bal ajiAssoci"/>
    <n v="1000000"/>
    <m/>
    <s v="2350888.9_x000a_0"/>
    <s v="BALAJI ASSOCIATES"/>
    <s v="ADVANCE"/>
    <s v="ADVANCE"/>
    <m/>
    <s v="ADVANCE"/>
    <m/>
    <m/>
    <m/>
    <x v="41"/>
  </r>
  <r>
    <s v="INF/INFT/0 268689347_x000a_31/Balajias sociate/Bal ajiAssoci"/>
    <n v="1000000"/>
    <m/>
    <s v="1350888.9_x000a_0"/>
    <s v="BALAJI ASSOCIATES"/>
    <s v="ADVANCE"/>
    <s v="ADVANCE"/>
    <m/>
    <s v="ADVANCE"/>
    <m/>
    <m/>
    <m/>
    <x v="41"/>
  </r>
  <r>
    <s v="INF/INFT/0 268769781_x000a_21/salary_x000a_/kuldeepici ci"/>
    <n v="150000"/>
    <m/>
    <s v="1200888.9_x000a_0"/>
    <s v="KULDEEP TOMAR"/>
    <s v="SALARY"/>
    <m/>
    <m/>
    <m/>
    <m/>
    <m/>
    <m/>
    <x v="24"/>
  </r>
  <r>
    <s v="UPI/20868 3606049/U_x000a_PI/rahulhud dao777@/ Punjab Nation"/>
    <m/>
    <n v="20000"/>
    <s v="1220888.9_x000a_0"/>
    <s v="RAHUL HUDDA"/>
    <s v="I F PLOT A21"/>
    <m/>
    <m/>
    <m/>
    <s v="ADVANCE"/>
    <m/>
    <m/>
    <x v="1"/>
  </r>
  <r>
    <s v="INF/INFT/0 269094645_x000a_11/SHRIga neshassoc/ BALAJI ASSOC"/>
    <m/>
    <n v="1000000"/>
    <s v="2220888.9_x000a_0"/>
    <s v="BALAJI ASSOCIATES"/>
    <s v="RETURN ENTRY"/>
    <m/>
    <m/>
    <m/>
    <m/>
    <m/>
    <m/>
    <x v="41"/>
  </r>
  <r>
    <s v="INF/INFT/0 269094938_x000a_61/SHRIga neshassoc/ BALAJI ASSOC"/>
    <m/>
    <n v="1000000"/>
    <s v="3220888.9_x000a_0"/>
    <s v="BALAJI ASSOCIATES"/>
    <s v="RETURN ENTRY"/>
    <m/>
    <m/>
    <m/>
    <m/>
    <m/>
    <m/>
    <x v="41"/>
  </r>
  <r>
    <s v="RTGS/ICIC R4202203 290052797_x000a_3/IOBA000_x000a_1615/Shri Gane"/>
    <n v="1000000"/>
    <m/>
    <s v="2220888.9_x000a_0"/>
    <s v="SHRI GANESH ASSOCIATES"/>
    <s v="SELF"/>
    <m/>
    <m/>
    <m/>
    <m/>
    <s v="EXPENCE"/>
    <m/>
    <x v="40"/>
  </r>
  <r>
    <s v="RTGS/ICIC R4202203 290052818_x000a_9/IOBA000_x000a_1615/Shri Gane"/>
    <n v="1000000"/>
    <m/>
    <s v="1220888.9_x000a_0"/>
    <s v="SHRI GANESH ASSOCIATES"/>
    <s v="SELF"/>
    <m/>
    <m/>
    <m/>
    <m/>
    <s v="EXPENCE"/>
    <m/>
    <x v="40"/>
  </r>
  <r>
    <s v="UPI/20881 5235710/U_x000a_PI/jitendras ingh12/Stat e Bank Of"/>
    <m/>
    <n v="10000"/>
    <s v="1230888.9_x000a_0"/>
    <s v="JITENDRA SINGH"/>
    <s v="I F PLOT NO A26"/>
    <m/>
    <m/>
    <m/>
    <s v="ADVANCE"/>
    <m/>
    <m/>
    <x v="1"/>
  </r>
  <r>
    <s v="MMT/IMPS_x000a_/20891599_x000a_1894/ceme nt/bharatce me/BDBL0 00119"/>
    <n v="65000"/>
    <m/>
    <s v="1165888.9_x000a_0"/>
    <s v="BHARAT GROUP"/>
    <s v="FOR CEMENT"/>
    <s v="ADVANCE"/>
    <m/>
    <s v="ADVANCE"/>
    <m/>
    <s v="EXPENCE"/>
    <s v="EXP"/>
    <x v="21"/>
  </r>
  <r>
    <s v="CLG/ANN O KUMARI/0 00004/KM B/20.03.20 22"/>
    <m/>
    <n v="200000"/>
    <s v="1365888.9_x000a_0"/>
    <s v="ANNO KUMARI"/>
    <s v="I F PLOT NO B28"/>
    <s v="ADVANCE"/>
    <m/>
    <s v="ADVANCE"/>
    <s v="ADVANCE"/>
    <m/>
    <s v="ADVANCE"/>
    <x v="1"/>
  </r>
  <r>
    <s v="CLG/DIPA NSHU GOEL/180 134/SBI/27_x000a_.03.2022"/>
    <m/>
    <n v="51000"/>
    <s v="1416888.9_x000a_0"/>
    <s v="DIPANSHU GOEL"/>
    <s v="I F PLOT A23"/>
    <s v="REFUND(25/7/21,27/7/21)"/>
    <m/>
    <s v="REFUND(06/5/22)"/>
    <s v="REFUND(06/5/22)"/>
    <m/>
    <m/>
    <x v="1"/>
  </r>
  <r>
    <s v="CLG/ASH WANI SHARMA/0 00090/HDF_x000a_/19.03.202 2"/>
    <m/>
    <n v="392000"/>
    <s v="1808888.9_x000a_0"/>
    <s v="ASHWANI SHARMA"/>
    <s v="I F PLOT NO A98"/>
    <s v="ADVANCE"/>
    <m/>
    <s v="ADVANCE"/>
    <s v="REFUND(27/9/22)"/>
    <m/>
    <s v="REFUND (27/9/22)"/>
    <x v="1"/>
  </r>
  <r>
    <s v="UPI/20911 9999583/P_x000a_ayment from Ph/827312_x000a_1911@axl/ St"/>
    <m/>
    <n v="10000"/>
    <s v="1818888.9_x000a_0"/>
    <s v="MANOJ SHARMA"/>
    <s v="I F PLOT NO A29"/>
    <s v="ADVANCE"/>
    <s v="REFUND(11/1/22)"/>
    <s v="ADVANCE"/>
    <s v="ADVANCE"/>
    <m/>
    <m/>
    <x v="1"/>
  </r>
  <r>
    <s v="MMT/IMPS_x000a_/20941216_x000a_5658/salar y/MANISH_x000a_saga/PUN B007290"/>
    <n v="19400"/>
    <m/>
    <s v="1799488.9_x000a_0"/>
    <s v="MANISH SAGAR"/>
    <s v="SALARY"/>
    <m/>
    <m/>
    <m/>
    <m/>
    <m/>
    <m/>
    <x v="24"/>
  </r>
  <r>
    <s v="BIL/INFT/0 003665031_x000a_75/Return entry/"/>
    <m/>
    <n v="100000"/>
    <s v="1899488.9_x000a_0"/>
    <s v="Rahul tomar"/>
    <s v="RETURN ENTRY"/>
    <m/>
    <m/>
    <m/>
    <m/>
    <m/>
    <m/>
    <x v="8"/>
  </r>
  <r>
    <s v="RTGS/ICIC R4202204 050054685/ANITA_x000a_3/PUNB00_x000a_26610/ANI TA FAR"/>
    <n v="806000"/>
    <m/>
    <s v="1093488.9_x000a_0"/>
    <s v="ANITA"/>
    <s v="FARMER PAYMENT"/>
    <s v="ADVANCE"/>
    <m/>
    <s v="ADVANCE"/>
    <m/>
    <m/>
    <s v="EXP"/>
    <x v="7"/>
  </r>
  <r>
    <s v="RTGS/ICIC R4202204 060050679_x000a_7/UTIB000_x000a_2688/avni eco"/>
    <n v="234500"/>
    <m/>
    <n v="858988.9"/>
    <s v="AVNI ECO INDUSTRIES"/>
    <s v="ADVANCE"/>
    <s v="ADVANCE"/>
    <s v="REFUND(11/8/21)300000"/>
    <s v="ADVANCE"/>
    <s v="REFUND(11/8/21)300000"/>
    <m/>
    <s v="EXP"/>
    <x v="22"/>
  </r>
  <r>
    <s v="UPI/20963 6801494/N A/6395075_x000a_349@payt/ State Bank Of"/>
    <m/>
    <n v="50000"/>
    <n v="908988.9"/>
    <s v="SANJEEV KUMAR"/>
    <s v="I F OF PLOT NO A20"/>
    <m/>
    <m/>
    <m/>
    <s v="ADVANCE"/>
    <m/>
    <m/>
    <x v="1"/>
  </r>
  <r>
    <s v="CLG/SHAL AU DIN/49171 9/PNB/04.0_x000a_4.2022"/>
    <m/>
    <n v="289000"/>
    <s v="1197988.9_x000a_0"/>
    <s v="SHALAU DIN"/>
    <s v="RETURN ENTRY"/>
    <m/>
    <m/>
    <m/>
    <m/>
    <m/>
    <m/>
    <x v="7"/>
  </r>
  <r>
    <s v="CLG/PRAD EEP KUMAR/51 1962/SBI/0_x000a_4.04.2022"/>
    <m/>
    <n v="266000"/>
    <s v="1463988.9_x000a_0"/>
    <s v="PRADEEP KUMAR"/>
    <s v="I F OF PLOT NO A147"/>
    <s v="REFUND(20/10/20)"/>
    <m/>
    <s v="REFUND(20/10/20)"/>
    <s v="BOUNCE"/>
    <m/>
    <m/>
    <x v="1"/>
  </r>
  <r>
    <s v="CLG/SIYA NAND SHARMA/2 92126/SBI/_x000a_06.04.2022"/>
    <m/>
    <n v="430000"/>
    <s v="1893988.9_x000a_0"/>
    <s v="SIYANAND SHARMA"/>
    <s v="I N OF PLOT NO A60"/>
    <m/>
    <m/>
    <m/>
    <s v="ADVANCE"/>
    <m/>
    <m/>
    <x v="1"/>
  </r>
  <r>
    <s v="REJECT:5 11962:FUN DS INSUFFICI ENT"/>
    <n v="266000"/>
    <m/>
    <s v="1627988.9_x000a_0"/>
    <s v="PRADEEP KUMAR"/>
    <s v="FROM PLOT NO A147"/>
    <s v="ADVANCE"/>
    <m/>
    <s v="ADVANCE"/>
    <s v="BOUNCE"/>
    <m/>
    <m/>
    <x v="1"/>
  </r>
  <r>
    <s v="RTN CHG- 511962/FU NDS INSUFFICI ENT/07.04. 22"/>
    <n v="118"/>
    <m/>
    <s v="1627870.9_x000a_0"/>
    <s v="BANK"/>
    <s v="Bank Charges"/>
    <s v="ADVANCE"/>
    <m/>
    <s v="ADVANCE"/>
    <m/>
    <s v="EXPENCE"/>
    <m/>
    <x v="2"/>
  </r>
  <r>
    <s v="MMT/IMPS_x000a_/20981381_x000a_9226/ceme nt/bharatce me/BDBL0 00119"/>
    <n v="75000"/>
    <m/>
    <s v="1552870.9_x000a_0"/>
    <s v="BHARAT GROUP"/>
    <s v="FOR CEMENT"/>
    <s v="ADVANCE"/>
    <m/>
    <s v="ADVANCE"/>
    <m/>
    <s v="EXPENCE"/>
    <s v="EXP"/>
    <x v="21"/>
  </r>
  <r>
    <s v="UPI/20981 6713428/A_x000a_24/903656_x000a_8112@apl/ Punjab Nationa"/>
    <m/>
    <n v="5000"/>
    <s v="1557870.9_x000a_0"/>
    <s v="PARTAP SAINI"/>
    <s v="I F OF PLOT NO A24"/>
    <s v="BOUNCE"/>
    <m/>
    <s v="BOUNCE"/>
    <s v="OPEN IN REGISTRY"/>
    <m/>
    <m/>
    <x v="1"/>
  </r>
  <r>
    <s v="RTGS/ICIC R4202204 080053682_x000a_6/PUNB00_x000a_26610/vika s tom"/>
    <n v="371000"/>
    <m/>
    <s v="1186870.9_x000a_0"/>
    <s v="VIKAS TOMAR"/>
    <s v="FROM PLOT NO A38"/>
    <s v="BEHALF OF FARMER"/>
    <m/>
    <s v="BEHALF OF FARMER"/>
    <s v="REFUND(19/8/21)"/>
    <m/>
    <m/>
    <x v="1"/>
  </r>
  <r>
    <s v="MMT/IMPS_x000a_/20981734_x000a_8027/Vikra nt malik p/VIKRAN T KU/H"/>
    <m/>
    <n v="175000"/>
    <s v="1361870.9_x000a_0"/>
    <s v="VIKRANT MALIK"/>
    <s v="I F PLOT NO B6"/>
    <s v="ADVANCE"/>
    <m/>
    <s v="ADVANCE"/>
    <s v="ADVANCE"/>
    <m/>
    <m/>
    <x v="1"/>
  </r>
  <r>
    <s v="MMT/IMPS_x000a_/20991562_x000a_3679/salar y/sumiti_x000a_/PUNB052 281"/>
    <n v="200000"/>
    <m/>
    <s v="1161870.9_x000a_0"/>
    <s v="SUMITI SINGH"/>
    <s v="SALARY"/>
    <m/>
    <m/>
    <m/>
    <m/>
    <m/>
    <m/>
    <x v="24"/>
  </r>
  <r>
    <s v="MMT/IMPS_x000a_/20991571_x000a_4776/salar y/avinashT YA/PUNB0 47160"/>
    <n v="38800"/>
    <m/>
    <s v="1123070.9_x000a_0"/>
    <s v="AVINASH TYAGI"/>
    <s v="SALARY"/>
    <m/>
    <m/>
    <m/>
    <m/>
    <m/>
    <m/>
    <x v="24"/>
  </r>
  <r>
    <s v="MMT/IMPS_x000a_/20991672_x000a_0166/salar y/AMITgdT OMA/PUN B000420"/>
    <n v="38800"/>
    <m/>
    <s v="1084270.9_x000a_0"/>
    <s v="AMIT TOMAR"/>
    <s v="SALARY"/>
    <m/>
    <m/>
    <m/>
    <m/>
    <m/>
    <m/>
    <x v="24"/>
  </r>
  <r>
    <s v="MMT/IMPS_x000a_/20991672_x000a_5041/salar y/AMITgdT OMA/PUN B000420"/>
    <n v="29100"/>
    <m/>
    <s v="1055170.9_x000a_0"/>
    <s v="AMIT TOMAR"/>
    <s v="ADVANCE"/>
    <s v="ADVANCE"/>
    <m/>
    <s v="ADVANCE"/>
    <m/>
    <m/>
    <m/>
    <x v="24"/>
  </r>
  <r>
    <s v="MMT/IMPS_x000a_/20991673_x000a_0045/salar y/goravDG_x000a_/CNRB000 232"/>
    <n v="29100"/>
    <m/>
    <s v="1026070.9_x000a_0"/>
    <s v="GORAV "/>
    <s v="SALARY"/>
    <m/>
    <m/>
    <m/>
    <m/>
    <m/>
    <n v="900"/>
    <x v="25"/>
  </r>
  <r>
    <s v="MMT/IMPS_x000a_/20991673_x000a_2738/salar y/alokTYA GId/SBIN0 01660"/>
    <n v="29100"/>
    <m/>
    <n v="996970.9"/>
    <s v="ALOK TYAGI"/>
    <s v="SALARY"/>
    <m/>
    <m/>
    <m/>
    <m/>
    <m/>
    <m/>
    <x v="24"/>
  </r>
  <r>
    <s v="MMT/IMPS_x000a_/20991673_x000a_6507/salar y/sagarMA LIK/CNRB 000218"/>
    <n v="29100"/>
    <m/>
    <n v="967870.9"/>
    <s v="SAGAR MALIK"/>
    <s v="SALARY"/>
    <m/>
    <m/>
    <m/>
    <m/>
    <m/>
    <m/>
    <x v="24"/>
  </r>
  <r>
    <s v="INF/INFT/0 270689889_x000a_31/salary_x000a_/yogrshTY AGId"/>
    <n v="29100"/>
    <m/>
    <n v="938770.9"/>
    <s v="YOGESH TYAGI"/>
    <s v="SALARY"/>
    <m/>
    <m/>
    <m/>
    <m/>
    <m/>
    <m/>
    <x v="24"/>
  </r>
  <r>
    <s v="INF/INFT/0 270689947_x000a_51/salary_x000a_/aashu"/>
    <n v="29100"/>
    <m/>
    <n v="909670.9"/>
    <s v="AASHU TYAGI"/>
    <s v="SALARY"/>
    <m/>
    <m/>
    <m/>
    <m/>
    <m/>
    <m/>
    <x v="24"/>
  </r>
  <r>
    <s v="MMT/IMPS_x000a_/20991674_x000a_9400/salar y/rahulCHA UD/HDFC0 00435"/>
    <n v="29100"/>
    <m/>
    <n v="880570.9"/>
    <s v="RAHUL CHAUDHARY"/>
    <s v="SALARY"/>
    <m/>
    <m/>
    <m/>
    <m/>
    <m/>
    <n v="900"/>
    <x v="24"/>
  </r>
  <r>
    <s v="MMT/IMPS_x000a_/20991676_x000a_1295/salar y/mohiKU MARd/IOB A000356"/>
    <n v="29100"/>
    <m/>
    <n v="851470.9"/>
    <s v="MOHIT KUMAR"/>
    <s v="SALARY"/>
    <m/>
    <m/>
    <m/>
    <m/>
    <m/>
    <m/>
    <x v="24"/>
  </r>
  <r>
    <s v="MMT/IMPS_x000a_/20991676_x000a_5874/salar y/AMITyad av_x000a_/HDFC000 065"/>
    <n v="19400"/>
    <m/>
    <n v="832070.9"/>
    <s v="AMIT YADAV"/>
    <s v="SALARY"/>
    <m/>
    <m/>
    <m/>
    <m/>
    <m/>
    <n v="600"/>
    <x v="24"/>
  </r>
  <r>
    <s v="INF/INFT/0 270690854_x000a_91/salary_x000a_/kuldeepici ci"/>
    <n v="600000"/>
    <m/>
    <n v="232070.9"/>
    <s v="KULDEEP TOMAR"/>
    <s v="SALARY"/>
    <m/>
    <m/>
    <m/>
    <m/>
    <m/>
    <m/>
    <x v="24"/>
  </r>
  <r>
    <s v="INF/INFT/0 270706008_x000a_81/retinentr y_x000a_/BALAJI ASSOC"/>
    <m/>
    <n v="600000"/>
    <n v="832070.9"/>
    <s v="BALAJI ASSOCIATES"/>
    <s v="RETURN ENTRY"/>
    <m/>
    <m/>
    <m/>
    <m/>
    <m/>
    <m/>
    <x v="41"/>
  </r>
  <r>
    <s v="RTGS/ICIC R4202204 090051803_x000a_2/PUNB04_x000a_71600/mul ash ku"/>
    <n v="600000"/>
    <m/>
    <n v="232070.9"/>
    <s v="MUKESH KUMAR"/>
    <s v="FROM PLOT A60"/>
    <s v="ADVANCE"/>
    <m/>
    <s v="ADVANCE"/>
    <s v="REFUND(18/8/21,7/12/21)"/>
    <m/>
    <m/>
    <x v="1"/>
  </r>
  <r>
    <s v="UPI/21011 0897850/N O REMARKS_x000a_/76786064_x000a_34@upi/St ate B"/>
    <m/>
    <n v="100000"/>
    <n v="332070.90000000002"/>
    <s v="SATBEER"/>
    <s v="I F OF PLOT NO A51"/>
    <m/>
    <m/>
    <m/>
    <s v="REFUND(13/7/22)"/>
    <m/>
    <m/>
    <x v="1"/>
  </r>
  <r>
    <s v="MMT/IMPS_x000a_/21011390_x000a_8063/salar y/ARUNbhi DG_x000a_/SBIN0016 60"/>
    <n v="29100"/>
    <m/>
    <n v="302970.90000000002"/>
    <s v="ARUN CHAUDHARY"/>
    <s v="SALARY"/>
    <m/>
    <m/>
    <m/>
    <m/>
    <m/>
    <m/>
    <x v="24"/>
  </r>
  <r>
    <s v="MMT/IMPS_x000a_/21011332 6687/RAVI KUMAR2/A_x000a_xis Bank"/>
    <m/>
    <n v="300000"/>
    <n v="602970.9"/>
    <s v="RAVI KUMAR"/>
    <s v="I F OF PLOT NO A144 "/>
    <s v="BEHALF OF FARMER"/>
    <m/>
    <s v="BEHALF OF FARMER"/>
    <s v="ADVANCE"/>
    <m/>
    <m/>
    <x v="1"/>
  </r>
  <r>
    <s v="CLG/PRAD EEP KUMAR/51 1962/SBI/0_x000a_4.04.2022"/>
    <m/>
    <n v="266000"/>
    <n v="868970.9"/>
    <s v="PRADEEP KUMAR"/>
    <s v="I F OF PLOT NO A147"/>
    <s v="ADVANCE"/>
    <m/>
    <s v="ADVANCE"/>
    <s v="OPEN IN REGISTRY "/>
    <m/>
    <m/>
    <x v="1"/>
  </r>
  <r>
    <s v="UPI/21029 1577272/P_x000a_ayment from Ph/885956_x000a_1200@ybl/ St"/>
    <m/>
    <n v="10000"/>
    <n v="878970.9"/>
    <s v="AJAY SINGH"/>
    <s v="I F OF PLOT B35"/>
    <s v="BEHALF OF FARMER"/>
    <m/>
    <s v="BEHALF OF FARMER"/>
    <s v="REFUND(17/5/22)"/>
    <m/>
    <s v="REFUND (17/5/22)"/>
    <x v="1"/>
  </r>
  <r>
    <s v="TRFR FROM: UMESH KUMAR"/>
    <m/>
    <n v="500000"/>
    <s v="1378970.9_x000a_0"/>
    <s v="UMESH KUMAR"/>
    <s v="RETURN ENTRY"/>
    <m/>
    <m/>
    <m/>
    <m/>
    <m/>
    <m/>
    <x v="7"/>
  </r>
  <r>
    <s v="RTGS/ICIC R4202204 140051120_x000a_0/SBIN000_x000a_7619/SHIV_x000a_rajS"/>
    <n v="350000"/>
    <m/>
    <s v="1028970.9_x000a_0"/>
    <s v="SHIV RAJ SINGH"/>
    <s v="FROM PLOT NO A55 AND B34"/>
    <s v="ADVANCE"/>
    <m/>
    <s v="ADVANCE"/>
    <s v="REFUND(8/9/21,10/9/21)"/>
    <m/>
    <m/>
    <x v="1"/>
  </r>
  <r>
    <s v="RTGS/ICIC R4202204 150051130_x000a_2/UTIB000_x000a_2688/avni eco"/>
    <n v="300000"/>
    <m/>
    <n v="728970.9"/>
    <s v="AVNI ECO INDUSTRIES"/>
    <s v="FOR LOKING TAYAL"/>
    <s v="BEHALF OF FARMER"/>
    <m/>
    <s v="BEHALF OF FARMER"/>
    <m/>
    <s v="EXPENCE"/>
    <s v="EXP"/>
    <x v="22"/>
  </r>
  <r>
    <s v="MMT/IMPS_x000a_/21051896_x000a_0218/ceme nt/bharatce me/BDBL0 00119"/>
    <n v="100000"/>
    <m/>
    <n v="628970.9"/>
    <s v="BHARAT GROUP"/>
    <s v="FOR CEMENT"/>
    <m/>
    <m/>
    <m/>
    <m/>
    <s v="EXPENCE"/>
    <s v="EXP"/>
    <x v="21"/>
  </r>
  <r>
    <s v="CLG/MAN OJ KUMAR/17 6119/SBI/2_x000a_2.03.2022"/>
    <m/>
    <n v="254000"/>
    <n v="882970.9"/>
    <s v="MANOJ KUMAR"/>
    <s v="I F OF PLOT NO A50"/>
    <s v="BEHALF OF FARMER"/>
    <m/>
    <s v="BEHALF OF FARMER"/>
    <s v="OPEN IN REGISTRY "/>
    <m/>
    <m/>
    <x v="1"/>
  </r>
  <r>
    <s v="CLG/ARU N KUMAR/00 0006/HDF/_x000a_12.03.2022"/>
    <m/>
    <n v="60000"/>
    <n v="942970.9"/>
    <s v="ARUN KUMAR"/>
    <s v="I F PLOT NO A1"/>
    <s v="ADVANCE"/>
    <m/>
    <s v="ADVANCE"/>
    <s v="REFUND(3/12/22)"/>
    <m/>
    <s v="REFUND(3/12/22)"/>
    <x v="1"/>
  </r>
  <r>
    <s v="MMT/IMPS_x000a_/21121798_x000a_7421/Toyot afortunerb/ Uttarancha_x000a_/K"/>
    <n v="100000"/>
    <m/>
    <n v="842970.9"/>
    <s v="TOYOTA FORTUNER"/>
    <s v="FOR CAR BOOKING"/>
    <s v="BEHALF OF FARMER"/>
    <s v="YOGESH TYAGI PERSONAL"/>
    <s v="BEHALF OF FARMER"/>
    <s v="refund(13/6/22)"/>
    <s v="EXPENCE"/>
    <m/>
    <x v="43"/>
  </r>
  <r>
    <s v="NEFT- IDIBH2211 5481948- MR  SUNIL_x000a_-- 000000500_x000a_502576"/>
    <m/>
    <n v="100000"/>
    <n v="942970.9"/>
    <s v="SUNIL   "/>
    <s v="I F OF PLOT NO A23"/>
    <m/>
    <m/>
    <m/>
    <s v="OPEN IN REGISTRY "/>
    <m/>
    <m/>
    <x v="1"/>
  </r>
  <r>
    <s v="MMT/IMPS_x000a_/21151758 7803/0266_x000a_025004960_x000a_57/MUNES H WO"/>
    <m/>
    <n v="100000"/>
    <s v="1042970.9_x000a_0"/>
    <s v="MUNESH"/>
    <s v="I F PLOT NO A129"/>
    <s v="ADVANCE"/>
    <m/>
    <s v="ADVANCE"/>
    <s v="ADVANCE"/>
    <m/>
    <m/>
    <x v="1"/>
  </r>
  <r>
    <s v="RTGS- IOBAR520 220426006_x000a_38721- SHRI GANESH ASSOCIAT ES"/>
    <m/>
    <n v="2000000"/>
    <s v="3042970.9_x000a_0"/>
    <s v="SHRI GANESH ASSOCIATES"/>
    <s v="SELF"/>
    <m/>
    <m/>
    <m/>
    <m/>
    <s v="BANK IOB"/>
    <m/>
    <x v="44"/>
  </r>
  <r>
    <s v="CLG/NISH ANT SAROHA/1 33517/AXI/_x000a_24.04.2022"/>
    <m/>
    <n v="300000"/>
    <s v="3342970.9_x000a_0"/>
    <s v="NISHANT SAROHA"/>
    <s v="I F OF PLOT A80"/>
    <s v="BEHALF OF FARMER"/>
    <m/>
    <s v="BEHALF OF FARMER"/>
    <s v="ADVANCE"/>
    <m/>
    <m/>
    <x v="1"/>
  </r>
  <r>
    <s v="INF/NEFT/027396783121/HDFC0004358/574574612.RAHUL/rahulCHAUDHARYd"/>
    <n v="29100"/>
    <m/>
    <n v="3313870.9"/>
    <s v="RAHUL CHAUDHARY"/>
    <s v="SALARY"/>
    <m/>
    <m/>
    <m/>
    <m/>
    <m/>
    <n v="900"/>
    <x v="24"/>
  </r>
  <r>
    <s v="MMT/IMPS/212411834433/574574612.RAHUL/MANISHsaga/PUNB0072900"/>
    <n v="19400"/>
    <m/>
    <n v="3294470.9"/>
    <s v="MANISH SAGAR"/>
    <s v="SALARY"/>
    <m/>
    <m/>
    <m/>
    <m/>
    <m/>
    <m/>
    <x v="24"/>
  </r>
  <r>
    <s v="MMT/IMPS/212515633079/574574612.RAHUL/SHCILestam/HDFC0001267"/>
    <n v="43000"/>
    <m/>
    <n v="3251470.9"/>
    <s v="SHCIL E STAM"/>
    <s v="STAMP DUTY"/>
    <m/>
    <m/>
    <m/>
    <m/>
    <s v="EXPENCE"/>
    <m/>
    <x v="34"/>
  </r>
  <r>
    <s v="MMT/IMPS/212515640318/574574612.RAHUL/AMITyadav /HDFC0000655"/>
    <n v="19400"/>
    <m/>
    <n v="3232070.9"/>
    <s v="AMIT YADAV"/>
    <s v="SALARY"/>
    <m/>
    <m/>
    <m/>
    <m/>
    <m/>
    <n v="600"/>
    <x v="24"/>
  </r>
  <r>
    <s v="CLG/RAJEEV/846544/SBI/27.04.2022"/>
    <m/>
    <n v="400000"/>
    <n v="3632070.9"/>
    <s v="RAJEEV KUMAR"/>
    <s v="I F PLOT NO B47"/>
    <m/>
    <m/>
    <m/>
    <s v="ADVANCE"/>
    <m/>
    <m/>
    <x v="1"/>
  </r>
  <r>
    <s v="MMT/IMPS/212618937636/574574612.RAHUL/dipanshuGO/SBIN0012526"/>
    <n v="51000"/>
    <m/>
    <n v="3581070.9"/>
    <s v="DIPANSHU GOEL"/>
    <s v="FROM PLOT NO A23"/>
    <s v="ADVANCE"/>
    <m/>
    <s v="REFUND(31/3/22)"/>
    <s v="REFUND(31/3/22)"/>
    <m/>
    <m/>
    <x v="1"/>
  </r>
  <r>
    <s v="INF/INFT/027548016551/Balajiassociate/BalajiAssociate"/>
    <n v="1000000"/>
    <m/>
    <n v="2581070.9"/>
    <s v="BALAJI ASSOCIATES"/>
    <s v="ADVANCE"/>
    <m/>
    <m/>
    <m/>
    <m/>
    <m/>
    <m/>
    <x v="41"/>
  </r>
  <r>
    <s v="INF/INFT/027548059231/Balajiassociate/BalajiAssociate"/>
    <n v="1000000"/>
    <m/>
    <n v="1581070.9"/>
    <s v="BALAJI ASSOCIATES"/>
    <s v="ADVANCE"/>
    <s v="ADVANCE"/>
    <m/>
    <s v="ADVANCE"/>
    <m/>
    <m/>
    <m/>
    <x v="41"/>
  </r>
  <r>
    <s v="INF/INFT/027548124691/Balajiassociate/BalajiAssociate"/>
    <n v="1000000"/>
    <m/>
    <n v="581070.9"/>
    <s v="BALAJI ASSOCIATES"/>
    <s v="ADVANCE"/>
    <s v="ADVANCE"/>
    <m/>
    <s v="ADVANCE"/>
    <m/>
    <m/>
    <m/>
    <x v="41"/>
  </r>
  <r>
    <s v="INF/INFT/027548149041/Balajiassociate/BalajiAssociate"/>
    <n v="500000"/>
    <m/>
    <n v="81070.899999999994"/>
    <s v="BALAJI ASSOCIATES"/>
    <s v="ADVANCE"/>
    <s v="ADVANCE"/>
    <m/>
    <s v="ADVANCE"/>
    <m/>
    <m/>
    <m/>
    <x v="41"/>
  </r>
  <r>
    <s v="RTGS-PUNBR52022051712636802-KASAM ALI  SO RUSTAM-02662010019640-PUNB0026610"/>
    <m/>
    <n v="460000"/>
    <n v="541070.9"/>
    <s v="KASAM ALI"/>
    <s v="REFUND"/>
    <m/>
    <m/>
    <m/>
    <m/>
    <m/>
    <m/>
    <x v="7"/>
  </r>
  <r>
    <s v="INF/NEFT/027622302141/SBIN0006199/574574612.RAHUL/AJAYshingb35DG"/>
    <n v="10000"/>
    <m/>
    <n v="531070.9"/>
    <s v="AJAY SINGH"/>
    <s v="FROM PLOT NO B35"/>
    <s v="ADVANCE"/>
    <m/>
    <s v="ADVANCE"/>
    <s v="REFUND(12/4/22)"/>
    <m/>
    <s v="REFUND AS ON DATE(12/4/22)"/>
    <x v="1"/>
  </r>
  <r>
    <s v="NEFT-SBIN322138978061-VINAY KUMAR-/ATTN/PAYMENT-00000030455776844-SBIN0014581"/>
    <m/>
    <n v="600000"/>
    <n v="1131070.8999999999"/>
    <s v="VINAY KUMAR"/>
    <s v="I F PLOT NO A78"/>
    <s v="ADVANCE"/>
    <m/>
    <s v="ADVANCE"/>
    <s v="OPEN IN REGISTRY "/>
    <m/>
    <m/>
    <x v="1"/>
  </r>
  <r>
    <s v="INF/NEFT/027636335831/PUNB0072900/574574612.RAHUL/MANISHsagarDG"/>
    <n v="10000"/>
    <m/>
    <n v="1121070.8999999999"/>
    <s v="MANISH SAGAR"/>
    <s v="SALARY ADVANCE"/>
    <m/>
    <m/>
    <m/>
    <m/>
    <m/>
    <m/>
    <x v="24"/>
  </r>
  <r>
    <s v="CLG/INUSH ALI/437449/PNB/18.05.2022"/>
    <m/>
    <n v="216000"/>
    <n v="1337070.8999999999"/>
    <s v="INUSH ALI"/>
    <s v="REFUND"/>
    <m/>
    <m/>
    <m/>
    <m/>
    <m/>
    <m/>
    <x v="7"/>
  </r>
  <r>
    <s v="CLG/YAGYU DUTT/646947/SBI/09.05.2022"/>
    <m/>
    <n v="100000"/>
    <n v="1437070.9"/>
    <s v="YAGYU DUTT"/>
    <s v="I F PLOT NO A51"/>
    <s v="ADVANCE"/>
    <m/>
    <s v="ADVANCE"/>
    <s v="ADVANCE"/>
    <m/>
    <m/>
    <x v="1"/>
  </r>
  <r>
    <s v="CLG/SHALAU DIN/491721/PNB/18.05.2022"/>
    <m/>
    <n v="57000"/>
    <n v="1494070.9"/>
    <s v="SHALAU DIN"/>
    <s v="REFUND"/>
    <m/>
    <m/>
    <m/>
    <m/>
    <m/>
    <m/>
    <x v="7"/>
  </r>
  <r>
    <s v="BIL/INFT/000401469545/Shri Ganesh ass/ AASHU TYAGI"/>
    <m/>
    <n v="200000"/>
    <n v="1694070.9"/>
    <s v="AASHU TYAGI"/>
    <s v="IN FAVOUR OF YOGESH TYAGI CAPITAL"/>
    <m/>
    <m/>
    <m/>
    <s v="ADVANCE"/>
    <m/>
    <s v="ADVANCE"/>
    <x v="6"/>
  </r>
  <r>
    <s v="INF/INFT/027647368571/577683445.YOGES/BALAJI ASSOCIAT"/>
    <m/>
    <n v="450000"/>
    <n v="2144070.9"/>
    <s v="BALAJI ASSOCIATES"/>
    <s v="REFUND"/>
    <m/>
    <m/>
    <m/>
    <m/>
    <m/>
    <m/>
    <x v="41"/>
  </r>
  <r>
    <s v="BIL/INFT/000401537154/Shri ganesh ass/ YOGESH  TYAGI"/>
    <m/>
    <n v="200000"/>
    <n v="2344070.9"/>
    <s v="YOGESH TYAGI"/>
    <s v="IN FAVOUR OF YOGESH TYAGI CAPITAL"/>
    <m/>
    <m/>
    <m/>
    <s v="REFUND"/>
    <m/>
    <m/>
    <x v="3"/>
  </r>
  <r>
    <s v="UPI/213919615901/Payment from Ph/9927830484@ybl/State Bank Of I/YBL3460d7bd902c"/>
    <m/>
    <n v="95000"/>
    <n v="2439070.9"/>
    <s v="ARUN CHAUDHARY"/>
    <s v="ADVANCE"/>
    <s v="ADVANCE"/>
    <m/>
    <s v="ADVANCE"/>
    <s v="ADVANCE"/>
    <m/>
    <s v="REFUND(21/7/23)"/>
    <x v="45"/>
  </r>
  <r>
    <s v="RTGS-PUNBR52022051912717148-DHARAM PAL SINGH S/O RAM SINGH-1822000100304399-PUN"/>
    <m/>
    <n v="1000000"/>
    <n v="3439070.9"/>
    <s v="DHARAM PAL SINGH"/>
    <s v="REFUND ENTRY"/>
    <m/>
    <m/>
    <m/>
    <m/>
    <m/>
    <m/>
    <x v="7"/>
  </r>
  <r>
    <s v="RTGS-PUNBR52022051912720768-MUNESH WO RAJBIR-02662191008876-PUNB0026610"/>
    <m/>
    <n v="245000"/>
    <n v="3684070.9"/>
    <s v="MUNESH"/>
    <s v="IF OF PLOT NO B129"/>
    <s v="ADVANCE"/>
    <m/>
    <s v="ADVANCE"/>
    <s v="ADVANCE"/>
    <m/>
    <m/>
    <x v="1"/>
  </r>
  <r>
    <s v="RTGS-SBINR52022051984416345-MAHIPAL SINGH-11733642503-SBIN0007434"/>
    <m/>
    <n v="300000"/>
    <n v="3984070.9"/>
    <s v="MAHIPAL SINGH"/>
    <s v="ADVANCE"/>
    <m/>
    <m/>
    <m/>
    <s v="ADVANCE"/>
    <m/>
    <m/>
    <x v="46"/>
  </r>
  <r>
    <s v="TRFR FROM:ARCHANA KUMARI"/>
    <m/>
    <n v="60000"/>
    <n v="4044070.9"/>
    <s v="ARCHANA KUMARI"/>
    <s v="ADVANCE"/>
    <m/>
    <m/>
    <m/>
    <s v="refund (9/6/22)"/>
    <m/>
    <s v="REFUND (9/6/22)"/>
    <x v="1"/>
  </r>
  <r>
    <s v="TRFR FROM:NIDHI ELECTRONIC"/>
    <m/>
    <n v="240000"/>
    <n v="4284070.9000000004"/>
    <s v="NIDHI ELECTRONIC"/>
    <s v="ADVANCE"/>
    <s v="ADVANCE"/>
    <m/>
    <s v="ADVANCE"/>
    <s v="REFUND(11/6/22)"/>
    <m/>
    <m/>
    <x v="1"/>
  </r>
  <r>
    <s v="RTGS-PUNBR52022051912728067-SUNITA-0175000105054460-PUNB0017500"/>
    <m/>
    <n v="700000"/>
    <n v="4984070.9000000004"/>
    <s v="SUNITA"/>
    <s v="ADVANCE"/>
    <s v="REFUND ADVANCE(20/10/20)"/>
    <m/>
    <s v="REFUND ADVANCE(20/10/20)"/>
    <s v="REFUND(27/12/22)"/>
    <m/>
    <m/>
    <x v="1"/>
  </r>
  <r>
    <s v="RTGS/ICICR42022052300514959/PUNB0026610/SUKHBEERI"/>
    <n v="462000"/>
    <m/>
    <n v="4522070.9000000004"/>
    <s v="SUKHBEERI"/>
    <s v="FARMER PAYMENT"/>
    <s v="ADVANCE"/>
    <m/>
    <s v="ADVANCE"/>
    <m/>
    <m/>
    <m/>
    <x v="7"/>
  </r>
  <r>
    <s v="CLG/CHARAN SINGH/481909/SBI/19.05.2022"/>
    <m/>
    <n v="125000"/>
    <n v="4647070.9000000004"/>
    <s v="CHARAN SINGH"/>
    <s v="I F PLOT NO B33"/>
    <s v="ADVANCE"/>
    <m/>
    <s v="ADVANCE"/>
    <s v="ADVANCE"/>
    <m/>
    <s v="REFUND(6/5/23)"/>
    <x v="1"/>
  </r>
  <r>
    <s v="CLG/HIMANSHU GUPTA/021432/UBI/23.05.2022"/>
    <m/>
    <n v="119000"/>
    <n v="4766070.9000000004"/>
    <s v="HIMANSHU GUPTA"/>
    <s v="IN F O PLOT NO A14"/>
    <m/>
    <m/>
    <m/>
    <s v="OPEN IN REGISTRY"/>
    <m/>
    <m/>
    <x v="1"/>
  </r>
  <r>
    <s v="MMT/IMPS/214817006565/refunda15/BittuDGA15/YESB0000182"/>
    <n v="90000"/>
    <m/>
    <n v="4676070.9000000004"/>
    <s v="BITTU"/>
    <s v="FROM PLOT NO A15"/>
    <s v="ADVANCE"/>
    <m/>
    <s v="ADVANCE"/>
    <s v="REFUND(5/8/21,6/8/21)"/>
    <m/>
    <s v="REFUND(5/8/21,6/8/21)"/>
    <x v="1"/>
  </r>
  <r>
    <s v="MMT/IMPS/214817011736/refunda15/SushilaDGA/IBKL0000338"/>
    <n v="100000"/>
    <m/>
    <n v="4576070.9000000004"/>
    <s v="SUSHILA"/>
    <s v="FROM PLOT NO A15"/>
    <s v="ADVANCE"/>
    <m/>
    <s v="ADVANCE"/>
    <s v="REFUND(1/9/21)"/>
    <m/>
    <m/>
    <x v="1"/>
  </r>
  <r>
    <s v="RTGS/ICICR42022052800517146/KKBK0007466/VIKASH KUMAR"/>
    <n v="610000"/>
    <m/>
    <n v="3966070.9"/>
    <s v="VIKASH KUMAR"/>
    <s v="FROM PLOT NO A15"/>
    <s v="ADVANCE"/>
    <s v="REFUND(6/8/22)"/>
    <s v="ADVANCE"/>
    <s v="REFUND(12/8/21,6/9/21,7/9/21,13/9/21)"/>
    <m/>
    <m/>
    <x v="1"/>
  </r>
  <r>
    <s v="NEFT-PUNBH22154426338-KASAM ALI  SO RUSTAM--02662010019640-PUNB0026610"/>
    <m/>
    <n v="1600000"/>
    <n v="5566070.9000000004"/>
    <s v="KASAM ALI"/>
    <s v="REFUND ENTRY"/>
    <m/>
    <m/>
    <m/>
    <m/>
    <m/>
    <m/>
    <x v="7"/>
  </r>
  <r>
    <s v="INF/NEFT/027909424821/SBIN0016609/alokTYAGIdg"/>
    <n v="58200"/>
    <m/>
    <n v="5507870.9000000004"/>
    <s v="ALOK TYAGI"/>
    <s v="SALARY"/>
    <m/>
    <m/>
    <m/>
    <m/>
    <m/>
    <m/>
    <x v="24"/>
  </r>
  <r>
    <s v="INF/NEFT/027909449161/PUNB0072900/SALARY         /MANISHsagarDG"/>
    <n v="19400"/>
    <m/>
    <n v="5488470.9000000004"/>
    <s v="MANISH SAGAR"/>
    <s v="SALARY"/>
    <m/>
    <m/>
    <m/>
    <m/>
    <m/>
    <m/>
    <x v="24"/>
  </r>
  <r>
    <s v="INF/INFT/027916681611/ADVANCE        /BalajiAssociate"/>
    <n v="500000"/>
    <m/>
    <n v="4988470.9000000004"/>
    <s v="BALAJI ASSOCIATES"/>
    <s v="ADVANCE"/>
    <m/>
    <m/>
    <m/>
    <m/>
    <m/>
    <m/>
    <x v="41"/>
  </r>
  <r>
    <s v="RTGS/ICICR42022060600525179/PUNB0403900/PRITI PANWAR"/>
    <n v="300000"/>
    <m/>
    <n v="4688470.9000000004"/>
    <s v="PRITI PANWAR"/>
    <s v="FROM PLOT NO A73"/>
    <s v="ADVANCE"/>
    <m/>
    <s v="ADVANCE"/>
    <s v="REFUND(6/9/22,7/9/22)"/>
    <m/>
    <m/>
    <x v="1"/>
  </r>
  <r>
    <s v="INF/INFT/027950270561/LON            /BalajiAssociate"/>
    <n v="500000"/>
    <m/>
    <n v="4188470.9"/>
    <s v="BALAJI ASSOCIATES"/>
    <s v="ADVANCE"/>
    <s v="ADVANCE"/>
    <m/>
    <s v="ADVANCE"/>
    <m/>
    <m/>
    <m/>
    <x v="41"/>
  </r>
  <r>
    <s v="INF/NEFT/027950455361/HDFC0000655/AMITyadav"/>
    <n v="19400"/>
    <m/>
    <n v="4169070.9"/>
    <s v="AMIT YADAV"/>
    <s v="SALARY"/>
    <m/>
    <m/>
    <m/>
    <m/>
    <m/>
    <n v="600"/>
    <x v="24"/>
  </r>
  <r>
    <s v="MMT/IMPS/215821075056/INDERKALIakeshD/PUNB0030310"/>
    <n v="100000"/>
    <m/>
    <n v="4069070.9"/>
    <s v="INDERKALI"/>
    <s v="ADVANCE"/>
    <s v="ADVANCE"/>
    <m/>
    <s v="ADVANCE"/>
    <m/>
    <m/>
    <m/>
    <x v="47"/>
  </r>
  <r>
    <s v="RTGS/ICICR42022060700548198/SBIN0007619/SHIV rajSINGH"/>
    <n v="400000"/>
    <m/>
    <n v="3669070.9"/>
    <s v="SHIV RAJ SINGH"/>
    <s v="REFUND ENTRY"/>
    <m/>
    <m/>
    <m/>
    <s v="REFUND(21/2/22)"/>
    <m/>
    <m/>
    <x v="1"/>
  </r>
  <r>
    <s v="INF/NEFT/027959444131/PUNB0047310/ANITAa53DG"/>
    <n v="200000"/>
    <m/>
    <n v="3469070.9"/>
    <s v="ANITA "/>
    <s v="FROM PLOT NO A56"/>
    <s v="ADVANCE"/>
    <m/>
    <s v="ADVANCE"/>
    <s v="REFUND(21/2/22)"/>
    <m/>
    <s v="REFUND AS ON DATE (21/2/22)"/>
    <x v="1"/>
  </r>
  <r>
    <s v="INF/NEFT/027959457101/HDFC0001022/PAWANkumarsingh"/>
    <n v="200000"/>
    <m/>
    <n v="3269070.9"/>
    <s v="PAWAN KUMAR"/>
    <s v="REFUND ENTRY"/>
    <m/>
    <m/>
    <m/>
    <s v="REFUND(23/2/22)"/>
    <m/>
    <m/>
    <x v="1"/>
  </r>
  <r>
    <s v="INF/INFT/027969746271/LON            /BalajiAssociate"/>
    <n v="300000"/>
    <m/>
    <n v="2969070.9"/>
    <s v="BALAJI ASSOCIATES"/>
    <s v="ADVANCE"/>
    <m/>
    <m/>
    <m/>
    <m/>
    <m/>
    <m/>
    <x v="41"/>
  </r>
  <r>
    <s v="TRFR FROM: SUMAN LATA"/>
    <m/>
    <n v="700000"/>
    <n v="3669070.9"/>
    <s v="SUMAN LATA"/>
    <s v="I F PLOT NO A56"/>
    <s v="REFUND(12/9/21)"/>
    <m/>
    <m/>
    <s v="ADVANCE"/>
    <m/>
    <m/>
    <x v="1"/>
  </r>
  <r>
    <s v="INF/INFT/027990565711/REFUND         /archanaKUMARIa3"/>
    <n v="60000"/>
    <m/>
    <n v="3609070.9"/>
    <s v="ARCHANA KUMARI"/>
    <s v="REFUND ENTRY"/>
    <m/>
    <m/>
    <m/>
    <s v="refund (19/5/22)"/>
    <m/>
    <s v="REFUND AS ON DATE (19/5/22)"/>
    <x v="1"/>
  </r>
  <r>
    <s v="INF/NEFT/027996877711/AIRP0000001/REFUND         /SURATsinghDGB9"/>
    <n v="10000"/>
    <m/>
    <n v="3599070.9"/>
    <s v="SURAT SINGH"/>
    <s v="FROM PLOT NO B10"/>
    <s v="ADVANCE"/>
    <m/>
    <s v="ADVANCE"/>
    <s v="REFUND(17/2/22)"/>
    <m/>
    <m/>
    <x v="1"/>
  </r>
  <r>
    <s v="INF/NEFT/027998527131/UTIB0000095/BOOKING        /UTTAMtoyotaCAR"/>
    <n v="100000"/>
    <m/>
    <n v="3499070.9"/>
    <s v="UTTAM TOYOTA"/>
    <s v="BOOKING CAR"/>
    <s v="BOUNCE(26/7/21)"/>
    <s v="YOGESH TYAGI PERSONAL"/>
    <s v="BOUNCE(26/7/21)"/>
    <s v="CAR"/>
    <s v="EXPENCE"/>
    <m/>
    <x v="43"/>
  </r>
  <r>
    <s v="UPI/216124446309/Pay to account/9058142230@sbi/State Bank Of I/SBIB64C86D4C22D4"/>
    <m/>
    <n v="100000"/>
    <n v="3599070.9"/>
    <s v="JAGAT SINGH"/>
    <s v="I F PLOT NO B15"/>
    <s v="ADVANCE"/>
    <m/>
    <s v="ADVANCE"/>
    <s v="ADVANCE"/>
    <m/>
    <m/>
    <x v="1"/>
  </r>
  <r>
    <s v="NEFT-PUNBH22161559556-PARTAP PANWAR--4039000100179862-PUNB0403900"/>
    <m/>
    <n v="382250"/>
    <n v="3981320.9"/>
    <s v="Partap panwar"/>
    <s v="I F PLOT NO A86"/>
    <m/>
    <m/>
    <m/>
    <s v="REFUND"/>
    <m/>
    <m/>
    <x v="1"/>
  </r>
  <r>
    <s v="UPI/216247734026/NA/75359591@paytm/State Bank Of I/PTMadd424e1ebb4462788cfaedc3"/>
    <m/>
    <n v="10000"/>
    <n v="3991320.9"/>
    <m/>
    <s v="IF OF PLOT NO A56"/>
    <m/>
    <m/>
    <m/>
    <s v="OPEN IN REGISTRY"/>
    <m/>
    <m/>
    <x v="1"/>
  </r>
  <r>
    <s v="UPI/216223753775/Payment from Ph/choudhary585@yb/Punjab National/YBL7cbf480242c"/>
    <m/>
    <n v="1"/>
    <n v="3991321.9"/>
    <s v="JAGAT SINGH"/>
    <s v="I F OF PLOT NO A25"/>
    <s v="BEHALF OF FARMER"/>
    <m/>
    <s v="BEHALF OF FARMER"/>
    <s v="ADVANCE"/>
    <m/>
    <m/>
    <x v="1"/>
  </r>
  <r>
    <s v="INF/INFT/028016451261/ADVANCE        /BalajiAssociate"/>
    <n v="300000"/>
    <m/>
    <n v="3691321.9"/>
    <s v="BALAJI ASSOCIATES"/>
    <s v="ADVANCE"/>
    <s v="ADVANCE"/>
    <m/>
    <s v="ADVANCE"/>
    <m/>
    <m/>
    <m/>
    <x v="41"/>
  </r>
  <r>
    <s v="INF/INFT/028016721491/BalajiAssociate"/>
    <n v="500000"/>
    <m/>
    <n v="3191321.9"/>
    <s v="BALAJI ASSOCIATES"/>
    <s v="ADVANCE"/>
    <s v="ADVANCE"/>
    <m/>
    <s v="ADVANCE"/>
    <m/>
    <m/>
    <m/>
    <x v="41"/>
  </r>
  <r>
    <s v="INF/INFT/028016809861/NIDHIelectronic"/>
    <n v="240000"/>
    <m/>
    <n v="2951321.9"/>
    <s v="NIDHI ELECTRONIC"/>
    <s v="REFUND"/>
    <m/>
    <m/>
    <m/>
    <s v="REFUND(19/5/22)"/>
    <m/>
    <m/>
    <x v="1"/>
  </r>
  <r>
    <s v="UPI/216325121283/Pay to account/9058142230@sbi/State Bank Of I/SBIEBB20B08C7134"/>
    <m/>
    <n v="99999"/>
    <n v="3051320.9"/>
    <s v="JAGAT SINGH"/>
    <s v="I F OF PLOT NO A25"/>
    <s v="BEHALF OF FARMER"/>
    <m/>
    <s v="BEHALF OF FARMER"/>
    <s v="ADVANCE"/>
    <m/>
    <m/>
    <x v="1"/>
  </r>
  <r>
    <s v="INF/NEFT/028021808911/HDFC0004358/rahulCHAUDHARYd"/>
    <n v="29100"/>
    <m/>
    <n v="3022220.9"/>
    <s v="RAHUL CHAUDHARY"/>
    <s v="SALARY"/>
    <m/>
    <m/>
    <m/>
    <m/>
    <m/>
    <n v="900"/>
    <x v="24"/>
  </r>
  <r>
    <s v="INF/NEFT/028021820721/CNRB0002323/goravDG"/>
    <n v="58200"/>
    <m/>
    <n v="2964020.9"/>
    <s v="GORAV "/>
    <s v="SALARY"/>
    <m/>
    <m/>
    <m/>
    <m/>
    <m/>
    <n v="1800"/>
    <x v="25"/>
  </r>
  <r>
    <s v="NEFT-KKBKH22164657938-UTTARANCHAL AUTOMOBILES PRIVATE LIM-PAYMENT-0148208000002"/>
    <m/>
    <n v="100000"/>
    <n v="3064020.9"/>
    <s v="TOYOTA FORTUNER"/>
    <s v="FROM CAR BOOKING"/>
    <s v="ADVANCE"/>
    <s v="YOGESH TYAGI PERSONAL"/>
    <s v="ADVANCE"/>
    <s v="REFUND(22/4/22)"/>
    <s v="EXPENCE"/>
    <m/>
    <x v="43"/>
  </r>
  <r>
    <s v="INF/INFT/028030274161/LON            /BalajiAssociate"/>
    <n v="250000"/>
    <m/>
    <n v="2814020.9"/>
    <s v="BALAJI ASSOCIATES"/>
    <s v="ADVANCE"/>
    <s v="ADVANCE"/>
    <m/>
    <s v="ADVANCE"/>
    <m/>
    <m/>
    <m/>
    <x v="41"/>
  </r>
  <r>
    <s v="INF/INFT/028030365841/LON            /BalajiAssociate"/>
    <n v="1000000"/>
    <m/>
    <n v="1814020.9"/>
    <s v="BALAJI ASSOCIATES"/>
    <s v="ADVANCE"/>
    <s v="ADVANCE"/>
    <m/>
    <s v="ADVANCE"/>
    <m/>
    <m/>
    <m/>
    <x v="41"/>
  </r>
  <r>
    <s v="INF/INFT/028030434561/LON            /BalajiAssociate"/>
    <n v="1000000"/>
    <m/>
    <n v="814020.9"/>
    <s v="BALAJI ASSOCIATES"/>
    <s v="ADVANCE"/>
    <s v="ADVANCE"/>
    <m/>
    <s v="ADVANCE"/>
    <m/>
    <m/>
    <m/>
    <x v="41"/>
  </r>
  <r>
    <s v="UPI/216418424393/difrance gardan/ddnpal@oksbi/State Bank Of I/SBI0b8d92f5d95949"/>
    <m/>
    <n v="10000"/>
    <n v="824020.9"/>
    <s v="DDN PAL"/>
    <s v="I F OF PLOT NO A79"/>
    <m/>
    <m/>
    <m/>
    <s v="ADVANCE"/>
    <m/>
    <m/>
    <x v="1"/>
  </r>
  <r>
    <s v="UPI/216510714540/Payment from Ph/9760008035@axl/Axis Bank Ltd./AXLf3a9531ef2804"/>
    <m/>
    <n v="100"/>
    <n v="824120.9"/>
    <s v="VIKASH VARMA"/>
    <s v="I F OF PLOT NO A81"/>
    <m/>
    <m/>
    <m/>
    <s v="ADVANCE"/>
    <m/>
    <m/>
    <x v="1"/>
  </r>
  <r>
    <s v="MMT/IMPS/216513631622/VIKASHVERM/Axis Bank"/>
    <m/>
    <n v="4900"/>
    <n v="829020.9"/>
    <s v="VIKASH VARMA"/>
    <s v="I F OF PLOT NO A81"/>
    <m/>
    <m/>
    <m/>
    <s v="ADVANCE"/>
    <m/>
    <m/>
    <x v="1"/>
  </r>
  <r>
    <s v="NEFT-PUNBH22165527854-INDERKALI WO JAYPRAKASH--03032191018011-PUNB0030310"/>
    <m/>
    <n v="90000"/>
    <n v="919020.9"/>
    <s v="INDERKALI"/>
    <s v="REFUND"/>
    <m/>
    <m/>
    <m/>
    <m/>
    <m/>
    <m/>
    <x v="47"/>
  </r>
  <r>
    <s v="UPI/216571300916/Payment from Ph/codemike@ybl/State Bank Of I/YBLac351ac31dca47"/>
    <m/>
    <n v="15000"/>
    <n v="934020.9"/>
    <s v="VIKASH VARMA"/>
    <s v="I F OF PLOT NO A81"/>
    <s v="ADVANCE"/>
    <m/>
    <s v="ADVANCE"/>
    <s v="ADVANCE"/>
    <m/>
    <m/>
    <x v="1"/>
  </r>
  <r>
    <s v="RTGS/ICICR42022061400534031/HDFC0001913/POOJA SHARMA"/>
    <n v="250000"/>
    <m/>
    <n v="684020.9"/>
    <s v="POOJA SHARMA"/>
    <s v="FROM PLOT NO A16"/>
    <s v="ADVANCE"/>
    <m/>
    <s v="ADVANCE"/>
    <s v="REFUND(2/8/22)"/>
    <m/>
    <m/>
    <x v="1"/>
  </r>
  <r>
    <s v="CLG/AVINASH TYAGI/878597/PNB/11.06.2022"/>
    <m/>
    <n v="300000"/>
    <n v="984020.9"/>
    <s v="AVINASH TYAGI"/>
    <s v="I F OF PLOT NO A73"/>
    <s v="BOUNCE"/>
    <m/>
    <s v="BOUNCE"/>
    <s v="REFUND(26/9/22)"/>
    <m/>
    <s v="REFUND 26/9/22)"/>
    <x v="1"/>
  </r>
  <r>
    <s v="CLG/INUSH ALI/437450/PNB/11.06.2022"/>
    <m/>
    <n v="281000"/>
    <n v="1265020.8999999999"/>
    <s v="INUSH ALI"/>
    <s v="FROM FARMER PAYMENT"/>
    <s v="ADVANCE"/>
    <m/>
    <s v="ADVANCE"/>
    <m/>
    <m/>
    <m/>
    <x v="7"/>
  </r>
  <r>
    <s v="RTGS/ICICR42022061600523279/SBIN0001074/SATVEER SINGH"/>
    <n v="300000"/>
    <m/>
    <n v="965020.9"/>
    <s v="SATVEER SINGH"/>
    <s v="FROM PLOT A71"/>
    <s v="ADVANCE"/>
    <m/>
    <s v="ADVANCE"/>
    <s v="REFUND(14/9/21)"/>
    <m/>
    <m/>
    <x v="1"/>
  </r>
  <r>
    <s v="CLG/RAJEEV KUMAR/820390/SBI/17.06.2022"/>
    <m/>
    <n v="250000"/>
    <n v="1215020.8999999999"/>
    <s v="RAJEEV KUMAR"/>
    <s v="I F OF PLOT NO B47"/>
    <s v="ADVANCE"/>
    <m/>
    <s v="ADVANCE"/>
    <s v="ADVANCE"/>
    <m/>
    <m/>
    <x v="1"/>
  </r>
  <r>
    <s v="CLG/DN PAUL/786506/SBI/16.06.2022"/>
    <m/>
    <n v="490000"/>
    <n v="1705020.9"/>
    <s v="DN PAUL"/>
    <s v="I F OF PLOT NO A79"/>
    <m/>
    <m/>
    <m/>
    <s v="ADVANCE"/>
    <m/>
    <m/>
    <x v="1"/>
  </r>
  <r>
    <s v="INF/INFT/028163262981/LOAN           /BalajiAssociate"/>
    <n v="500000"/>
    <m/>
    <n v="1205020.8999999999"/>
    <s v="BALAJI ASSOCIATES"/>
    <s v="ADVANCE"/>
    <s v="ADVANCE"/>
    <m/>
    <s v="ADVANCE"/>
    <m/>
    <m/>
    <m/>
    <x v="41"/>
  </r>
  <r>
    <s v="RTGS/ICICR42022062200510278/SBIN0004215/OMINDRA KUMAR"/>
    <n v="334000"/>
    <m/>
    <n v="871020.9"/>
    <s v="OMINDRA KUMAR"/>
    <s v="FROM PLOT NO A84"/>
    <s v="BOUNCE"/>
    <m/>
    <s v="BOUNCE"/>
    <s v="REFUND(8/9,14/9,30/9,1/10,4/10,26/11/21)"/>
    <m/>
    <m/>
    <x v="1"/>
  </r>
  <r>
    <s v="INF/INFT/028189330081/Balajiassociate/BalajiAssociate"/>
    <n v="500000"/>
    <m/>
    <n v="371020.9"/>
    <s v="BALAJI ASSOCIATES"/>
    <s v="ADVANCE"/>
    <s v="ADVANCE"/>
    <m/>
    <s v="ADVANCE"/>
    <m/>
    <m/>
    <m/>
    <x v="41"/>
  </r>
  <r>
    <s v="INF/INFT/028196917971/Balajiassociate/BalajiAssociate"/>
    <n v="200000"/>
    <m/>
    <n v="171020.9"/>
    <s v="BALAJI ASSOCIATES"/>
    <s v="ADVANCE"/>
    <s v="ADVANCE"/>
    <m/>
    <s v="ADVANCE"/>
    <m/>
    <m/>
    <m/>
    <x v="41"/>
  </r>
  <r>
    <s v="CLG/SHALAU DIN/491728/PNB/22.06.2022"/>
    <m/>
    <n v="71000"/>
    <n v="242020.9"/>
    <s v="SHALAU DIN"/>
    <s v="FROM FARMER PAYMENT"/>
    <s v="REFUND(19/8/21)"/>
    <m/>
    <s v="REFUND(19/8/21)"/>
    <m/>
    <m/>
    <m/>
    <x v="7"/>
  </r>
  <r>
    <s v="CLG/INUSH ALI/437457/PNB/22.06.2022"/>
    <m/>
    <n v="134000"/>
    <n v="376020.9"/>
    <s v="INUSH ALI"/>
    <s v="FROM FARMER PAYMENT"/>
    <s v="ADVANCE"/>
    <m/>
    <s v="ADVANCE"/>
    <m/>
    <m/>
    <m/>
    <x v="7"/>
  </r>
  <r>
    <s v="TRFR FROM: SUMAN  LATA"/>
    <m/>
    <n v="400000"/>
    <n v="776020.9"/>
    <s v="SUMAN LATA"/>
    <s v="I F OF PLOT NO A74"/>
    <s v="ADVANCE"/>
    <m/>
    <s v="ADVANCE"/>
    <s v="ADVANCE"/>
    <m/>
    <m/>
    <x v="1"/>
  </r>
  <r>
    <s v="RTGS/ICICR42022062700512826/SBIN0007619/SHIV rajSINGH"/>
    <n v="400000"/>
    <m/>
    <n v="376020.9"/>
    <s v="SHIV RAJ SINGH"/>
    <s v="REFUND ENTRY"/>
    <m/>
    <m/>
    <m/>
    <s v="REFUND(21/2/22)"/>
    <m/>
    <m/>
    <x v="1"/>
  </r>
  <r>
    <s v="NEFT-N179222014728920-AMIT YADAV-AMOUNT TRANSFER-06551930006525-HDFC0000001"/>
    <m/>
    <n v="50000"/>
    <n v="426020.9"/>
    <s v="AMIT YADAV"/>
    <s v="I F OF YOGESH TYAGI CAPITAL"/>
    <s v="BEHALF OF FARMER"/>
    <m/>
    <s v="BEHALF OF FARMER"/>
    <s v="ADVANCE"/>
    <m/>
    <s v="REFUND (8/6/23)"/>
    <x v="48"/>
  </r>
  <r>
    <s v="BIL/INFT/000431143789/Shri ganesh ass/ YOGESH  TYAGI"/>
    <m/>
    <n v="450000"/>
    <n v="876020.9"/>
    <s v="YOGESH TYAGI"/>
    <s v="I F OF YOGESH TYAGI CAPITAL"/>
    <s v="BEHALF OF FARMER"/>
    <m/>
    <s v="BEHALF OF FARMER"/>
    <s v="REFUND"/>
    <m/>
    <m/>
    <x v="3"/>
  </r>
  <r>
    <s v="CLG/INUSH ALI/437456/PNB/20.06.2022"/>
    <m/>
    <n v="220000"/>
    <n v="1096020.8999999999"/>
    <s v="INUSH ALI"/>
    <s v="FROM FARMER PAYMENT"/>
    <s v="REFUND"/>
    <s v="REFUND (2/9/21)"/>
    <s v="REFUND"/>
    <s v="REFUND (2/9/21)"/>
    <m/>
    <m/>
    <x v="7"/>
  </r>
  <r>
    <s v="CLG/SURENDER SINGH/998648/SBI/27.06.2022"/>
    <m/>
    <n v="22500"/>
    <n v="1118520.8999999999"/>
    <s v="SURENDRA SINGH"/>
    <s v="I F OF PLOT B35"/>
    <s v="BEHALF OF FARMER"/>
    <m/>
    <s v="BEHALF OF FARMER"/>
    <s v="ADVANCE"/>
    <m/>
    <s v="REFUND(4/4/23)"/>
    <x v="1"/>
  </r>
  <r>
    <s v="CLG/SAAKSHI DHAMA/649751/PNB/27.06.2022"/>
    <m/>
    <n v="110000"/>
    <n v="1228520.8999999999"/>
    <s v="SAAKSHI SINGH"/>
    <s v="I F OF PLOT B35"/>
    <s v="ADVANCE"/>
    <m/>
    <s v="ADVANCE"/>
    <s v="REFUND(20/12/22)"/>
    <m/>
    <m/>
    <x v="1"/>
  </r>
  <r>
    <s v="TRFR FROM: SUMAN  LATA"/>
    <m/>
    <n v="1000000"/>
    <n v="2228520.9"/>
    <s v="SUMAN LATA"/>
    <s v="I F OF YOGESH TYAGI CAPITAL"/>
    <s v="ADVANCE"/>
    <m/>
    <s v="ADVANCE"/>
    <s v="ADVANCE"/>
    <m/>
    <m/>
    <x v="49"/>
  </r>
  <r>
    <s v="RTGS:ICICR52022062900342234/UTIB0000095/UTTAM TOYOTA"/>
    <n v="1500000"/>
    <m/>
    <n v="728520.9"/>
    <s v="UTTAM TOYOTA"/>
    <s v="CAR BOOKING"/>
    <s v="BEHALF OF FARMER"/>
    <s v="YOGESH TYAGI PERSONAL"/>
    <s v="BEHALF OF FARMER"/>
    <s v="CAR"/>
    <s v="EXPENCE"/>
    <m/>
    <x v="43"/>
  </r>
  <r>
    <s v="RTGS-HDFCR52022063078889773-AMIT YADAV-06551930006525  -HDFC0000240"/>
    <m/>
    <n v="200000"/>
    <n v="928520.9"/>
    <s v="AMIT YADAV"/>
    <s v="I F OF YOGESH TYAGI CAPITAL"/>
    <s v="ADVANCE"/>
    <m/>
    <s v="ADVANCE"/>
    <s v="ADVANCE"/>
    <m/>
    <s v="REFUND (16/11/22)&amp; (8/6/23)"/>
    <x v="48"/>
  </r>
  <r>
    <s v="RTGS-HDFCR52022063078909587-AMIT YADAV-06551930006525  -HDFC0000240"/>
    <m/>
    <n v="250000"/>
    <n v="1178520.8999999999"/>
    <s v="AMIT YADAV"/>
    <s v="I F OF YOGESH TYAGI CAPITAL"/>
    <s v="ADVANCE"/>
    <m/>
    <s v="ADVANCE"/>
    <s v="ADVANCE"/>
    <m/>
    <s v="REFUND (8/6/23)"/>
    <x v="48"/>
  </r>
  <r>
    <s v="CLG/AASHU TYAGI/770762/PNB/26.06.2022"/>
    <m/>
    <n v="550000"/>
    <n v="1728520.9"/>
    <s v="AASHU TYAGI"/>
    <s v="I F OF YOGESH TYAGI CAPITAL"/>
    <m/>
    <m/>
    <m/>
    <s v="BOUNCE"/>
    <m/>
    <s v="BOUNS"/>
    <x v="6"/>
  </r>
  <r>
    <s v="REJECT:770762:OTHER REASONS - CONNECTIVITY FAILURE"/>
    <n v="550000"/>
    <m/>
    <n v="1178520.8999999999"/>
    <s v="AASHU TYAGI"/>
    <s v="FROM YOGESH TYAGI CAPITAL"/>
    <s v="ADVANCE"/>
    <m/>
    <s v="ADVANCE"/>
    <s v="BOUNCE"/>
    <m/>
    <s v="BOUNS"/>
    <x v="6"/>
  </r>
  <r>
    <s v="CLG/AASHU TYAGI/770762/PNB/26.06.2022"/>
    <m/>
    <n v="550000"/>
    <n v="1728520.9"/>
    <s v="AASHU TYAGI"/>
    <s v="I F OF YOGESH TYAGI CAPITAL"/>
    <s v="ADVANCE"/>
    <m/>
    <s v="ADVANCE"/>
    <s v="ADVANCE"/>
    <m/>
    <s v="REFUND ( 06/5/23)"/>
    <x v="6"/>
  </r>
  <r>
    <s v="MMT/IMPS/218514231674/REFUND PAYMENT/MUKESHtoma/SBIN0002292"/>
    <n v="192500"/>
    <m/>
    <n v="1536020.9"/>
    <s v="MUKESH TOMAR"/>
    <s v="FROM PLOT NO B35"/>
    <s v="ADVANCE"/>
    <m/>
    <s v="ADVANCE"/>
    <s v="REFUND(20/9/21,24/9/21)"/>
    <m/>
    <m/>
    <x v="1"/>
  </r>
  <r>
    <s v="MMT/IMPS/218518655155/VIKASHVERM/Axis Bank"/>
    <m/>
    <n v="10000"/>
    <n v="1546020.9"/>
    <s v="VIKASH VARMA"/>
    <s v="I F OF PLOT NO A56"/>
    <s v="BEHALF OF FARMER"/>
    <m/>
    <s v="BEHALF OF FARMER"/>
    <s v="ADVANCE"/>
    <m/>
    <m/>
    <x v="1"/>
  </r>
  <r>
    <s v="INF/NEFT/028365913291/HDFC0000655/SALARY         /AMITyadav"/>
    <n v="20200"/>
    <m/>
    <n v="1525820.9"/>
    <s v="AMIT YADAV"/>
    <s v="SALARY"/>
    <m/>
    <m/>
    <m/>
    <m/>
    <m/>
    <m/>
    <x v="24"/>
  </r>
  <r>
    <s v="INF/NEFT/028365948061/PUNB0072900/SALARY         /MANISHsagarDG"/>
    <n v="20400"/>
    <m/>
    <n v="1505420.9"/>
    <s v="MANISH SAGAR"/>
    <s v="SALARY"/>
    <m/>
    <m/>
    <m/>
    <m/>
    <m/>
    <m/>
    <x v="24"/>
  </r>
  <r>
    <s v="MMT/IMPS/218617408845/SALARY/rahulCHAUD/HDFC0004358"/>
    <n v="29700"/>
    <m/>
    <n v="1475720.9"/>
    <s v="RAHUL CHAUDHARY"/>
    <s v="SALARY"/>
    <m/>
    <m/>
    <m/>
    <m/>
    <m/>
    <n v="300"/>
    <x v="24"/>
  </r>
  <r>
    <s v="CLG/SAPNA SANGAL/008204/UBI/30.06.2022"/>
    <m/>
    <n v="439800"/>
    <n v="1915520.9"/>
    <s v="SAPNA SANGAL"/>
    <s v="I F OF PLOT NO A12"/>
    <s v="ADVANCE"/>
    <m/>
    <s v="ADVANCE"/>
    <s v="REFUND"/>
    <m/>
    <m/>
    <x v="1"/>
  </r>
  <r>
    <s v="BIL/INFT/000438889866/Shri ganesh ass/ YOGESH  TYAGI"/>
    <m/>
    <n v="200000"/>
    <n v="2115520.9"/>
    <s v="SHRI GANESH ASSOCIATES"/>
    <s v="I F OF YOGESH TYAGI CAPITAL"/>
    <s v="ADVANCE"/>
    <m/>
    <s v="ADVANCE"/>
    <s v="REFUND"/>
    <m/>
    <m/>
    <x v="11"/>
  </r>
  <r>
    <s v="BIL/INFT/000438902681/NA/ AASHU TYAGI"/>
    <m/>
    <n v="300000"/>
    <n v="2415520.9"/>
    <s v="AASHU TYAGI"/>
    <s v="I F OF YOGESH TYAGI CAPITAL"/>
    <m/>
    <m/>
    <m/>
    <s v="ADVANCE"/>
    <m/>
    <s v="ADVANCE (50000 REFUND 6/5//23)"/>
    <x v="6"/>
  </r>
  <r>
    <s v="RTGS/ICICR42022070600542871/UTIB0000095/UTTAM TOYOTA"/>
    <n v="1000000"/>
    <m/>
    <n v="1415520.9"/>
    <s v="UTTAM TOYOTA"/>
    <s v="CAR BOOKING"/>
    <m/>
    <s v="YOGESH TYAGI PERSONAL"/>
    <m/>
    <s v="CAR"/>
    <s v="EXPENCE"/>
    <m/>
    <x v="43"/>
  </r>
  <r>
    <s v="RTGS/ICICR42022070600542944/UTIB0000095/UTTAM TOYOTA"/>
    <n v="1000000"/>
    <m/>
    <n v="415520.9"/>
    <s v="UTTAM TOYOTA"/>
    <s v="CAR BOOKING"/>
    <s v="ADVANCE"/>
    <s v="YOGESH TYAGI PERSONAL"/>
    <s v="ADVANCE"/>
    <s v="CAR"/>
    <s v="EXPENCE"/>
    <m/>
    <x v="43"/>
  </r>
  <r>
    <s v="RTGS-PUNBR52022070714300991-KASAM ALI  SO RUSTAM-02662010019640-PUNB0026610"/>
    <m/>
    <n v="500000"/>
    <n v="915520.9"/>
    <s v="KASAM ALI"/>
    <s v="FROM FARMER PAYMENT"/>
    <s v="ADVANCE"/>
    <m/>
    <s v="ADVANCE"/>
    <m/>
    <m/>
    <m/>
    <x v="7"/>
  </r>
  <r>
    <s v="RTGS/ICICR42022070700529880/UTIB0000095/UTTAM TOYOTA"/>
    <n v="750000"/>
    <m/>
    <n v="165520.9"/>
    <s v="UTTAM TOYOTA"/>
    <s v="CAR BOOKING"/>
    <m/>
    <s v="YOGESH TYAGI PERSONAL"/>
    <m/>
    <s v="CAR"/>
    <s v="EXPENCE"/>
    <m/>
    <x v="43"/>
  </r>
  <r>
    <s v="INF/INFT/028426574241/REFUND         /BALAJI ASSOCIAT"/>
    <m/>
    <n v="700000"/>
    <n v="865520.9"/>
    <s v="BALAJI ASSOCIATES"/>
    <s v="REFUND ENTRY"/>
    <m/>
    <m/>
    <m/>
    <m/>
    <m/>
    <m/>
    <x v="41"/>
  </r>
  <r>
    <s v="RTGS/ICICR42022070700542034/HDFC0004216/NARESH KUMAR"/>
    <n v="440000"/>
    <m/>
    <n v="425520.9"/>
    <s v="NARESH KUMAR"/>
    <s v="FROM PLOT NO  A10"/>
    <s v="ADVANCE"/>
    <m/>
    <s v="ADVANCE"/>
    <s v="REFUND(26/8/21,20/9/21,13/12/21)"/>
    <m/>
    <m/>
    <x v="1"/>
  </r>
  <r>
    <s v="RTGS/ICICR42022070700542198/SBIN0020075/ANURADHASHARMA"/>
    <n v="300000"/>
    <m/>
    <n v="125520.9"/>
    <s v="ANURADHA SHARMA"/>
    <s v="FROM PLOT NO  A10"/>
    <s v="ADVANCE"/>
    <m/>
    <s v="ADVANCE"/>
    <s v="REFUND(23/11/21,13/12/21)"/>
    <m/>
    <s v="REFUND AS ON DATE (23/11/21,  13/12/21)"/>
    <x v="1"/>
  </r>
  <r>
    <s v="INF/INFT/028439849161/REFUND         /BALAJI ASSOCIAT"/>
    <m/>
    <n v="50000"/>
    <n v="175520.9"/>
    <s v="BALAJI ASSOCIATES"/>
    <s v="REFUND ENTRY"/>
    <m/>
    <m/>
    <m/>
    <m/>
    <m/>
    <m/>
    <x v="41"/>
  </r>
  <r>
    <s v="BIL/ONL/000440342474/TVS Insura/CAR BOOKING"/>
    <n v="131590"/>
    <m/>
    <n v="43930.9"/>
    <s v="UTTAM TOYOTA"/>
    <s v="CAR BOOKING"/>
    <s v="ADVANCE"/>
    <s v="YOGESH TYAGI PERSONAL"/>
    <s v="ADVANCE"/>
    <s v="CAR"/>
    <s v="EXPENCE"/>
    <m/>
    <x v="43"/>
  </r>
  <r>
    <s v="INF/INFT/028466968731/refund         /BALAJI ASSOCIAT"/>
    <m/>
    <n v="2000000"/>
    <n v="2043930.9"/>
    <s v="BALAJI ASSOCIATES"/>
    <s v="REFUND"/>
    <m/>
    <m/>
    <m/>
    <m/>
    <m/>
    <m/>
    <x v="41"/>
  </r>
  <r>
    <s v="INF/INFT/028467018851/refund         /yogrshTYAGIdg"/>
    <n v="1000000"/>
    <m/>
    <n v="1043930.9"/>
    <s v="YOGESH TYAGI"/>
    <s v="REFUND GORHNI"/>
    <m/>
    <m/>
    <m/>
    <s v="REFUND"/>
    <m/>
    <m/>
    <x v="3"/>
  </r>
  <r>
    <s v="INF/INFT/028467993111/refund         /kuldeepicici"/>
    <n v="1000000"/>
    <m/>
    <n v="43930.9"/>
    <s v="KULDEEP TOMAR"/>
    <s v="REFUND"/>
    <m/>
    <m/>
    <m/>
    <m/>
    <m/>
    <m/>
    <x v="0"/>
  </r>
  <r>
    <s v="INF/INFT/028468179411/refund         /BALAJI ASSOCIAT"/>
    <m/>
    <n v="800000"/>
    <n v="843930.9"/>
    <s v="BALAJI ASSOCIATES"/>
    <s v="REFUND"/>
    <m/>
    <m/>
    <m/>
    <m/>
    <m/>
    <m/>
    <x v="41"/>
  </r>
  <r>
    <s v="INF/INFT/028468424441/refund         /yogrshTYAGIdg"/>
    <n v="300000"/>
    <m/>
    <n v="543930.9"/>
    <s v="YOGESH TYAGI"/>
    <s v="REFUND GORHNI"/>
    <m/>
    <m/>
    <m/>
    <m/>
    <m/>
    <m/>
    <x v="3"/>
  </r>
  <r>
    <s v="INF/INFT/028470915721/refund         /BALAJI ASSOCIAT"/>
    <m/>
    <n v="1000000"/>
    <n v="1543930.9"/>
    <s v="BALAJI ASSOCIATES"/>
    <s v="REFUND"/>
    <m/>
    <m/>
    <m/>
    <m/>
    <m/>
    <m/>
    <x v="41"/>
  </r>
  <r>
    <s v="INF/INFT/028470973141/ADVANCE        /kuldeepicici"/>
    <n v="1000000"/>
    <m/>
    <n v="543930.9"/>
    <s v="KULDEEP TOMAR"/>
    <s v="ADVANCE"/>
    <m/>
    <m/>
    <m/>
    <m/>
    <m/>
    <m/>
    <x v="0"/>
  </r>
  <r>
    <s v="INF/INFT/028471232061/ADVANCE        /RAULnermalDG"/>
    <n v="66000"/>
    <m/>
    <n v="477930.9"/>
    <s v="Rahul tomar"/>
    <s v="ADVANCE"/>
    <s v="ADVANCE"/>
    <m/>
    <s v="ADVANCE"/>
    <m/>
    <m/>
    <m/>
    <x v="8"/>
  </r>
  <r>
    <s v="INF/INFT/028473115211/ADVANCE        /yogrshTYAGIdg"/>
    <n v="305000"/>
    <m/>
    <n v="172930.9"/>
    <s v="YOGESH TYAGI"/>
    <s v="REFUND GORHNI"/>
    <m/>
    <m/>
    <m/>
    <m/>
    <m/>
    <m/>
    <x v="3"/>
  </r>
  <r>
    <s v="BIL/INFT/000443223103/Family/ MOHIT KUMAR"/>
    <m/>
    <n v="1"/>
    <n v="172931.9"/>
    <s v="MOHIT KUMAR"/>
    <s v="I F OF PLOT NO A142"/>
    <s v="BOUNCE"/>
    <m/>
    <s v="BOUNCE"/>
    <s v="ADVANCE"/>
    <m/>
    <m/>
    <x v="1"/>
  </r>
  <r>
    <s v="BIL/INFT/000443225920/NA/ MOHIT KUMAR"/>
    <m/>
    <n v="450000"/>
    <n v="622931.9"/>
    <s v="MOHIT KUMAR"/>
    <s v="I F OF PLOT NO A142"/>
    <s v="ADVANCE"/>
    <m/>
    <s v="ADVANCE"/>
    <s v="ADVANCE"/>
    <m/>
    <m/>
    <x v="1"/>
  </r>
  <r>
    <s v="INF/INFT/028490337371/advance        /BalajiAssociate"/>
    <n v="200000"/>
    <m/>
    <n v="422931.9"/>
    <s v="BALAJI ASSOCIATES"/>
    <s v="ADVANCE"/>
    <s v="ADVANCE"/>
    <m/>
    <s v="ADVANCE"/>
    <m/>
    <m/>
    <m/>
    <x v="41"/>
  </r>
  <r>
    <s v="MMT/IMPS/219421474672/REFUND PAYMENT/SATYABEERs/SBIN0001708"/>
    <n v="100000"/>
    <m/>
    <n v="322931.90000000002"/>
    <s v="SATYABEER"/>
    <s v="FROM PLOT NO A51"/>
    <s v="ADVANCE"/>
    <m/>
    <s v="ADVANCE"/>
    <s v="REFUND(11/4/22)"/>
    <m/>
    <m/>
    <x v="1"/>
  </r>
  <r>
    <s v="CLG/SHALAU DIN/136431/PNB/12.07.2022"/>
    <m/>
    <n v="134000"/>
    <n v="456931.9"/>
    <s v="SHALAU DIN"/>
    <s v="FROM FARMER PAYMENT"/>
    <s v="ADVANCE"/>
    <m/>
    <s v="ADVANCE"/>
    <m/>
    <m/>
    <m/>
    <x v="7"/>
  </r>
  <r>
    <s v="MMT/IMPS/219514479092/RAVIKUMAR2/Axis Bank"/>
    <m/>
    <n v="67889"/>
    <n v="524820.9"/>
    <s v="RAVI KUMAR"/>
    <s v="I F OF PLOT NO A144 "/>
    <s v="BEHALF OF FARMER"/>
    <m/>
    <s v="BEHALF OF FARMER"/>
    <s v="ADVANCE"/>
    <m/>
    <m/>
    <x v="1"/>
  </r>
  <r>
    <s v="CLG/SHALAU DIN/136432/PNB/13.07.2022"/>
    <m/>
    <n v="270000"/>
    <n v="794820.9"/>
    <s v="SHALAU DIN"/>
    <s v="FROM FARMER PAYMENT"/>
    <s v="ADVANCE"/>
    <m/>
    <s v="ADVANCE"/>
    <m/>
    <m/>
    <m/>
    <x v="7"/>
  </r>
  <r>
    <s v="MMT/IMPS/220116561683/SALARY/AMITyadav /HDFC0000655"/>
    <n v="30000"/>
    <m/>
    <n v="764820.9"/>
    <s v="AMIT YADAV"/>
    <s v="SALARY"/>
    <m/>
    <m/>
    <m/>
    <m/>
    <m/>
    <m/>
    <x v="24"/>
  </r>
  <r>
    <s v="MMT/IMPS/220217619785/SALARY/MANISHsaga/PUNB0072900"/>
    <n v="10000"/>
    <m/>
    <n v="754820.9"/>
    <s v="MANISH SAGAR"/>
    <s v="SALARY"/>
    <m/>
    <m/>
    <m/>
    <m/>
    <m/>
    <m/>
    <x v="24"/>
  </r>
  <r>
    <s v="INF/INFT/028658991421/refund         /yogrshTYAGIdg"/>
    <n v="50000"/>
    <m/>
    <n v="704820.9"/>
    <s v="YOGESH TYAGI"/>
    <s v="I F OF YOGESH TYAGI CAPITAL"/>
    <m/>
    <m/>
    <m/>
    <s v="REFUND"/>
    <m/>
    <m/>
    <x v="3"/>
  </r>
  <r>
    <s v="MMT/IMPS/221111118780/SALARY/ARUNbhiDG /SBIN0016608"/>
    <n v="30000"/>
    <m/>
    <n v="674820.9"/>
    <s v="ARUN CHAUDHARY"/>
    <s v="SALARY"/>
    <m/>
    <m/>
    <m/>
    <m/>
    <m/>
    <m/>
    <x v="24"/>
  </r>
  <r>
    <s v="CLG/ANUJ SO/987553/PNB/28.07.2022"/>
    <m/>
    <n v="560000"/>
    <n v="1234820.8999999999"/>
    <s v="ANUJ KUMAR"/>
    <s v="I F OF PLOT NO A49"/>
    <m/>
    <m/>
    <m/>
    <s v="OPEN IN REGISTRY "/>
    <m/>
    <s v="REGISTRY DONE"/>
    <x v="1"/>
  </r>
  <r>
    <s v="RTGS/ICICR42022080600525608/SBIN0000733/JITENDRAKUMAR"/>
    <n v="500000"/>
    <m/>
    <n v="734820.9"/>
    <s v="JITENDAR KUMAR"/>
    <s v="FROM PLOT NO A42"/>
    <m/>
    <m/>
    <m/>
    <s v="REFUND(16/8/21,8/9/21,7/12/21)"/>
    <m/>
    <m/>
    <x v="1"/>
  </r>
  <r>
    <s v="MMT/IMPS/222120242881/SALARY/rahulCHAUD/HDFC0004358"/>
    <n v="29700"/>
    <m/>
    <n v="705120.9"/>
    <s v="RAHUL CHAUDHARY"/>
    <s v="SALARY"/>
    <m/>
    <m/>
    <m/>
    <m/>
    <m/>
    <n v="300"/>
    <x v="24"/>
  </r>
  <r>
    <s v="MMT/IMPS/222120248730/SALARY/goravDG   /CNRB0002323"/>
    <n v="59400"/>
    <m/>
    <n v="645720.9"/>
    <s v="GORAV "/>
    <s v="SALARY"/>
    <m/>
    <m/>
    <m/>
    <m/>
    <m/>
    <n v="600"/>
    <x v="25"/>
  </r>
  <r>
    <s v="CLG/VINOD KUAMR/664368/SBI/09.08.2022"/>
    <m/>
    <n v="400000"/>
    <n v="1045720.9"/>
    <s v="VINOD KUMAR"/>
    <s v="IF OF PLOT NO A101"/>
    <m/>
    <m/>
    <m/>
    <s v="OPEN IN REGISTRY "/>
    <m/>
    <m/>
    <x v="1"/>
  </r>
  <r>
    <s v="RTGS-CNRBR52022081688012315-PHOOL SINGH-87772200074760-CNRB0019448"/>
    <m/>
    <n v="560000"/>
    <n v="1605720.9"/>
    <s v="PHOOL SINGH"/>
    <s v="I F OF PLOT NO A70"/>
    <m/>
    <m/>
    <m/>
    <s v="OPEN IN REGISTRY "/>
    <m/>
    <m/>
    <x v="1"/>
  </r>
  <r>
    <s v="INF/INFT/029025663441/ADVANCE        /BalajiAssociate"/>
    <n v="1000000"/>
    <m/>
    <n v="605720.9"/>
    <s v="BALAJI ASSOCIATES"/>
    <s v="ADVANCE"/>
    <m/>
    <m/>
    <m/>
    <m/>
    <m/>
    <m/>
    <x v="41"/>
  </r>
  <r>
    <s v="CLG/SIYANAND SHARMA/292129/SBI/17.08.2022"/>
    <m/>
    <n v="240000"/>
    <n v="845720.9"/>
    <s v="SIYANAND SHARMA"/>
    <s v="IF OF PLOT NO A29"/>
    <m/>
    <m/>
    <m/>
    <s v="ADVANCE"/>
    <m/>
    <m/>
    <x v="1"/>
  </r>
  <r>
    <s v="RTGS-SBINR52022082400854564-PAL SINGH-11687533989-SBIN0006396"/>
    <m/>
    <n v="560000"/>
    <n v="1405720.9"/>
    <s v="PAL SINGH"/>
    <s v="I F OF PLOT NO A56"/>
    <m/>
    <m/>
    <m/>
    <s v="BOUNCE"/>
    <m/>
    <m/>
    <x v="1"/>
  </r>
  <r>
    <s v="CLG/PRADEEP VERMA/199512/SBI/22.08.2022"/>
    <m/>
    <n v="560000"/>
    <n v="1965720.9"/>
    <s v="PRADEEP VERMA"/>
    <s v="I F OF PLOT NO A55"/>
    <m/>
    <m/>
    <m/>
    <s v="OPEN IN REGISTRY "/>
    <m/>
    <m/>
    <x v="1"/>
  </r>
  <r>
    <s v="CLG/PALSINGH/819614/SBI/22.08.2022"/>
    <m/>
    <n v="560000"/>
    <n v="2525720.9"/>
    <s v="PAL SINGH"/>
    <s v="I F OF PLOT NO A56"/>
    <m/>
    <m/>
    <m/>
    <s v="OPEN IN REGISTRY "/>
    <m/>
    <m/>
    <x v="1"/>
  </r>
  <r>
    <s v="REJECT:819614:DRAWERS SIGNATURE DIFFERS"/>
    <n v="560000"/>
    <m/>
    <n v="1965720.9"/>
    <s v="PAL SINGH"/>
    <s v="FROM PLOT NO A56"/>
    <m/>
    <m/>
    <m/>
    <s v="BOUNCE"/>
    <m/>
    <m/>
    <x v="1"/>
  </r>
  <r>
    <s v="RTGS/ICICR42022082600528823/PUNB0SUPGB5/SHYAM SINGH CHAUHAN"/>
    <n v="794000"/>
    <m/>
    <n v="1171720.8999999999"/>
    <s v="SHYAM SINGH CHOUHAN"/>
    <s v="FROM PLOT NO A87"/>
    <m/>
    <m/>
    <m/>
    <s v="REFUND(25/8/21)"/>
    <m/>
    <m/>
    <x v="1"/>
  </r>
  <r>
    <s v="MMT/IMPS/223919208336/REFUND/SATVEERsin/SBIN0001074"/>
    <n v="100000"/>
    <m/>
    <n v="1071720.8999999999"/>
    <s v="SATVEER SINGH"/>
    <s v="FROM SHOP NO S12"/>
    <m/>
    <m/>
    <m/>
    <s v="REFUND(27/8/22)"/>
    <m/>
    <m/>
    <x v="1"/>
  </r>
  <r>
    <s v="RTGS/ICICR42022082800501132/PUNB0403900/PRITI PANWAR"/>
    <n v="600000"/>
    <m/>
    <n v="471720.9"/>
    <s v="PRITI PANWAR"/>
    <s v="FROM PLOT NO A29"/>
    <m/>
    <m/>
    <m/>
    <s v="REFUND(21/12/22,22/12/22)"/>
    <m/>
    <m/>
    <x v="1"/>
  </r>
  <r>
    <s v="CLG/SHALAU DIN/136436/PNB/27.08.2022"/>
    <m/>
    <n v="423000"/>
    <n v="894720.9"/>
    <s v="SHALAU DIN"/>
    <s v="FROM FARMAR PAYMENTS"/>
    <s v="BANK DONE"/>
    <m/>
    <s v="BANK DONE"/>
    <m/>
    <m/>
    <m/>
    <x v="7"/>
  </r>
  <r>
    <s v="MMT/IMPS/224510090679/SALARY/MANISHsaga/PUNB0072900"/>
    <n v="19800"/>
    <m/>
    <n v="874920.9"/>
    <s v="MANISH SAGAR"/>
    <s v="SALARY"/>
    <m/>
    <m/>
    <m/>
    <m/>
    <m/>
    <m/>
    <x v="24"/>
  </r>
  <r>
    <s v="MMT/IMPS/224511098100/SALARY/AMITyadav /HDFC0000655"/>
    <n v="29700"/>
    <m/>
    <n v="845220.9"/>
    <s v="AMIT YADAV"/>
    <s v="SALARY"/>
    <m/>
    <m/>
    <m/>
    <m/>
    <m/>
    <n v="300"/>
    <x v="24"/>
  </r>
  <r>
    <s v="INF/INFT/029187340511/ADVANCE        /D G ASSOCIATES"/>
    <m/>
    <n v="2000000"/>
    <n v="2845220.9"/>
    <s v="DG ASSOCIATES"/>
    <s v="LOAN"/>
    <m/>
    <m/>
    <m/>
    <m/>
    <m/>
    <m/>
    <x v="50"/>
  </r>
  <r>
    <s v="RTGS/ICICR42022090200511663/PUNB0026610/kasam alo"/>
    <n v="1000000"/>
    <m/>
    <n v="1845220.9"/>
    <s v="KASAM ALI"/>
    <s v="FARMAR PAYMENT"/>
    <m/>
    <m/>
    <m/>
    <m/>
    <m/>
    <m/>
    <x v="7"/>
  </r>
  <r>
    <s v="RTGS/ICICR42022090200512134/PUNB0026610/kasam alo"/>
    <n v="500000"/>
    <m/>
    <n v="1345220.9"/>
    <s v="KASAM ALI"/>
    <s v="FARMAR PAYMENT"/>
    <m/>
    <m/>
    <m/>
    <m/>
    <m/>
    <m/>
    <x v="7"/>
  </r>
  <r>
    <s v="RTGS/ICICR42022090200514279/SBIN0000003/ANUJ KUMAR"/>
    <n v="455001"/>
    <m/>
    <n v="890219.9"/>
    <s v="ANUJ KUMAR"/>
    <s v="FROM PLOT NO B32"/>
    <m/>
    <m/>
    <m/>
    <s v="REFUND"/>
    <m/>
    <s v="REFUND AS ON DATE (2/9/21,3/9/21, 4/9/21,13/9/21,15/9/21,17/9/21, 12/11/21)"/>
    <x v="1"/>
  </r>
  <r>
    <s v="RTGS/ICICR42022090200514502/UBIN0918458/RAVI MALIK"/>
    <n v="200000"/>
    <m/>
    <n v="690219.9"/>
    <s v="RAVI MALIK"/>
    <s v="FROM PLOT NO B32"/>
    <m/>
    <m/>
    <m/>
    <s v="REFUND(28/12/21)"/>
    <m/>
    <m/>
    <x v="1"/>
  </r>
  <r>
    <s v="MMT/IMPS/225412191935/SALARY/rahulCHAUD/HDFC0004358"/>
    <n v="29700"/>
    <m/>
    <n v="660519.9"/>
    <s v="RAHUL CHAUDHARY"/>
    <s v="SALARY"/>
    <m/>
    <m/>
    <m/>
    <m/>
    <m/>
    <n v="300"/>
    <x v="24"/>
  </r>
  <r>
    <s v="MMT/IMPS/225412196327/SALARY/goravDG   /CNRB0002323"/>
    <n v="29700"/>
    <m/>
    <n v="630819.9"/>
    <s v="GORAV "/>
    <s v="SALARY"/>
    <m/>
    <m/>
    <m/>
    <m/>
    <m/>
    <n v="300"/>
    <x v="25"/>
  </r>
  <r>
    <s v="NEFT-PUNBH22255212090-INUSH ALI S O VASID--02662010044120-PUNB0026610"/>
    <m/>
    <n v="174000"/>
    <n v="804819.9"/>
    <s v="INUSH ALI"/>
    <s v="FROM FARMAR PAYMENTS"/>
    <m/>
    <m/>
    <m/>
    <m/>
    <m/>
    <m/>
    <x v="7"/>
  </r>
  <r>
    <s v="RTGS/ICICR42022091600548142/PUNB0404700/DEVENDERKUMAR"/>
    <n v="250000"/>
    <m/>
    <n v="554819.9"/>
    <s v="DEVENDER KUMAR"/>
    <s v="FROM PLOT NO A61"/>
    <m/>
    <m/>
    <m/>
    <s v="REFUND(19/8/21)"/>
    <m/>
    <m/>
    <x v="1"/>
  </r>
  <r>
    <s v="INF/INFT/029416371421/ADVANCE        /D G ASSOCIATES"/>
    <m/>
    <n v="500000"/>
    <n v="1054819.8999999999"/>
    <s v="DG ASSOCIATES"/>
    <s v="LOAN"/>
    <m/>
    <m/>
    <m/>
    <m/>
    <m/>
    <m/>
    <x v="50"/>
  </r>
  <r>
    <s v="RTGS/ICICR42022092200538695/BDBL0001334/VINAY KUMAR"/>
    <n v="800000"/>
    <m/>
    <n v="254819.9"/>
    <s v="VINAY KUMAR"/>
    <s v="FROM  PLOT NO A88"/>
    <m/>
    <m/>
    <m/>
    <s v="REFUND(18/8/21)"/>
    <m/>
    <m/>
    <x v="1"/>
  </r>
  <r>
    <s v="RTGS/ICICR42022092600525511/PUNB0471600/avinash tyagi"/>
    <n v="240000"/>
    <m/>
    <n v="14819.9"/>
    <s v="AVINASH TYAGI"/>
    <s v="SALARY"/>
    <m/>
    <m/>
    <m/>
    <s v="REFUND(15/6/22)"/>
    <m/>
    <s v="REFUND AS ON DATE (15/6/22)"/>
    <x v="24"/>
  </r>
  <r>
    <s v="INF/INFT/029448768031/ADVANCE        /D G ASSOCIATES"/>
    <m/>
    <n v="200000"/>
    <n v="214819.9"/>
    <s v="DG ASSOCIATES"/>
    <s v="ADVANCE"/>
    <m/>
    <m/>
    <m/>
    <m/>
    <m/>
    <m/>
    <x v="50"/>
  </r>
  <r>
    <s v="MMT/IMPS/226914208583/ADVANCE/avinashTYA/PUNB0471600"/>
    <n v="60000"/>
    <m/>
    <n v="154819.9"/>
    <s v="AVINASH TYAGI"/>
    <s v="ADVANCE SALARY"/>
    <m/>
    <m/>
    <m/>
    <s v="REFUND(15/6/22)"/>
    <m/>
    <s v="REFUND AS ON DATE (15/6/22)"/>
    <x v="24"/>
  </r>
  <r>
    <s v="INF/INFT/029457835391/ADVANCE        /D G ASSOCIATES"/>
    <m/>
    <n v="300000"/>
    <n v="454819.9"/>
    <s v="DG ASSOCIATES"/>
    <s v="ADVANCE"/>
    <m/>
    <m/>
    <m/>
    <m/>
    <m/>
    <m/>
    <x v="50"/>
  </r>
  <r>
    <s v="RTGS/ICICR42022092700507512/HDFC0009481/ASHWANI SHARMA"/>
    <n v="392000"/>
    <m/>
    <n v="62819.9"/>
    <s v="ASHWANI SHARMA"/>
    <s v="FROM PLOT NO A98"/>
    <s v="BANK UPDATE IN TALLY"/>
    <m/>
    <s v="BANK UPDATE IN TALLY"/>
    <s v="REFUND(31/3/22)"/>
    <m/>
    <s v="REFUND AS OPN DATE (31/3/22)"/>
    <x v="1"/>
  </r>
  <r>
    <s v="CLG/VINOD KUMAR/664369/SBI/29.09.2022"/>
    <m/>
    <n v="273000"/>
    <n v="335819.9"/>
    <s v="VINOD KUMAR"/>
    <s v="I F OF PLOT NO A101"/>
    <m/>
    <m/>
    <m/>
    <s v="OPEN IN REGISTRY "/>
    <m/>
    <m/>
    <x v="1"/>
  </r>
  <r>
    <s v="CLG/SUNIL SONU/691663/SBI/28.09.2022"/>
    <m/>
    <n v="260000"/>
    <n v="595819.9"/>
    <s v="SUNIL SONU"/>
    <s v="I F OF PLOT NO A23"/>
    <m/>
    <m/>
    <m/>
    <s v="OPEN IN REGISTRY "/>
    <m/>
    <m/>
    <x v="1"/>
  </r>
  <r>
    <s v="MMT/IMPS/227610832626/stamp dutty/HARPALsing/SBIN0017876"/>
    <n v="96000"/>
    <m/>
    <n v="499819.9"/>
    <s v="HARPAL SINGH"/>
    <s v="STAMP DUTY"/>
    <s v="BANK UPDATE IN TALLY"/>
    <m/>
    <s v="BANK UPDATE IN TALLY"/>
    <m/>
    <s v="EXPENCE"/>
    <m/>
    <x v="34"/>
  </r>
  <r>
    <s v="MMT/IMPS/227915138041/SALARY/AMITyadav /HDFC0000655"/>
    <n v="29700"/>
    <m/>
    <n v="470119.9"/>
    <s v="AMIT YADAV"/>
    <s v="SALARY"/>
    <m/>
    <m/>
    <m/>
    <m/>
    <m/>
    <n v="300"/>
    <x v="24"/>
  </r>
  <r>
    <s v="MMT/IMPS/227915147062/SALARY/MANISHsaga/PUNB0072900"/>
    <n v="19800"/>
    <m/>
    <n v="450319.9"/>
    <s v="MANISH SAGAR"/>
    <s v="SALARY"/>
    <m/>
    <m/>
    <m/>
    <m/>
    <m/>
    <m/>
    <x v="24"/>
  </r>
  <r>
    <s v="MMT/IMPS/227915150791/SALARY/goravDG   /CNRB0002323"/>
    <n v="29700"/>
    <m/>
    <n v="420619.9"/>
    <s v="GORAV "/>
    <s v="SALARY"/>
    <m/>
    <m/>
    <m/>
    <m/>
    <m/>
    <n v="300"/>
    <x v="25"/>
  </r>
  <r>
    <s v="MMT/IMPS/228115947134/SALARY/rahulCHAUD/HDFC0004358"/>
    <n v="29700"/>
    <m/>
    <n v="390919.9"/>
    <s v="RAHUL CHAUDHARY"/>
    <s v="SALARY"/>
    <s v="BANK UPDATE IN TALLY"/>
    <m/>
    <s v="BANK UPDATE IN TALLY"/>
    <m/>
    <m/>
    <n v="300"/>
    <x v="24"/>
  </r>
  <r>
    <s v="RTGS/ICICR42022101400504061/SBIN0000685/RAKHI TOMAR"/>
    <n v="230000"/>
    <m/>
    <n v="160919.9"/>
    <s v="RAKHI TOMAR"/>
    <s v="IF OF PLOT NO B17"/>
    <s v="REFUND ENTRY"/>
    <m/>
    <s v="REFUND ENTRY"/>
    <s v="ADVANCE"/>
    <m/>
    <m/>
    <x v="1"/>
  </r>
  <r>
    <s v="CLG/SEOPUY VITTU/694503/SBI/15.10.2022"/>
    <m/>
    <n v="430000"/>
    <n v="590919.9"/>
    <s v="VITTU"/>
    <s v="IF OF PLOT NO -A48"/>
    <m/>
    <m/>
    <m/>
    <s v="OPEN IN REGISTRY "/>
    <m/>
    <m/>
    <x v="1"/>
  </r>
  <r>
    <s v="UPI/229165973425/Payment from Ph/7302045334@ybl/State Bank Of I/YBL4d7bcd17a1b8"/>
    <m/>
    <n v="5000"/>
    <n v="595919.9"/>
    <m/>
    <s v="IF OF PLOT NO -A102"/>
    <m/>
    <m/>
    <m/>
    <m/>
    <m/>
    <m/>
    <x v="1"/>
  </r>
  <r>
    <s v="CLG/PARMAL SINGH/312711/SBI/17.10.2022"/>
    <m/>
    <n v="583000"/>
    <n v="1178919.8999999999"/>
    <s v="PARMAL SINGH"/>
    <s v="IF OF PLOT NO A127"/>
    <m/>
    <m/>
    <m/>
    <s v="OPEN IN REGISTRY "/>
    <m/>
    <m/>
    <x v="1"/>
  </r>
  <r>
    <s v="MMT/IMPS/229215921776/MOBLTA59L5KBNME/SHUBHAM S /State Bank of I"/>
    <m/>
    <n v="1"/>
    <n v="1178920.8999999999"/>
    <s v="SHUBHAM"/>
    <s v="SUSPENCE"/>
    <m/>
    <m/>
    <m/>
    <m/>
    <m/>
    <m/>
    <x v="51"/>
  </r>
  <r>
    <s v="RTGS/ICICR42022102100510166/PUNB0026610/kasam alo"/>
    <n v="500000"/>
    <m/>
    <n v="678920.9"/>
    <s v="KASAM ALI"/>
    <s v="FARMAR PAYMENT"/>
    <m/>
    <m/>
    <m/>
    <m/>
    <m/>
    <m/>
    <x v="7"/>
  </r>
  <r>
    <s v="RTGS/ICICR42022102100510418/SBIN0018955/YOGESH SHARMA"/>
    <n v="290000"/>
    <m/>
    <n v="388920.9"/>
    <s v="YOGESH SHARMA"/>
    <s v="FROM PLOT NO A40"/>
    <m/>
    <m/>
    <m/>
    <s v="REFUND(4/8/21,11/8/22,22/9/21)"/>
    <m/>
    <m/>
    <x v="1"/>
  </r>
  <r>
    <s v="MMT/IMPS/229411713226/REFUND/YOGESHshar/SBIN0018955"/>
    <n v="10000"/>
    <m/>
    <n v="378920.9"/>
    <s v="YOGESH SHARMA"/>
    <s v="FROM  PLOT NO A40"/>
    <m/>
    <m/>
    <m/>
    <s v="REFUND(28/7/21)"/>
    <m/>
    <m/>
    <x v="1"/>
  </r>
  <r>
    <s v="CLG/VIKAS VERMA/016026/AXI/20.10.2022"/>
    <m/>
    <n v="560000"/>
    <n v="938920.9"/>
    <s v="vikas verma"/>
    <s v="IF OF PLOT NO A81"/>
    <m/>
    <m/>
    <m/>
    <s v="OPEN IN REGISTRY "/>
    <m/>
    <m/>
    <x v="1"/>
  </r>
  <r>
    <s v="MMT/IMPS/229517346604/SALARY ADVANCE/MANISHsaga/PUNB0072900"/>
    <n v="10000"/>
    <m/>
    <n v="928920.9"/>
    <s v="MANISH SAGAR"/>
    <s v="SALARY ADVANCE"/>
    <m/>
    <m/>
    <m/>
    <m/>
    <m/>
    <m/>
    <x v="24"/>
  </r>
  <r>
    <s v="MMT/IMPS/229521208294/salary/sagarMALIK/CNRB0002185"/>
    <n v="29700"/>
    <m/>
    <n v="899220.9"/>
    <s v="SAGAR MALIK"/>
    <s v="SALARY ADVANCE"/>
    <m/>
    <m/>
    <m/>
    <m/>
    <m/>
    <m/>
    <x v="24"/>
  </r>
  <r>
    <s v="INF/INFT/029911598821/REFUND         /BALAJI ASSOCIAT"/>
    <m/>
    <n v="1300000"/>
    <n v="2199220.9"/>
    <s v="BALAJI ASSOCIATES"/>
    <s v="REFUND"/>
    <m/>
    <m/>
    <m/>
    <m/>
    <m/>
    <m/>
    <x v="41"/>
  </r>
  <r>
    <s v="RTGS/ICICR42022110200541970/PUNB0026610/kasam alo"/>
    <n v="1000000"/>
    <m/>
    <n v="1199220.8999999999"/>
    <s v="KASAM ALI"/>
    <s v="FARMAR PAYMENT"/>
    <m/>
    <m/>
    <m/>
    <m/>
    <m/>
    <m/>
    <x v="7"/>
  </r>
  <r>
    <s v="RTGS/ICICR42022110200542117/PUNB0026610/kasam alo"/>
    <n v="1000000"/>
    <m/>
    <n v="199220.9"/>
    <s v="KASAM ALI"/>
    <s v="FARMAR PAYMENT"/>
    <m/>
    <m/>
    <m/>
    <m/>
    <m/>
    <m/>
    <x v="7"/>
  </r>
  <r>
    <s v="CLG/VITTTU KUAMR/694501/SBI/01.11.2022"/>
    <m/>
    <n v="130000"/>
    <n v="329220.90000000002"/>
    <s v="VITTU KUMAR"/>
    <s v="IF OF PLOT NO A48"/>
    <m/>
    <m/>
    <m/>
    <s v="OPEN IN REGISTRY "/>
    <m/>
    <m/>
    <x v="1"/>
  </r>
  <r>
    <s v="CLG/AJAY KUMAR/989253/PNB/01.11.2022"/>
    <m/>
    <n v="1055000"/>
    <n v="1384220.9"/>
    <s v="AJAY KUMAR"/>
    <s v="IF OF PLOT NO A6"/>
    <m/>
    <m/>
    <m/>
    <s v="BOUNCE"/>
    <m/>
    <s v="BOUNS"/>
    <x v="1"/>
  </r>
  <r>
    <s v="CLG/ISHA GARG/531451/PNB/02.11.2022"/>
    <m/>
    <n v="700000"/>
    <n v="2084220.9"/>
    <s v="ISHA GARG"/>
    <s v="IF OF PLOT NO A33"/>
    <m/>
    <m/>
    <m/>
    <s v="OPEN IN REGISTRY "/>
    <m/>
    <m/>
    <x v="1"/>
  </r>
  <r>
    <s v="REJECT:989253:ADVICE NOT RECEIVED"/>
    <n v="1055000"/>
    <m/>
    <n v="1029220.9"/>
    <s v="AJAY KUMAR"/>
    <s v="BOUNS"/>
    <m/>
    <m/>
    <m/>
    <s v="BOUNCE"/>
    <m/>
    <s v="BOUNS"/>
    <x v="1"/>
  </r>
  <r>
    <s v="MMT/IMPS/230721698811/salary/AMITyadav /HDFC0000655"/>
    <n v="29700"/>
    <m/>
    <n v="999520.9"/>
    <s v="AMIT YADAV"/>
    <s v="SALARY"/>
    <m/>
    <m/>
    <m/>
    <m/>
    <m/>
    <n v="300"/>
    <x v="24"/>
  </r>
  <r>
    <s v="MMT/IMPS/230721704634/salary/MANISHsaga/PUNB0072900"/>
    <n v="10000"/>
    <m/>
    <n v="989520.9"/>
    <s v="MANISH SAGAR"/>
    <s v="SALARY"/>
    <m/>
    <m/>
    <m/>
    <m/>
    <m/>
    <m/>
    <x v="24"/>
  </r>
  <r>
    <s v="MMT/IMPS/230721709804/salary/goravDG/CNRB0002323"/>
    <n v="29700"/>
    <m/>
    <n v="959820.9"/>
    <s v="GORAV "/>
    <s v="SALARY"/>
    <m/>
    <m/>
    <m/>
    <m/>
    <m/>
    <n v="300"/>
    <x v="25"/>
  </r>
  <r>
    <s v="MMT/IMPS/230721713603/salary/rahulCHAUD/HDFC0004358"/>
    <n v="29700"/>
    <m/>
    <n v="930120.9"/>
    <s v="RAHUL CHAUDHARY"/>
    <s v="SALARY"/>
    <m/>
    <m/>
    <m/>
    <m/>
    <m/>
    <n v="300"/>
    <x v="24"/>
  </r>
  <r>
    <s v="CLG/RAMGOPAL/080634/SBI/05.11.2022"/>
    <m/>
    <n v="600000"/>
    <n v="1530120.9"/>
    <s v="RAM GOPAL"/>
    <s v="IN FABOUR OF KULDEEP TOMAR CAPITAL"/>
    <m/>
    <m/>
    <m/>
    <s v="OPEN IN REGISTRY "/>
    <m/>
    <m/>
    <x v="12"/>
  </r>
  <r>
    <s v="INF/INFT/029989851861/ADVANCE        /RAULnermalDG"/>
    <n v="666000"/>
    <m/>
    <n v="864120.9"/>
    <s v="Rahul tomar"/>
    <s v="ADVANCE"/>
    <m/>
    <m/>
    <m/>
    <m/>
    <m/>
    <m/>
    <x v="8"/>
  </r>
  <r>
    <s v="INF/INFT/029996844361/ADVANCE        /BalajiAssociate"/>
    <n v="200000"/>
    <m/>
    <n v="664120.9"/>
    <s v="BALAJI ASSOCIATES"/>
    <s v="ADVANCE"/>
    <m/>
    <m/>
    <m/>
    <m/>
    <m/>
    <m/>
    <x v="41"/>
  </r>
  <r>
    <s v="ACH/AEFFS0241G-AY2022-23/CE22204376508"/>
    <m/>
    <n v="16320"/>
    <n v="680440.9"/>
    <s v="SUSPENCE"/>
    <m/>
    <m/>
    <m/>
    <m/>
    <m/>
    <m/>
    <m/>
    <x v="1"/>
  </r>
  <r>
    <s v="RTGS/ICICR42022111000524503/PUNB0662300/SHIV CHARAN SACHDEV"/>
    <n v="200000"/>
    <m/>
    <n v="480440.9"/>
    <s v="SHIV CHARAN SACHDEV"/>
    <s v="ADVANCE"/>
    <m/>
    <m/>
    <m/>
    <m/>
    <m/>
    <m/>
    <x v="52"/>
  </r>
  <r>
    <s v="NEFT-PUNBH22319244389-GAURAV GARG--0042000101190244-PUNB0004200"/>
    <m/>
    <n v="250000"/>
    <n v="730440.9"/>
    <s v="GAURAV GARG"/>
    <s v="IF OF PLOT NO A54"/>
    <m/>
    <m/>
    <m/>
    <s v="OPEN IN REGISTRY "/>
    <m/>
    <m/>
    <x v="1"/>
  </r>
  <r>
    <s v="RTGS-HDFCR52022111660483793-ASHWANI SHARMA-50100177840927-HDFC0009481"/>
    <m/>
    <n v="250000"/>
    <n v="980440.9"/>
    <s v="ASHWANI SHARMA"/>
    <s v="IF OF PLOT NO A98"/>
    <m/>
    <m/>
    <m/>
    <s v="OPEN IN REGISTRY "/>
    <m/>
    <s v="REGISTRY DONE"/>
    <x v="1"/>
  </r>
  <r>
    <s v="MMT/IMPS/232017489671/REFUND ENTRY/AMITyadav /HDFC0000655"/>
    <n v="90000"/>
    <m/>
    <n v="890440.9"/>
    <s v="AMIT YADAV"/>
    <s v="FROM YOGESH TYAGI CAPITAL"/>
    <m/>
    <m/>
    <m/>
    <s v="ADVANCE"/>
    <m/>
    <s v="REFUND AS ON DATE (8/6/22)"/>
    <x v="53"/>
  </r>
  <r>
    <s v="RTGS/ICICR42022111800517282/PUNB0182200/dharam pal singh"/>
    <n v="280000"/>
    <m/>
    <n v="610440.9"/>
    <s v="DHARAM PAL SINGH"/>
    <s v="FARMAR PAYMENT"/>
    <m/>
    <m/>
    <m/>
    <m/>
    <m/>
    <m/>
    <x v="7"/>
  </r>
  <r>
    <s v="MMT/IMPS/232220454947/refund entry/YOGESHshar/SBIN0002484"/>
    <n v="50000"/>
    <m/>
    <n v="560440.9"/>
    <s v="YOGESH SHARMA"/>
    <s v="FROM PLOT NO A131"/>
    <m/>
    <m/>
    <m/>
    <m/>
    <m/>
    <m/>
    <x v="1"/>
  </r>
  <r>
    <s v="RTGS/ICICR42022111800548157/SBIN0007434/MAHIPAL SINGH"/>
    <n v="300000"/>
    <m/>
    <n v="260440.9"/>
    <s v="MAHIPAL SINGH"/>
    <s v="FROM PLOT NO A81"/>
    <m/>
    <m/>
    <m/>
    <s v="REFUND(15/9/21)"/>
    <m/>
    <m/>
    <x v="1"/>
  </r>
  <r>
    <s v="MMT/IMPS/232220488381/SALARY/MANISHsaga/PUNB0072900"/>
    <n v="10000"/>
    <m/>
    <n v="250440.9"/>
    <s v="MANISH SAGAR"/>
    <s v="SALARY"/>
    <m/>
    <m/>
    <m/>
    <m/>
    <m/>
    <m/>
    <x v="24"/>
  </r>
  <r>
    <s v="UPI/232600858584/Payment from Ph/8218428973@ybl/State Bank Of I/YBLb05f1388fa90"/>
    <m/>
    <n v="99999"/>
    <n v="350439.9"/>
    <s v="RAKHI TOMAR"/>
    <s v="IF OF PLOT NO A1"/>
    <m/>
    <m/>
    <m/>
    <s v="ADVANCE"/>
    <m/>
    <m/>
    <x v="1"/>
  </r>
  <r>
    <s v="RTGS-HDFCR52022112563037334-ASHWANI SHARMA-50100177840927-HDFC0009481"/>
    <m/>
    <n v="426000"/>
    <n v="776439.9"/>
    <s v="ASHWANI SHARMA"/>
    <s v="IF OF PLOT NO A98"/>
    <m/>
    <m/>
    <m/>
    <s v="OPEN IN REGISTRY "/>
    <m/>
    <s v="REGISTRY DONE"/>
    <x v="1"/>
  </r>
  <r>
    <s v="BIL/ONL/000543831428/UP Power C/electricity pay"/>
    <n v="40127"/>
    <m/>
    <n v="736312.9"/>
    <s v="ELECTRICITY PAYMENT"/>
    <s v="ELECTRICITY PAYMENT"/>
    <m/>
    <m/>
    <m/>
    <m/>
    <s v="EXPENCE"/>
    <m/>
    <x v="54"/>
  </r>
  <r>
    <s v="BIL/INFT/000549527375/NA/ GAURAV MALIK"/>
    <m/>
    <n v="1.8"/>
    <n v="736314.7"/>
    <s v="GAURAV MALIK"/>
    <s v="IF OF PLOT NO A45"/>
    <m/>
    <m/>
    <m/>
    <s v="ADVANCE"/>
    <m/>
    <m/>
    <x v="1"/>
  </r>
  <r>
    <s v="BIL/INFT/000549565175/NA/ GAURAV MALIK"/>
    <m/>
    <n v="1.8"/>
    <n v="736316.5"/>
    <s v="GAURAV MALIK"/>
    <s v="IF OF PLOT NO A45"/>
    <m/>
    <m/>
    <m/>
    <s v="ADVANCE"/>
    <m/>
    <m/>
    <x v="1"/>
  </r>
  <r>
    <s v="CLG/SHIKHA/046446/CAB/01.12.2022"/>
    <m/>
    <n v="674000"/>
    <n v="1410316.5"/>
    <s v="SHIKHA"/>
    <s v="IF OF PLOT NO A141"/>
    <m/>
    <m/>
    <m/>
    <s v="OPEN IN REGISTRY "/>
    <m/>
    <m/>
    <x v="1"/>
  </r>
  <r>
    <s v="MMT/IMPS/233616920823/SALARY/goravDG   /CNRB0002323"/>
    <n v="29700"/>
    <m/>
    <n v="1380616.5"/>
    <s v="GORAV "/>
    <s v="SALARY"/>
    <m/>
    <m/>
    <m/>
    <m/>
    <m/>
    <n v="300"/>
    <x v="25"/>
  </r>
  <r>
    <s v="INF/NEFT/030276297161/HDFC0000655/TALLY PAYMENT  /mittalTALE"/>
    <n v="4248"/>
    <m/>
    <n v="1376368.5"/>
    <s v="MITTAL ONLINE SERVICES"/>
    <s v="TALLY RENEWAL"/>
    <m/>
    <m/>
    <m/>
    <m/>
    <s v="EXPENCE"/>
    <m/>
    <x v="55"/>
  </r>
  <r>
    <s v="BIL/INFT/000549863843/Plot Booking A4/ GAURAV MALIK"/>
    <m/>
    <n v="10000"/>
    <n v="1386368.5"/>
    <s v="GAURAV MALIK"/>
    <s v="IF OF PLOT NO A45"/>
    <m/>
    <m/>
    <m/>
    <s v="REFUND"/>
    <m/>
    <m/>
    <x v="1"/>
  </r>
  <r>
    <s v="MMT/IMPS/233715927455/REFUND/ARUNkumarA/UTIB0000177"/>
    <n v="60000"/>
    <m/>
    <n v="1326368.5"/>
    <s v="ARUN KUMAR"/>
    <s v="REFUND PLOT NO A1"/>
    <m/>
    <m/>
    <m/>
    <s v="REFUND(18/4/22)"/>
    <m/>
    <s v="REFUND AS ON DATE (18/4/22)"/>
    <x v="1"/>
  </r>
  <r>
    <s v="MMT/IMPS/233810734118/salary/rahulCHAUD/HDFC0004358"/>
    <n v="29700"/>
    <m/>
    <n v="1296668.5"/>
    <s v="RAHUL CHAUDHARY"/>
    <s v="SALARY"/>
    <m/>
    <m/>
    <m/>
    <m/>
    <m/>
    <n v="300"/>
    <x v="24"/>
  </r>
  <r>
    <s v="MMT/IMPS/233816740227/salary/MANISHsaga/PUNB0072900"/>
    <n v="19800"/>
    <m/>
    <n v="1276868.5"/>
    <s v="MANISH SAGAR"/>
    <s v="SALARY"/>
    <m/>
    <m/>
    <m/>
    <m/>
    <m/>
    <m/>
    <x v="24"/>
  </r>
  <r>
    <s v="MMT/IMPS/234019887031/refund entry/LOKINDRAku/SBIN0007619"/>
    <n v="100000"/>
    <m/>
    <n v="1176868.5"/>
    <s v="LOKINDRA SAROHA"/>
    <s v="REFUND FROM PLOT NO A41"/>
    <m/>
    <m/>
    <m/>
    <s v="REFUND(16/7/21)"/>
    <m/>
    <m/>
    <x v="1"/>
  </r>
  <r>
    <s v="CLG/INUSH ALI/154988/PNB/06.12.2022"/>
    <m/>
    <n v="1100000"/>
    <n v="2276868.5"/>
    <s v="INUSH ALI"/>
    <s v="FARMAR PAYMENT"/>
    <m/>
    <m/>
    <m/>
    <m/>
    <m/>
    <m/>
    <x v="7"/>
  </r>
  <r>
    <s v="REJECT:154988:ADVICE NOT RECEIVED"/>
    <n v="1100000"/>
    <m/>
    <n v="1176868.5"/>
    <s v="INUSH ALI"/>
    <s v="RETURN ENTRY"/>
    <m/>
    <m/>
    <m/>
    <m/>
    <m/>
    <m/>
    <x v="7"/>
  </r>
  <r>
    <s v="CLG/SURESH PAL SINGH/153359/SBI/06.12.2022"/>
    <m/>
    <n v="350000"/>
    <n v="1526868.5"/>
    <s v="SURESH PAL SINGH"/>
    <s v="IF OF PLOT NO A30"/>
    <m/>
    <m/>
    <m/>
    <s v="BOUNCE"/>
    <m/>
    <m/>
    <x v="1"/>
  </r>
  <r>
    <s v="CLG/BHARAT/176072/SBI/06.12.2022"/>
    <m/>
    <n v="350000"/>
    <n v="1876868.5"/>
    <s v="BHARAT  "/>
    <s v="IF OF PLOT NO A30"/>
    <m/>
    <m/>
    <m/>
    <s v="OPEN IN REGISTRY "/>
    <m/>
    <s v="ADVANCE"/>
    <x v="1"/>
  </r>
  <r>
    <s v="REJECT:153359:DRAWERS SIGNATURE DIFFERS"/>
    <n v="350000"/>
    <m/>
    <n v="1526868.5"/>
    <s v="SURESH PAL SINGH"/>
    <s v="IF OF PLOT NO A30"/>
    <s v="BOUNS"/>
    <m/>
    <s v="BOUNS"/>
    <s v="BOUNCE"/>
    <m/>
    <m/>
    <x v="1"/>
  </r>
  <r>
    <s v="MMT/IMPS/234311475960/SALARY/AMITyadav /HDFC0000655"/>
    <n v="29700"/>
    <m/>
    <n v="1497168.5"/>
    <s v="AMIT YADAV"/>
    <s v="SALARY"/>
    <m/>
    <m/>
    <m/>
    <m/>
    <m/>
    <n v="300"/>
    <x v="24"/>
  </r>
  <r>
    <s v="RTGS-PUNBR52022121219273224-AJAY KUMAR SO RISHI KUMAR-0424000100250129-PUNB0042"/>
    <m/>
    <n v="1055000"/>
    <n v="2552168.5"/>
    <s v="AJAY KUMAR"/>
    <s v="IF OF PLOT NO A6"/>
    <m/>
    <m/>
    <m/>
    <m/>
    <m/>
    <s v="REFUND (2/8/23)"/>
    <x v="1"/>
  </r>
  <r>
    <s v="CLG/GEETA DEVI/840207/SBI/13.12.2022"/>
    <m/>
    <n v="50000"/>
    <n v="2602168.5"/>
    <s v="GEETA DEVI"/>
    <s v="IF OF PLOT NO B40"/>
    <m/>
    <m/>
    <s v="ADVANCE"/>
    <s v="ADVANCE"/>
    <m/>
    <m/>
    <x v="1"/>
  </r>
  <r>
    <s v="CLG/GEETA DEVI/840209/SBI/15.12.2022"/>
    <m/>
    <n v="100000"/>
    <n v="2702168.5"/>
    <s v="GEETA DEVI"/>
    <s v="IF OF PLOT NO B40"/>
    <m/>
    <m/>
    <s v="ADVANCE"/>
    <s v="ADVANCE"/>
    <m/>
    <m/>
    <x v="1"/>
  </r>
  <r>
    <s v="CLG/NIDHI KAMAL KUMAR/000662/UBI/15.12.2022"/>
    <m/>
    <n v="700000"/>
    <n v="3402168.5"/>
    <s v="NIDHI KAMAL"/>
    <s v="IF OF PLOT NO A32"/>
    <m/>
    <m/>
    <m/>
    <s v="BOUNCE"/>
    <m/>
    <m/>
    <x v="1"/>
  </r>
  <r>
    <s v="REJECT:662:OTHER REASONS"/>
    <n v="700000"/>
    <m/>
    <n v="2702168.5"/>
    <s v="NIDHI KAMAL"/>
    <s v="FROM PLOT NO A32"/>
    <s v="BOUNS"/>
    <m/>
    <s v="BOUNS"/>
    <s v="BOUNCE"/>
    <m/>
    <m/>
    <x v="1"/>
  </r>
  <r>
    <s v="RTGS/ICICR42022122000535524/SBIN0000685/YASHPAL SINGH"/>
    <n v="500000"/>
    <m/>
    <n v="2202168.5"/>
    <s v="yashpal singh"/>
    <s v="FROM PLOT no A64"/>
    <m/>
    <m/>
    <m/>
    <s v="REFUND(22/7/21)"/>
    <m/>
    <m/>
    <x v="1"/>
  </r>
  <r>
    <s v="RTGS/ICICR42022122000535683/SBIN0007619/BRIJ PALSINGH"/>
    <n v="600000"/>
    <m/>
    <n v="1602168.5"/>
    <s v="BRIJPAL SINGH"/>
    <s v="FROM  PLOT NO A30"/>
    <m/>
    <m/>
    <m/>
    <s v="REFUND(3/12/21)"/>
    <m/>
    <s v="REFUND(3/12/21)"/>
    <x v="1"/>
  </r>
  <r>
    <s v="RTGS/ICICR42022122000535841/PUNB0471600/VINAY KUMAR MALIK"/>
    <n v="350000"/>
    <m/>
    <n v="1252168.5"/>
    <s v="vinay kumar malik"/>
    <s v="FROM  of plon no A110"/>
    <m/>
    <m/>
    <m/>
    <s v="REFUND(16/7/21)"/>
    <m/>
    <m/>
    <x v="1"/>
  </r>
  <r>
    <s v="RTGS/ICICR42022122000536047/SBIN0007619/vinay kumar malik"/>
    <n v="650000"/>
    <m/>
    <n v="602168.5"/>
    <s v="vinay kumar malik"/>
    <s v="FROM  PLOT NO A89"/>
    <m/>
    <m/>
    <m/>
    <s v="REFUND(28/7/21)"/>
    <m/>
    <m/>
    <x v="1"/>
  </r>
  <r>
    <s v="RTGS/ICICR42022122000536367/SBIN0016609/SURENDRASINGH"/>
    <n v="200000"/>
    <m/>
    <n v="402168.5"/>
    <s v="SURENDRA SINGH"/>
    <s v="FROM PLOT NO A111 &amp; A147"/>
    <m/>
    <m/>
    <m/>
    <s v="REFUND(26/7/21,25/10/21)"/>
    <m/>
    <s v="REFUND(28/7/21,25/10/21)"/>
    <x v="1"/>
  </r>
  <r>
    <s v="INF/NEFT/030506618921/PUNB0471600/REFUND B35     /SAAKSHIdhamaPNB"/>
    <n v="110000"/>
    <m/>
    <n v="292168.5"/>
    <s v="SAAKSHI DHAMA"/>
    <s v="FROM OF PLOT B35"/>
    <m/>
    <m/>
    <m/>
    <s v="REFUND(29/6/22)"/>
    <m/>
    <m/>
    <x v="1"/>
  </r>
  <r>
    <s v="INF/NEFT/030506669221/SBIN0007619/REFUND PAYMENT /YASPALsinghSBI"/>
    <n v="150000"/>
    <m/>
    <n v="142168.5"/>
    <s v="yashpal singh"/>
    <s v="FROM  PLOT NO A111"/>
    <m/>
    <m/>
    <m/>
    <s v="REFUND(25/10/21)"/>
    <m/>
    <m/>
    <x v="1"/>
  </r>
  <r>
    <s v="RTGS-PUNBR52022122119638183-INUSH ALI S O VASID-02662010044120-PUNB0026610"/>
    <m/>
    <n v="1100000"/>
    <n v="1242168.5"/>
    <s v="INUSH ALI"/>
    <s v="RETURN FARMAR PAYMENT"/>
    <m/>
    <m/>
    <m/>
    <m/>
    <m/>
    <m/>
    <x v="7"/>
  </r>
  <r>
    <s v="CLG/NIDHI KAMAL KUMAR/000662/UBI/15.12.2022"/>
    <m/>
    <n v="700000"/>
    <n v="1942168.5"/>
    <s v="KAMAL "/>
    <s v="IF OF PLOT NO A32"/>
    <m/>
    <m/>
    <m/>
    <s v="OPEN IN REGISTRY "/>
    <m/>
    <m/>
    <x v="1"/>
  </r>
  <r>
    <s v="RTGS-PUNBR52022122219689355-SHALAU DIN S O WASIDH-02662010025140-PUNB0026610"/>
    <m/>
    <n v="1148000"/>
    <n v="3090168.5"/>
    <s v="SHALAU DIN"/>
    <s v="RETURN FARMAR PAYMENT"/>
    <m/>
    <m/>
    <m/>
    <m/>
    <m/>
    <m/>
    <x v="7"/>
  </r>
  <r>
    <s v="RTGS/ICICR42022122500503472/SBIN0007619/NIMMI CHOUDHARY"/>
    <n v="300000"/>
    <m/>
    <n v="2790168.5"/>
    <s v="NIMMI CHAUDHARY"/>
    <s v="FROM PLOT NO A49"/>
    <m/>
    <m/>
    <m/>
    <s v="REFUND(30/8/21)"/>
    <m/>
    <m/>
    <x v="1"/>
  </r>
  <r>
    <s v="CLG/SURESH PAL SINGH/153360/SBI/22.12.2022"/>
    <m/>
    <n v="350000"/>
    <n v="3140168.5"/>
    <s v="SURESH PAL SINGH"/>
    <s v="IF OF PLOT NO A30"/>
    <m/>
    <m/>
    <m/>
    <s v="OPEN IN REGISTRY "/>
    <m/>
    <m/>
    <x v="1"/>
  </r>
  <r>
    <s v="RTGS/ICICR42022122700531008/PUNB0030310/INDERKALI"/>
    <n v="700000"/>
    <m/>
    <n v="2440168.5"/>
    <s v="INDERKALI"/>
    <s v="WRONG ENTRY"/>
    <m/>
    <m/>
    <m/>
    <m/>
    <s v="EXPENCE"/>
    <m/>
    <x v="47"/>
  </r>
  <r>
    <s v="TRFR FROM: VINOD  KUMAR"/>
    <m/>
    <n v="169000"/>
    <n v="2609168.5"/>
    <s v="VINOD KUMAR"/>
    <s v="IF OF PLOT NO A101"/>
    <m/>
    <m/>
    <m/>
    <s v="OPEN IN REGISTRY "/>
    <m/>
    <m/>
    <x v="1"/>
  </r>
  <r>
    <s v="RTGS/ICICR42022122700547209/PUNB0017500/SUNITA"/>
    <n v="700000"/>
    <m/>
    <n v="1909168.5"/>
    <s v="SUNITA"/>
    <s v="REFUND"/>
    <m/>
    <m/>
    <m/>
    <s v="REFUND(19/5/22)"/>
    <m/>
    <m/>
    <x v="1"/>
  </r>
  <r>
    <s v="UPI/236230695133/NA/75359591@paytm/Punjab National/PTM4a2fa0ef999241029a43dece8"/>
    <m/>
    <n v="1"/>
    <n v="1909169.5"/>
    <s v="INDERKALI"/>
    <s v="REFUND"/>
    <m/>
    <m/>
    <m/>
    <m/>
    <m/>
    <m/>
    <x v="47"/>
  </r>
  <r>
    <s v="UPI/236313118988/NA/75359591@paytm/Punjab National/PTMbe66977aa9b94eda97882d293"/>
    <m/>
    <n v="99000"/>
    <n v="2008169.5"/>
    <s v="INDERKALI"/>
    <s v="REFUND"/>
    <m/>
    <m/>
    <m/>
    <m/>
    <m/>
    <m/>
    <x v="47"/>
  </r>
  <r>
    <s v="UPI/273115626410/NA/75359591@paytm/Punjab National/PTMbcdcf652d7a04460893f2a71a"/>
    <m/>
    <n v="99000"/>
    <n v="2107169.5"/>
    <s v="INDERKALI"/>
    <s v="REFUND"/>
    <m/>
    <m/>
    <m/>
    <m/>
    <m/>
    <m/>
    <x v="47"/>
  </r>
  <r>
    <s v="CLG/GAURAV/499427/SBI/16.12.2022"/>
    <m/>
    <n v="405000"/>
    <n v="2512169.5"/>
    <s v="GAURAV "/>
    <s v="IF OF PLOT NO A54"/>
    <m/>
    <m/>
    <m/>
    <s v="OPEN IN REGISTRY "/>
    <m/>
    <m/>
    <x v="1"/>
  </r>
  <r>
    <s v="MMT/IMPS/300414733034/SALARY/rahulCHAUD/HDFC0004358"/>
    <n v="29700"/>
    <m/>
    <n v="2482469.5"/>
    <s v="RAHUL CHAUDHARY"/>
    <s v="SALARY"/>
    <m/>
    <m/>
    <m/>
    <m/>
    <m/>
    <n v="300"/>
    <x v="24"/>
  </r>
  <r>
    <s v="MMT/IMPS/300416292521/SALARY/goravDG/CNRB0002323"/>
    <n v="29700"/>
    <m/>
    <n v="2452769.5"/>
    <s v="GORAV "/>
    <s v="SALARY"/>
    <m/>
    <m/>
    <m/>
    <m/>
    <m/>
    <n v="300"/>
    <x v="25"/>
  </r>
  <r>
    <s v="MMT/IMPS/300416302330/SALARY/AMITyadav /HDFC0000655"/>
    <n v="29700"/>
    <m/>
    <n v="2423069.5"/>
    <s v="AMIT YADAV"/>
    <s v="SALARY"/>
    <m/>
    <m/>
    <m/>
    <m/>
    <m/>
    <n v="300"/>
    <x v="24"/>
  </r>
  <r>
    <s v="CLG/RAKHI GARG/330397/PNB/01.01.2023"/>
    <m/>
    <n v="690000"/>
    <n v="3113069.5"/>
    <s v="RAKHI GARG"/>
    <s v="IF OF PLOT NO A1"/>
    <m/>
    <m/>
    <m/>
    <s v="ADVANCE"/>
    <m/>
    <m/>
    <x v="1"/>
  </r>
  <r>
    <s v="INF/INFT/030719014681/REFUND         /GAURAVmalikA45"/>
    <n v="10000"/>
    <m/>
    <n v="3103069.5"/>
    <s v="GAURAV MALIK"/>
    <s v="REFUND FROM PLOT NO A45"/>
    <m/>
    <m/>
    <m/>
    <m/>
    <m/>
    <m/>
    <x v="1"/>
  </r>
  <r>
    <s v="MMT/IMPS/300716253213/REFUND/AMITkumarc/INDB0001102"/>
    <n v="63000"/>
    <m/>
    <n v="3040069.5"/>
    <s v="AMIT KUMAR"/>
    <s v="CEMENT PAYMENT"/>
    <m/>
    <m/>
    <m/>
    <m/>
    <s v="EXPENCE"/>
    <s v="REFUND AS ON DATE (14/2/22)"/>
    <x v="21"/>
  </r>
  <r>
    <s v="UPI/300818124917/NA/75359591@paytm/Punjab National/PTM5c9671f479ca4e3a8f993b513eaea8b8"/>
    <m/>
    <n v="99000"/>
    <n v="3139069.5"/>
    <s v="INDERKALI"/>
    <s v="REFUND"/>
    <m/>
    <m/>
    <m/>
    <m/>
    <m/>
    <m/>
    <x v="47"/>
  </r>
  <r>
    <s v="UPI/337619712893/NA/75359591@paytm/Punjab National/PTMc8f9ec1456a543d6802386967b1d7cb6"/>
    <m/>
    <n v="99000"/>
    <n v="3238069.5"/>
    <s v="INDERKALI"/>
    <s v="REFUND"/>
    <m/>
    <m/>
    <m/>
    <m/>
    <m/>
    <m/>
    <x v="47"/>
  </r>
  <r>
    <s v="UPI/337734890976/NA/75359591@paytm/Punjab National/PTM9402ce4801f3402dbae2984f49408b61"/>
    <m/>
    <n v="99000"/>
    <n v="3337069.5"/>
    <s v="INDERKALI"/>
    <s v="REFUND"/>
    <m/>
    <m/>
    <m/>
    <m/>
    <m/>
    <m/>
    <x v="47"/>
  </r>
  <r>
    <s v="INF/INFT/030818264381/ADVANCE PAYMENT/BalajiAssociate"/>
    <n v="1000000"/>
    <m/>
    <n v="2337069.5"/>
    <s v="BALAJI ASSOCIATES"/>
    <s v="ADVANCE"/>
    <m/>
    <m/>
    <m/>
    <m/>
    <m/>
    <m/>
    <x v="41"/>
  </r>
  <r>
    <s v="INF/INFT/030818291501/ADVANCE        /BalajiAssociate"/>
    <n v="1000000"/>
    <m/>
    <n v="1337069.5"/>
    <s v="BALAJI ASSOCIATES"/>
    <s v="ADVANCE"/>
    <m/>
    <m/>
    <m/>
    <m/>
    <m/>
    <m/>
    <x v="41"/>
  </r>
  <r>
    <s v="INF/INFT/030818317851/ADVANCE        /BalajiAssociate"/>
    <n v="600000"/>
    <m/>
    <n v="737069.5"/>
    <s v="BALAJI ASSOCIATES"/>
    <s v="ADVANCE"/>
    <m/>
    <m/>
    <m/>
    <m/>
    <m/>
    <m/>
    <x v="41"/>
  </r>
  <r>
    <s v="RTGS/ICICR42023011700522006/IOBA0003569/mohit kumar"/>
    <n v="267300"/>
    <m/>
    <n v="469769.5"/>
    <s v="MOHIT KUMAR"/>
    <s v="SALARY"/>
    <m/>
    <m/>
    <m/>
    <m/>
    <m/>
    <m/>
    <x v="24"/>
  </r>
  <r>
    <s v="MMT/IMPS/302011164012/SELF/ShriGanesh/IOBA0001615"/>
    <n v="100000"/>
    <m/>
    <n v="369769.5"/>
    <s v="SHRI GANESH ASSOCIATES IOB"/>
    <s v="ADVANCE"/>
    <m/>
    <m/>
    <m/>
    <m/>
    <m/>
    <m/>
    <x v="44"/>
  </r>
  <r>
    <s v="MMT/IMPS/303015503576/IMPS/PANKAJ SHR/Punjab National"/>
    <m/>
    <n v="11000"/>
    <n v="380769.5"/>
    <s v="PANKAJ  "/>
    <s v="IF OF PLOT NO A131"/>
    <m/>
    <m/>
    <m/>
    <m/>
    <m/>
    <m/>
    <x v="1"/>
  </r>
  <r>
    <s v="MMT/IMPS/303519368602/salary/rahulCHAUD/HDFC0004358"/>
    <n v="29700"/>
    <m/>
    <n v="351069.5"/>
    <s v="RAHUL CHAUDHARY"/>
    <s v="SALARY"/>
    <m/>
    <m/>
    <m/>
    <m/>
    <m/>
    <n v="300"/>
    <x v="24"/>
  </r>
  <r>
    <s v="MMT/IMPS/303622634763/SALARY/goravDG/CNRB0002323"/>
    <n v="29700"/>
    <m/>
    <n v="321369.5"/>
    <s v="GORAV "/>
    <s v="SALARY"/>
    <m/>
    <m/>
    <m/>
    <m/>
    <m/>
    <n v="300"/>
    <x v="25"/>
  </r>
  <r>
    <s v="CLG/HITESH KUMAR/113830/SBI/03.02.2023"/>
    <m/>
    <n v="500000"/>
    <n v="821369.5"/>
    <s v="HITESH KUMAR"/>
    <s v="IF OF PLOT NO B46"/>
    <m/>
    <m/>
    <m/>
    <m/>
    <m/>
    <m/>
    <x v="1"/>
  </r>
  <r>
    <s v="MMT/IMPS/303920016465/SALARY/AMITyadav/HDFC0000655"/>
    <n v="29700"/>
    <m/>
    <n v="791669.5"/>
    <s v="AMIT YADAV"/>
    <s v="SALARY"/>
    <m/>
    <m/>
    <m/>
    <m/>
    <m/>
    <n v="300"/>
    <x v="24"/>
  </r>
  <r>
    <s v="RTGS-PUNBR52023021011399170-INUSH ALI S O VASID-02662010044120-PUNB0026610"/>
    <m/>
    <n v="200000"/>
    <n v="991669.5"/>
    <s v="INUSH ALI"/>
    <s v="REFUND FROM FARMAR PAYMENT"/>
    <m/>
    <m/>
    <m/>
    <m/>
    <m/>
    <m/>
    <x v="7"/>
  </r>
  <r>
    <s v="RTGS/ICICR42023021000545108/SBIN0002484/SAROJ"/>
    <n v="720000"/>
    <m/>
    <n v="271669.5"/>
    <s v="SAROJ"/>
    <s v="FROM PLOT NO A64"/>
    <m/>
    <m/>
    <m/>
    <m/>
    <m/>
    <m/>
    <x v="1"/>
  </r>
  <r>
    <s v="INF/INFT/031110824691/REFUND         /SANDEEPkumarA5"/>
    <n v="20000"/>
    <m/>
    <n v="251669.5"/>
    <s v="SANDEEP KUMAR"/>
    <s v="FROM PLOT NO A5"/>
    <m/>
    <m/>
    <m/>
    <m/>
    <m/>
    <m/>
    <x v="1"/>
  </r>
  <r>
    <s v="BIL/ONL/000602517883/UP Power C/bill payment"/>
    <n v="27827"/>
    <m/>
    <n v="223842.5"/>
    <s v="UP POWER COMMERCIAL"/>
    <s v="BILL PAYMENT"/>
    <m/>
    <m/>
    <m/>
    <m/>
    <s v="EXPENCE"/>
    <m/>
    <x v="56"/>
  </r>
  <r>
    <s v="BIL/ONL/000602521307/UP Power C/bill payment"/>
    <n v="18314"/>
    <m/>
    <n v="205528.5"/>
    <s v="UP POWER COMMERCIAL"/>
    <s v="BILL PAYMENT"/>
    <m/>
    <m/>
    <m/>
    <m/>
    <s v="EXPENCE"/>
    <m/>
    <x v="56"/>
  </r>
  <r>
    <s v="BIL/ONL/000602523528/UP Power C/bill payment"/>
    <n v="3812"/>
    <m/>
    <n v="201716.5"/>
    <s v="UP POWER COMMERCIAL"/>
    <s v="BILL PAYMENT"/>
    <m/>
    <m/>
    <m/>
    <m/>
    <s v="EXPENCE"/>
    <m/>
    <x v="56"/>
  </r>
  <r>
    <s v="RTGS-PUNBR52023021711666627-SHALAU DIN S O WASIDH-02662010025140-PUNB0026610"/>
    <m/>
    <n v="200000"/>
    <n v="401716.5"/>
    <s v="SHALAU DIN"/>
    <s v="REFUND FROM FARMAR PAYMENT"/>
    <m/>
    <m/>
    <m/>
    <m/>
    <m/>
    <m/>
    <x v="7"/>
  </r>
  <r>
    <s v="INF/INFT/031213659321/REFUND         /BALAJI ASSOCIAT"/>
    <m/>
    <n v="1600000"/>
    <n v="2001716.5"/>
    <s v="BALAJI ASSOCIATES"/>
    <s v="REFUND"/>
    <m/>
    <m/>
    <m/>
    <m/>
    <m/>
    <m/>
    <x v="41"/>
  </r>
  <r>
    <s v="RTGS/ICICR42023022000560943/UBIN0908487/VINEET SANGAL"/>
    <n v="439800"/>
    <m/>
    <n v="1561916.5"/>
    <s v="VINET SANGAL"/>
    <s v="FROM PLOT NO A12"/>
    <m/>
    <m/>
    <m/>
    <m/>
    <m/>
    <m/>
    <x v="1"/>
  </r>
  <r>
    <s v="RTGS/ICICR42023022000561097/HDFC0000003/PARTAP PANWAR"/>
    <n v="1000000"/>
    <m/>
    <n v="561916.5"/>
    <s v="Partap panwar"/>
    <s v="FROM PLOT NO A86"/>
    <m/>
    <m/>
    <m/>
    <m/>
    <m/>
    <m/>
    <x v="1"/>
  </r>
  <r>
    <s v="RTGS/ICICR42023022200542516/HDFC0000003/PARTAP PANWAR"/>
    <n v="529000"/>
    <m/>
    <n v="32916.5"/>
    <s v="Partap panwar"/>
    <s v="FROM PLOT NO A86"/>
    <m/>
    <m/>
    <m/>
    <m/>
    <m/>
    <m/>
    <x v="1"/>
  </r>
  <r>
    <s v="INF/INFT/031322506551/refund         /BALAJI ASSOCIAT"/>
    <m/>
    <n v="1500000"/>
    <n v="1532916.5"/>
    <s v="BALAJI ASSOCIATES"/>
    <s v="REFUND"/>
    <m/>
    <m/>
    <m/>
    <m/>
    <m/>
    <m/>
    <x v="41"/>
  </r>
  <r>
    <s v="RTGS/ICICR42023030200504827/PUNB0745400/REENA"/>
    <n v="700000"/>
    <m/>
    <n v="832916.5"/>
    <s v="REENA"/>
    <s v="FROM PLOT NO B7,B5,B4,B14"/>
    <m/>
    <m/>
    <m/>
    <m/>
    <m/>
    <m/>
    <x v="1"/>
  </r>
  <r>
    <s v="UPI/306335838930/NA/75359591@paytm/Punjab National/PTM78bf733cda4a456093b9e1f13a9ac874"/>
    <m/>
    <n v="99000"/>
    <n v="931916.5"/>
    <s v="INDERKALI"/>
    <s v="REFUND"/>
    <m/>
    <m/>
    <m/>
    <m/>
    <m/>
    <m/>
    <x v="47"/>
  </r>
  <r>
    <s v="MMT/IMPS/306420925606/SALARY/AMITyadav/HDFC0000655"/>
    <n v="29700"/>
    <m/>
    <n v="902216.5"/>
    <s v="AMIT YADAV"/>
    <s v="SALARY"/>
    <m/>
    <m/>
    <m/>
    <m/>
    <m/>
    <n v="300"/>
    <x v="24"/>
  </r>
  <r>
    <s v="MMT/IMPS/306420930877/SALARY/goravDG/CNRB0002323"/>
    <n v="29700"/>
    <m/>
    <n v="872516.5"/>
    <s v="GORAV"/>
    <s v="SALARY"/>
    <m/>
    <m/>
    <m/>
    <m/>
    <m/>
    <n v="300"/>
    <x v="25"/>
  </r>
  <r>
    <s v="MMT/IMPS/306420936233/SALARY/rahulCHAUD/HDFC0004358"/>
    <n v="29700"/>
    <m/>
    <n v="842816.5"/>
    <s v="RAHUL CHAUDHARY"/>
    <s v="SALARY"/>
    <m/>
    <m/>
    <m/>
    <m/>
    <m/>
    <n v="300"/>
    <x v="24"/>
  </r>
  <r>
    <s v="RTGS/ICICR42023030500507481/HDFC0002732/RAJEEV SHARMA"/>
    <n v="500000"/>
    <m/>
    <n v="342816.5"/>
    <s v="RAJEEV SHARMA"/>
    <s v="FROM RAHUL TOMAR CAPITAL"/>
    <m/>
    <m/>
    <m/>
    <m/>
    <m/>
    <m/>
    <x v="57"/>
  </r>
  <r>
    <s v="NEFT-PUNBH23069540171-SHALAU DIN S O WASIDH--02662010025140-PUNB0026610"/>
    <m/>
    <n v="390000"/>
    <n v="732816.5"/>
    <s v="SHALAU DIN"/>
    <s v="FROM FARMAR PAYMENTS"/>
    <m/>
    <m/>
    <m/>
    <m/>
    <m/>
    <m/>
    <x v="7"/>
  </r>
  <r>
    <s v="UPI/307629940045/NA/75359591@paytm/Punjab National/PTMa9abc60a134b4481ad56744b60fe4de2"/>
    <m/>
    <n v="50000"/>
    <n v="782816.5"/>
    <s v="INDERKALI"/>
    <s v="REFUND"/>
    <m/>
    <m/>
    <m/>
    <m/>
    <m/>
    <m/>
    <x v="47"/>
  </r>
  <r>
    <s v="CLG/GEETA DEVI/840210/SBI/20.03.2023"/>
    <m/>
    <n v="350000"/>
    <n v="1132816.5"/>
    <s v="GEETA DEVI"/>
    <s v="IF OF PLOT NO B40"/>
    <m/>
    <m/>
    <m/>
    <m/>
    <m/>
    <m/>
    <x v="1"/>
  </r>
  <r>
    <s v="REJECT:840210:DRAWERS SIGNATURE DIFFERS"/>
    <n v="350000"/>
    <m/>
    <n v="782816.5"/>
    <s v="GEETA DEVI"/>
    <s v="FROM  PLOT NO B40"/>
    <m/>
    <m/>
    <m/>
    <m/>
    <m/>
    <m/>
    <x v="1"/>
  </r>
  <r>
    <s v="UPI/308214250530/NA/75359591@paytm/Punjab National/PTMacdef26c6ecb4d3f91f556dc50db70c7"/>
    <m/>
    <n v="56000"/>
    <n v="838816.5"/>
    <s v="INDERKALI"/>
    <s v="REFUND"/>
    <m/>
    <m/>
    <m/>
    <m/>
    <m/>
    <m/>
    <x v="47"/>
  </r>
  <r>
    <s v="RTGS/ICICR42023032300530916/SBIN0016609/PRAMOD KUMAR"/>
    <n v="474000"/>
    <m/>
    <n v="364816.5"/>
    <s v="Pramod kumar"/>
    <s v="FROMPLOTNO B41"/>
    <m/>
    <m/>
    <m/>
    <m/>
    <m/>
    <m/>
    <x v="1"/>
  </r>
  <r>
    <s v="INF/INFT/031599190251/ADVANCE        /D G ASSOCIATES"/>
    <m/>
    <n v="200000"/>
    <n v="564816.5"/>
    <s v="DG ASSOCIATES"/>
    <s v="ADVANCE"/>
    <m/>
    <m/>
    <m/>
    <m/>
    <m/>
    <m/>
    <x v="50"/>
  </r>
  <r>
    <s v="CASH PAID:GAURAV 0668 SHAMLICHQ,000241"/>
    <n v="500000"/>
    <m/>
    <n v="64816.5"/>
    <s v="CASH"/>
    <s v="SELF"/>
    <m/>
    <m/>
    <m/>
    <m/>
    <s v="EXPENCE"/>
    <m/>
    <x v="40"/>
  </r>
  <r>
    <s v="INF/INFT/031652455011/ADVANCE        /D G ASSOCIATES"/>
    <m/>
    <n v="600000"/>
    <n v="664816.5"/>
    <s v="DG ASSOCIATES"/>
    <s v="ADVANCE"/>
    <m/>
    <m/>
    <m/>
    <m/>
    <m/>
    <m/>
    <x v="50"/>
  </r>
  <r>
    <s v="RTGS/ICICR42023032800575657/UBIN0553646/RAJKUMAR"/>
    <n v="475000"/>
    <m/>
    <n v="189816.5"/>
    <s v="RAJKUMAR"/>
    <s v="FROM PLOT NO B40"/>
    <m/>
    <m/>
    <m/>
    <m/>
    <m/>
    <m/>
    <x v="1"/>
  </r>
  <r>
    <s v="INF/NEFT/031652479151/RATN0000266/REFUND         /SUMANb40"/>
    <n v="125000"/>
    <m/>
    <n v="64816.5"/>
    <s v="SUMAN LATA"/>
    <s v="FROM PLOT NO B40"/>
    <m/>
    <m/>
    <m/>
    <m/>
    <m/>
    <m/>
    <x v="1"/>
  </r>
  <r>
    <s v="INF/INFT/031661508841/ADVANCE        /D G ASSOCIATES"/>
    <m/>
    <n v="1500000"/>
    <n v="1564816.5"/>
    <s v="DG ASSOCIATES"/>
    <s v="ADVANCE"/>
    <m/>
    <m/>
    <m/>
    <m/>
    <m/>
    <m/>
    <x v="50"/>
  </r>
  <r>
    <s v="INF/NEFT/031661579441/SBIN0000074/REFUND B41     /RAJNISHchauhanB"/>
    <n v="125000"/>
    <m/>
    <n v="1439816.5"/>
    <s v="RAJNISH CHAUHAN"/>
    <s v="FROM PLOT NO B42"/>
    <m/>
    <m/>
    <m/>
    <m/>
    <m/>
    <m/>
    <x v="1"/>
  </r>
  <r>
    <s v="MMT/IMPS/308816615836/REFUND B42/JYOTIdeviB/SBIN0000074"/>
    <n v="25000"/>
    <m/>
    <n v="1414816.5"/>
    <s v="JYOTI DEVI"/>
    <s v="FROM PLOT NO B41"/>
    <m/>
    <m/>
    <m/>
    <m/>
    <m/>
    <m/>
    <x v="1"/>
  </r>
  <r>
    <s v="INF/INFT/031712891081/REFUND         /MOHITkumarA144"/>
    <n v="450001"/>
    <m/>
    <n v="964815.5"/>
    <s v="MOHIT KUMAR"/>
    <s v="FROM PLOT NO A142"/>
    <m/>
    <m/>
    <m/>
    <m/>
    <m/>
    <m/>
    <x v="1"/>
  </r>
  <r>
    <s v="RTGS/ICICR42023040300518206/UTIB0003330/RAVI KUMAR"/>
    <n v="778889"/>
    <m/>
    <n v="185926.5"/>
    <s v="RAVI KUMAR"/>
    <s v="FROM PLOT NO A144"/>
    <m/>
    <m/>
    <m/>
    <m/>
    <m/>
    <m/>
    <x v="1"/>
  </r>
  <r>
    <s v="MMT/IMPS/309319010756/REFUND/SURENDRAsi/SBIN0016609"/>
    <n v="72500"/>
    <m/>
    <n v="113426.5"/>
    <s v="SURENDRA SINGH"/>
    <s v="FROM PLOT NO B35"/>
    <m/>
    <m/>
    <m/>
    <m/>
    <m/>
    <s v="BOUNCE"/>
    <x v="1"/>
  </r>
  <r>
    <s v="MMT/IMPS/309319010756/REFUND/SURENDRAsi/SBIN0016609"/>
    <m/>
    <n v="72500"/>
    <n v="185926.5"/>
    <s v="SURENDRA SINGH"/>
    <s v="IF OF PLOT NO B35"/>
    <m/>
    <m/>
    <m/>
    <m/>
    <m/>
    <s v="BOUNCE"/>
    <x v="1"/>
  </r>
  <r>
    <s v="MMT/IMPS/309416079755/SALARY/rahulCHAUD/HDFC0004358"/>
    <n v="29700"/>
    <m/>
    <n v="156226.5"/>
    <s v="RAHUL CHAUDHARY"/>
    <s v="SALARY"/>
    <m/>
    <m/>
    <m/>
    <m/>
    <m/>
    <n v="300"/>
    <x v="24"/>
  </r>
  <r>
    <s v="MMT/IMPS/309416085378/SALARY/goravDG   /CNRB0002323"/>
    <n v="29700"/>
    <m/>
    <n v="126526.5"/>
    <s v="GORAV "/>
    <s v="SALARY"/>
    <m/>
    <m/>
    <m/>
    <m/>
    <m/>
    <n v="300"/>
    <x v="25"/>
  </r>
  <r>
    <s v="MMT/IMPS/309417208156/SALARY/BABITAdham/PUNB0471600"/>
    <n v="50000"/>
    <m/>
    <n v="76526.5"/>
    <s v="BABITA DHAMA"/>
    <s v="FROM PLOT NO B35"/>
    <m/>
    <m/>
    <m/>
    <m/>
    <m/>
    <s v="REFUND AS ON DATE (26/7/21)"/>
    <x v="1"/>
  </r>
  <r>
    <s v="MMT/IMPS/309417216044/REFUND/SURENDRAsi/SBIN0016609"/>
    <n v="22500"/>
    <m/>
    <n v="54026.5"/>
    <s v="SURENDRA SINGH"/>
    <s v="FROM PLOT NO B35"/>
    <m/>
    <m/>
    <m/>
    <m/>
    <m/>
    <s v="REFUND(29/6/22)"/>
    <x v="1"/>
  </r>
  <r>
    <s v="MMT/IMPS/310720424926/salary/AMITyadav /HDFC0000655"/>
    <n v="29700"/>
    <m/>
    <n v="24326.5"/>
    <s v="AMIT YADAV"/>
    <s v="SALARY"/>
    <m/>
    <m/>
    <m/>
    <m/>
    <m/>
    <n v="300"/>
    <x v="24"/>
  </r>
  <r>
    <s v="CLG/CHEQUE/403086/PNB/17.04.2023"/>
    <m/>
    <n v="1700000"/>
    <n v="1724326.5"/>
    <s v="KASAM ALI"/>
    <s v="REFUND FROM FARMAR PAYMENT"/>
    <m/>
    <m/>
    <m/>
    <m/>
    <m/>
    <m/>
    <x v="7"/>
  </r>
  <r>
    <s v="REJECT:403086:ADVICE NOT RECEIVED"/>
    <n v="1700000"/>
    <m/>
    <n v="24326.5"/>
    <s v="KASAM ALI"/>
    <s v="BOUNS"/>
    <m/>
    <m/>
    <m/>
    <m/>
    <m/>
    <m/>
    <x v="7"/>
  </r>
  <r>
    <s v="CLG/CHEQUE/403086/PNB/17.04.2023"/>
    <m/>
    <n v="1700000"/>
    <n v="1724326.5"/>
    <s v="KASAM ALI"/>
    <s v="REFUND FROM FARMAR PAYMENT"/>
    <m/>
    <m/>
    <m/>
    <m/>
    <m/>
    <m/>
    <x v="7"/>
  </r>
  <r>
    <s v="REJECT:403086:ADVICE NOT RECEIVED"/>
    <n v="1700000"/>
    <m/>
    <n v="24326.5"/>
    <s v="KASAM ALI"/>
    <s v="BOUNS"/>
    <m/>
    <m/>
    <m/>
    <m/>
    <m/>
    <m/>
    <x v="7"/>
  </r>
  <r>
    <s v="CLG/INUSH ALI/154997/PNB/24.04.2023"/>
    <m/>
    <n v="126000"/>
    <n v="150326.5"/>
    <s v="INUSH ALI"/>
    <s v="REFUND FROM FARMAR PAYMENT"/>
    <m/>
    <m/>
    <m/>
    <m/>
    <m/>
    <m/>
    <x v="7"/>
  </r>
  <r>
    <s v="CLG/SHALAU DIN/136463/PNB/24.03.2023"/>
    <m/>
    <n v="266500"/>
    <n v="416826.5"/>
    <s v="SHALAU DIN"/>
    <s v="REFUND FROM FARMAR PAYMENT"/>
    <m/>
    <m/>
    <m/>
    <m/>
    <m/>
    <m/>
    <x v="7"/>
  </r>
  <r>
    <s v="RTGS-PUNBR52023042714186652-KASAM SO RUSTAM-02662010019640-PUNB0026610"/>
    <m/>
    <n v="1700000"/>
    <n v="2116826.5"/>
    <s v="KASAM ALI"/>
    <s v="REFUND FROM FARMAR PAYMENT"/>
    <m/>
    <m/>
    <m/>
    <m/>
    <m/>
    <m/>
    <x v="7"/>
  </r>
  <r>
    <s v="MMT/IMPS/312210407621/REFUND PAYMENT/GEETAdeviB/SBIN0002383"/>
    <n v="150000"/>
    <m/>
    <n v="1966826.5"/>
    <s v="GEETA DEVI"/>
    <s v="FROM PLOT NO B40"/>
    <m/>
    <m/>
    <m/>
    <m/>
    <m/>
    <m/>
    <x v="1"/>
  </r>
  <r>
    <s v="INF/INFT/032102342751/REFUND         /aashu"/>
    <n v="600000"/>
    <m/>
    <n v="1366826.5"/>
    <s v="AASHU TYAGI"/>
    <s v="REFUND"/>
    <m/>
    <m/>
    <m/>
    <m/>
    <m/>
    <s v="REFUND AS ON DATE( 4/7/22)"/>
    <x v="6"/>
  </r>
  <r>
    <s v="MMT/IMPS/312613643388/SALARY/rahulCHAUD/HDFC0004358"/>
    <n v="29700"/>
    <m/>
    <n v="1337126.5"/>
    <s v="RAHUL CHAUDHARY"/>
    <s v="SALARY"/>
    <m/>
    <m/>
    <m/>
    <m/>
    <m/>
    <n v="300"/>
    <x v="24"/>
  </r>
  <r>
    <s v="MMT/IMPS/312613647980/SALARY/AMITyadav/HDFC0000655"/>
    <n v="29700"/>
    <m/>
    <n v="1307426.5"/>
    <s v="AMIT YADAV"/>
    <s v="SALARY"/>
    <m/>
    <m/>
    <m/>
    <m/>
    <m/>
    <n v="300"/>
    <x v="24"/>
  </r>
  <r>
    <s v="MMT/IMPS/312613654185/SALARY/goravDG/CNRB0002323"/>
    <n v="29700"/>
    <m/>
    <n v="1277726.5"/>
    <s v="GORAV "/>
    <s v="SALARY"/>
    <m/>
    <m/>
    <m/>
    <m/>
    <m/>
    <n v="300"/>
    <x v="25"/>
  </r>
  <r>
    <s v="RTGS/ICICR42023050600515905/PUNB0776900/CHARAN SINGH"/>
    <n v="1000000"/>
    <m/>
    <n v="277726.5"/>
    <s v="CHARAN SINGH"/>
    <s v="FROM PLOT NO B33"/>
    <m/>
    <m/>
    <m/>
    <m/>
    <m/>
    <s v="REFUND(14/9/21,1/2/22,26/5/22)"/>
    <x v="1"/>
  </r>
  <r>
    <s v="RTGS-PUNBR52023051814934536-KASIM SO RUSTAM-02662010019640-PUNB0026610"/>
    <m/>
    <n v="2450000"/>
    <n v="2727726.5"/>
    <s v="KASIM ALI"/>
    <s v="FROM FARMAR PAYMENTS"/>
    <m/>
    <m/>
    <m/>
    <m/>
    <m/>
    <m/>
    <x v="7"/>
  </r>
  <r>
    <s v="RTGS/ICICR42023051800524469/PUNB0776900/CHARAN SINGH"/>
    <n v="298600"/>
    <m/>
    <n v="2429126.5"/>
    <s v="CHARAN SINGH"/>
    <s v="FROM PLOT NO B33"/>
    <m/>
    <m/>
    <m/>
    <m/>
    <m/>
    <s v="REFUND(1/2/22)"/>
    <x v="1"/>
  </r>
  <r>
    <s v="RTGS-PUNBR52023051814954729-INUSH ALI S O VASID-02662010044120-PUNB0026610"/>
    <m/>
    <n v="838000"/>
    <n v="3267126.5"/>
    <s v="INUSH ALI"/>
    <s v="FROM FARMAR PAYMENTS"/>
    <m/>
    <m/>
    <m/>
    <m/>
    <m/>
    <m/>
    <x v="7"/>
  </r>
  <r>
    <s v="RTGS/ICICR42023051900542785/SBIN0007619/LOKINDRAKUMAR"/>
    <n v="400000"/>
    <m/>
    <n v="2867126.5"/>
    <s v="LOKINDRA SAROHA"/>
    <s v="FROM PLOT NO A58"/>
    <m/>
    <m/>
    <m/>
    <m/>
    <m/>
    <m/>
    <x v="1"/>
  </r>
  <r>
    <s v="RTGS/ICICR42023051900543276/SBIN0016609/PRAMOD KUMAR"/>
    <n v="206000"/>
    <m/>
    <n v="2661126.5"/>
    <s v="Pramod kumar"/>
    <s v="FROM PLOT NO A58"/>
    <m/>
    <m/>
    <m/>
    <m/>
    <m/>
    <m/>
    <x v="1"/>
  </r>
  <r>
    <s v="MMT/IMPS/313918227167/refund payment/RAKHItomar/SBIN0000685"/>
    <n v="99999"/>
    <m/>
    <n v="2561127.5"/>
    <s v="RAKHI TOMAR"/>
    <s v="FROM PLOT NO A1"/>
    <m/>
    <m/>
    <m/>
    <m/>
    <m/>
    <m/>
    <x v="1"/>
  </r>
  <r>
    <s v="INF/NEFT/032297766781/PUNB0471600/refund a34     /ASHOKkumarTYAGI"/>
    <n v="175000"/>
    <m/>
    <n v="2386127.5"/>
    <s v="ASHOK KUMAR TYAGI"/>
    <s v="FROM PLOT NO A34"/>
    <m/>
    <m/>
    <m/>
    <m/>
    <m/>
    <s v="REFUND AS ON DATE (16/8/21)"/>
    <x v="1"/>
  </r>
  <r>
    <s v="INF/NEFT/032333663041/ICIC00MERUT/REFUND A85     /AJAYkumarA85"/>
    <n v="300000"/>
    <m/>
    <n v="2086127.5"/>
    <s v="AJAY KUMAR"/>
    <s v="FROM PLOT NO A85"/>
    <m/>
    <m/>
    <m/>
    <m/>
    <m/>
    <s v="REFUND AS ON DATE (10/9/21)"/>
    <x v="1"/>
  </r>
  <r>
    <s v="INF/INFT/032333732211/ADVANCE        /yogrshTYAGIdg"/>
    <n v="200000"/>
    <m/>
    <n v="1886127.5"/>
    <s v="YOGESH TYAGI"/>
    <s v="ADVANCE"/>
    <m/>
    <m/>
    <m/>
    <m/>
    <m/>
    <m/>
    <x v="3"/>
  </r>
  <r>
    <s v="MMT/IMPS/315213960856/REFUND PAYMENT/SEEMAa20/BARB0BARAUT"/>
    <n v="75000"/>
    <m/>
    <n v="1811127.5"/>
    <m/>
    <m/>
    <m/>
    <m/>
    <m/>
    <m/>
    <m/>
    <m/>
    <x v="1"/>
  </r>
  <r>
    <s v="MMT/IMPS/315213960856/REFUND PAYMENT/SEEMAa20/BARB0BARAUT"/>
    <m/>
    <n v="75000"/>
    <n v="1886127.5"/>
    <m/>
    <m/>
    <m/>
    <m/>
    <m/>
    <m/>
    <m/>
    <m/>
    <x v="1"/>
  </r>
  <r>
    <s v="MMT/IMPS/315213980587/REFUND PAYMENT/SEEMAa20/BARB0BARAUT"/>
    <n v="75000"/>
    <m/>
    <n v="1811127.5"/>
    <m/>
    <m/>
    <m/>
    <m/>
    <m/>
    <m/>
    <m/>
    <m/>
    <x v="1"/>
  </r>
  <r>
    <s v="MMT/IMPS/315213980587/REFUND PAYMENT/SEEMAa20/BARB0BARAUT"/>
    <m/>
    <n v="75000"/>
    <n v="1886127.5"/>
    <m/>
    <m/>
    <m/>
    <m/>
    <m/>
    <m/>
    <m/>
    <m/>
    <x v="1"/>
  </r>
  <r>
    <s v="MMT/IMPS/315213990986/refundpayment/SEEMAa20/BARB0BARAUT"/>
    <n v="75000"/>
    <m/>
    <n v="1811127.5"/>
    <m/>
    <m/>
    <m/>
    <m/>
    <m/>
    <m/>
    <m/>
    <m/>
    <x v="1"/>
  </r>
  <r>
    <s v="MMT/IMPS/315213990986/refundpayment/SEEMAa20/BARB0BARAUT"/>
    <m/>
    <n v="75000"/>
    <n v="1886127.5"/>
    <m/>
    <m/>
    <m/>
    <m/>
    <m/>
    <m/>
    <m/>
    <m/>
    <x v="1"/>
  </r>
  <r>
    <s v="MMT/IMPS/315213996087/REFUND PAYMEND/VIMLESHa20/BARB0BARAUT"/>
    <n v="100000"/>
    <m/>
    <n v="1786127.5"/>
    <m/>
    <m/>
    <m/>
    <m/>
    <m/>
    <m/>
    <m/>
    <m/>
    <x v="1"/>
  </r>
  <r>
    <s v="MMT/IMPS/315213996087/REFUND PAYMEND/VIMLESHa20/BARB0BARAUT"/>
    <m/>
    <n v="100000"/>
    <n v="1886127.5"/>
    <m/>
    <m/>
    <m/>
    <m/>
    <m/>
    <m/>
    <m/>
    <m/>
    <x v="1"/>
  </r>
  <r>
    <s v="INF/INFT/032391577561/REFUND PAYMENT /VIPINnitteBHAI"/>
    <n v="310000"/>
    <m/>
    <n v="1576127.5"/>
    <s v="VIPIN NITTE BHAI"/>
    <s v="FROM PLOT NO A20"/>
    <m/>
    <m/>
    <m/>
    <m/>
    <m/>
    <m/>
    <x v="1"/>
  </r>
  <r>
    <s v="BIL/ONL/000673509778/UP Power C/BILL PAYMENT"/>
    <n v="31400"/>
    <m/>
    <n v="1544727.5"/>
    <s v="UP POWER COMMERCIAL"/>
    <s v="ELECTRICITY BILL PAYMENT"/>
    <m/>
    <m/>
    <m/>
    <m/>
    <s v="EXPENCE"/>
    <m/>
    <x v="56"/>
  </r>
  <r>
    <s v="BIL/ONL/000673513621/UP Power C/BILL PAYMNET"/>
    <n v="13680"/>
    <m/>
    <n v="1531047.5"/>
    <s v="UP POWER COMMERCIAL"/>
    <s v="ELECTRICITY BILL PAYMENT"/>
    <m/>
    <m/>
    <m/>
    <m/>
    <s v="EXPENCE"/>
    <m/>
    <x v="56"/>
  </r>
  <r>
    <s v="BIL/ONL/000673517755/UP Power C/FIX CHARGE BILL"/>
    <n v="8653"/>
    <m/>
    <n v="1522394.5"/>
    <s v="UP POWER COMMERCIAL"/>
    <s v="ELECTRICITY BILL PAYMENT"/>
    <m/>
    <m/>
    <m/>
    <m/>
    <s v="EXPENCE"/>
    <m/>
    <x v="56"/>
  </r>
  <r>
    <s v="RTGS/ICICR42023060300533448/BARB0KANMEE/DIGPAL SINGH"/>
    <n v="299000"/>
    <m/>
    <n v="1223394.5"/>
    <s v="DIGPAL SINGH"/>
    <s v="FROM PLOT NO A53 7 yogesh tyagi ji capital"/>
    <m/>
    <m/>
    <m/>
    <m/>
    <m/>
    <s v="250000-PERSONAL A/C"/>
    <x v="1"/>
  </r>
  <r>
    <s v="MMT/IMPS/315618880904/BULD24814438/RAHUL CHAU/HDFC0004358"/>
    <n v="29700"/>
    <m/>
    <n v="1193694.5"/>
    <s v="RAHUL CHAUDHARY"/>
    <s v="SALARY"/>
    <m/>
    <m/>
    <m/>
    <m/>
    <m/>
    <n v="300"/>
    <x v="24"/>
  </r>
  <r>
    <s v="MMT/IMPS/315618880998/BULD24814438/GORAV/CNRB0002323"/>
    <n v="29700"/>
    <m/>
    <n v="1163994.5"/>
    <s v="GORAV"/>
    <s v="SALARY"/>
    <m/>
    <m/>
    <m/>
    <m/>
    <m/>
    <n v="300"/>
    <x v="25"/>
  </r>
  <r>
    <s v="MMT/IMPS/315618881140/BULD24814438/AMIT YADAV/HDFC0000655"/>
    <n v="29700"/>
    <m/>
    <n v="1134294.5"/>
    <s v="AMIT YADAV"/>
    <s v="SALARY"/>
    <m/>
    <m/>
    <m/>
    <m/>
    <m/>
    <n v="300"/>
    <x v="24"/>
  </r>
  <r>
    <s v="RTGS/ICICR42023060700524999/SBIN0002484/24886170/                    /D N PAUL"/>
    <n v="500000"/>
    <m/>
    <n v="634294.5"/>
    <s v="DN PAL "/>
    <s v="FROM PLOT NO A79"/>
    <m/>
    <m/>
    <m/>
    <m/>
    <m/>
    <m/>
    <x v="1"/>
  </r>
  <r>
    <s v="INF/INFT/032478065671/REFUND         /BALAJI ASSOCIAT"/>
    <m/>
    <n v="3500000"/>
    <n v="4134294.5"/>
    <s v="BALAJI ASSOCIATES"/>
    <s v="REFUND"/>
    <m/>
    <m/>
    <m/>
    <m/>
    <m/>
    <m/>
    <x v="41"/>
  </r>
  <r>
    <s v="INF/INFT/032478295461/24922951     /AMIT YADAV/"/>
    <n v="710000"/>
    <m/>
    <n v="3424294.5"/>
    <s v="AMIT YADAV"/>
    <s v="FROM PLOT NO A34 &amp; YOGESH TYAGI JI CAPITAL"/>
    <m/>
    <m/>
    <m/>
    <m/>
    <m/>
    <s v="REFUND AS ON DATE (18/10/21, 28/6/22, 30/6/22, )"/>
    <x v="1"/>
  </r>
  <r>
    <s v="MMT/IMPS/316217390132/TDS/DHAWALmalh/IOBA0002803"/>
    <n v="12873"/>
    <m/>
    <n v="3411421.5"/>
    <s v="DHAWAL MALHOTRA"/>
    <s v="TDS "/>
    <m/>
    <m/>
    <m/>
    <m/>
    <s v="EXPENCE"/>
    <m/>
    <x v="58"/>
  </r>
  <r>
    <s v="MMT/IMPS/316416696350/TDS/DHAWALmalh/IOBA0002803"/>
    <n v="4000"/>
    <m/>
    <n v="3407421.5"/>
    <s v="DHAWAL MALHOTRA"/>
    <s v="TDS "/>
    <m/>
    <m/>
    <m/>
    <m/>
    <s v="EXPENCE"/>
    <m/>
    <x v="58"/>
  </r>
  <r>
    <s v="RTGS-PUNBR52023062216160127-SHALAU DIN S O WASIDH-02662010025140-PUNB0026610"/>
    <m/>
    <n v="695500"/>
    <n v="4102921.5"/>
    <s v="SHALAU DIN"/>
    <s v="FROM FARMAR PAYMENTS"/>
    <m/>
    <m/>
    <m/>
    <m/>
    <m/>
    <m/>
    <x v="7"/>
  </r>
  <r>
    <s v="RTGS/ICICR42023062800511135/SBIN0016609/PRAMOD KUMAR"/>
    <n v="620000"/>
    <m/>
    <n v="3482921.5"/>
    <s v="Pramod kumar"/>
    <s v="FROM PLOT NO A57"/>
    <m/>
    <m/>
    <m/>
    <m/>
    <m/>
    <m/>
    <x v="1"/>
  </r>
  <r>
    <s v="BIL/ONL/000686170271/THE NEW AS"/>
    <n v="47451"/>
    <m/>
    <n v="3435470.5"/>
    <s v="THE NEWAS   "/>
    <s v="SUSPENCE"/>
    <m/>
    <m/>
    <m/>
    <m/>
    <m/>
    <m/>
    <x v="16"/>
  </r>
  <r>
    <s v="RTGS/ICICR42023070200506132/PSIB0000816/SATPAL TYAGI"/>
    <n v="200000"/>
    <m/>
    <n v="3235470.5"/>
    <s v="SATPAL TYAGI"/>
    <s v="FROM PLOT NO A36"/>
    <m/>
    <m/>
    <m/>
    <m/>
    <m/>
    <m/>
    <x v="1"/>
  </r>
  <r>
    <s v="MMT/IMPS/318418027291/BULD25687107/RAHUL CHAU/HDFC0004358"/>
    <n v="29700"/>
    <m/>
    <n v="3205770.5"/>
    <s v="RAHUL CHAUDHARY"/>
    <s v="SALARY"/>
    <m/>
    <m/>
    <m/>
    <m/>
    <m/>
    <n v="300"/>
    <x v="24"/>
  </r>
  <r>
    <s v="MMT/IMPS/318418027408/BULD25687107/GORAV     /CNRB0002323"/>
    <n v="29700"/>
    <m/>
    <n v="3176070.5"/>
    <s v="GORAV "/>
    <s v="SALARY"/>
    <m/>
    <m/>
    <m/>
    <m/>
    <m/>
    <n v="300"/>
    <x v="25"/>
  </r>
  <r>
    <s v="MMT/IMPS/318418028503/BULD25687107/AMIT YADAV/HDFC0000655"/>
    <n v="29700"/>
    <m/>
    <n v="3146370.5"/>
    <s v="AMIT YADAV"/>
    <s v="SALARY"/>
    <m/>
    <m/>
    <m/>
    <m/>
    <m/>
    <n v="300"/>
    <x v="24"/>
  </r>
  <r>
    <s v="RTGS/ICICR42023070400530607/SBIN0011558/25713354/                    /BIRPAL SINGH"/>
    <n v="300000"/>
    <m/>
    <n v="2846370.5"/>
    <s v="BIRPAL SINGH"/>
    <s v="FROM PLOT NO B46"/>
    <m/>
    <m/>
    <m/>
    <m/>
    <m/>
    <s v="REFUND(4/9/21,9/11/21,30/12/21)"/>
    <x v="1"/>
  </r>
  <r>
    <s v="RTGS/ICICR42023070600554958/SBIN0007619/LOKINDRAKUMAR"/>
    <n v="337000"/>
    <m/>
    <n v="2509370.5"/>
    <s v="LOKINDRA SAROHA"/>
    <s v="FROM PLOT NO A57"/>
    <m/>
    <m/>
    <m/>
    <m/>
    <m/>
    <m/>
    <x v="1"/>
  </r>
  <r>
    <s v="MMT/IMPS/319111466498/BULD25921132/SHIV KUMAR/SBIN0011441"/>
    <n v="133000"/>
    <m/>
    <n v="2376370.5"/>
    <s v="SHIV KUMAR"/>
    <s v="FROM PLOT NO B2"/>
    <m/>
    <m/>
    <m/>
    <m/>
    <m/>
    <m/>
    <x v="1"/>
  </r>
  <r>
    <s v="RTGS/ICICR42023071700530706/BDBL0001169/BRIJBIR SINGH"/>
    <n v="755600"/>
    <m/>
    <n v="1620770.5"/>
    <s v="BRIJBIR SINGH"/>
    <s v="FROM  PLOT NO A96"/>
    <m/>
    <m/>
    <m/>
    <m/>
    <m/>
    <s v="REFUND(1/10/21,2/3/22)"/>
    <x v="1"/>
  </r>
  <r>
    <s v="INF/NEFT/032978250321/SBIN0007619/REFUND PAYMENT /LOKINDRAkumarDG"/>
    <n v="143000"/>
    <m/>
    <n v="1477770.5"/>
    <s v="LOKINDRA SAROHA"/>
    <s v="FROM PLOT NO A57"/>
    <m/>
    <m/>
    <m/>
    <m/>
    <m/>
    <m/>
    <x v="1"/>
  </r>
  <r>
    <s v="MMT/IMPS/320219447468/refund payment/ARUNbhiDG /SBIN0016608"/>
    <n v="100000"/>
    <m/>
    <n v="1377770.5"/>
    <s v="ARUN CHAUDHARY"/>
    <s v="REFUND"/>
    <m/>
    <m/>
    <m/>
    <m/>
    <m/>
    <s v="REFUND(19/5/22)"/>
    <x v="45"/>
  </r>
  <r>
    <s v="RTGS:ICICR52023080200279056/PUNB0042400/AJAY KUMAR SO RISHI KUMAR"/>
    <n v="1055000"/>
    <m/>
    <n v="322770.5"/>
    <s v="AJAY KUMAR"/>
    <s v="FROM PLOT NO A6"/>
    <m/>
    <m/>
    <m/>
    <m/>
    <m/>
    <s v="REFUND AS ON DATE (12/12/22)"/>
    <x v="1"/>
  </r>
  <r>
    <s v="MMT/IMPS/321415207450/BULD26651479/RAHUL CHAU/HDFC0004358"/>
    <n v="29700"/>
    <m/>
    <n v="293070.5"/>
    <s v="RAHUL CHAUDHARY"/>
    <s v="SALARY"/>
    <m/>
    <m/>
    <m/>
    <m/>
    <m/>
    <n v="300"/>
    <x v="24"/>
  </r>
  <r>
    <s v="MMT/IMPS/321415207535/BULD26651479/GORAV     /CNRB0002323"/>
    <n v="29700"/>
    <m/>
    <n v="263370.5"/>
    <s v="GORAV"/>
    <s v="SALARY"/>
    <m/>
    <m/>
    <m/>
    <m/>
    <m/>
    <n v="300"/>
    <x v="25"/>
  </r>
  <r>
    <s v="MMT/IMPS/321415207633/BULD26651479/AMIT YADAV/HDFC0000655"/>
    <n v="29700"/>
    <m/>
    <n v="233670.5"/>
    <s v="AMIT YADAV"/>
    <s v="SALARY"/>
    <m/>
    <m/>
    <m/>
    <m/>
    <m/>
    <n v="300"/>
    <x v="24"/>
  </r>
  <r>
    <s v="RTGS-PUNBR52023081117854947-KASIM SO RUSTAM-02662010019640-PUNB0026610"/>
    <m/>
    <n v="3100000"/>
    <n v="3333670.5"/>
    <s v="KASIM ALI"/>
    <s v="FROM FARMAR PAYMENTS"/>
    <m/>
    <m/>
    <m/>
    <m/>
    <m/>
    <m/>
    <x v="7"/>
  </r>
  <r>
    <s v="CLG/PRAMOD KUMARI WO/462691/PNB/12.08.2023"/>
    <m/>
    <n v="300000"/>
    <n v="3633670.5"/>
    <s v="PRAMOD KUMARI"/>
    <s v="IF OF SHOP NO S4, S12"/>
    <m/>
    <m/>
    <m/>
    <m/>
    <m/>
    <m/>
    <x v="1"/>
  </r>
  <r>
    <s v="UPI/359513553283/NA/061218@paytm/State Bank Of I/PTM51de7aace07f412089529b88f96b4578"/>
    <m/>
    <n v="50000"/>
    <n v="3683670.5"/>
    <s v="NITU"/>
    <s v="IF OF PLOT NO A45"/>
    <m/>
    <m/>
    <m/>
    <m/>
    <m/>
    <m/>
    <x v="1"/>
  </r>
  <r>
    <s v="INF/INFT/033383034531/refund         /yogrshTYAGIdg"/>
    <n v="400000"/>
    <m/>
    <n v="3283670.5"/>
    <s v="YOGESH TYAGI JI"/>
    <s v="ADVANCE REFUND"/>
    <m/>
    <m/>
    <m/>
    <m/>
    <m/>
    <m/>
    <x v="3"/>
  </r>
  <r>
    <s v="Drcard Reissue Chrgs+GST"/>
    <n v="236"/>
    <m/>
    <n v="3283434.5"/>
    <s v="BANK"/>
    <s v="Bank Charges"/>
    <m/>
    <m/>
    <m/>
    <m/>
    <s v="EXPENCE"/>
    <m/>
    <x v="2"/>
  </r>
  <r>
    <s v="MMT/IMPS/324014857453/BULD27478724/RAHUL CHAU/HDFC0004358"/>
    <n v="29700"/>
    <m/>
    <n v="3253734.5"/>
    <s v="RAHUL CHAUDHARY"/>
    <s v="SALARY"/>
    <m/>
    <m/>
    <m/>
    <m/>
    <m/>
    <n v="300"/>
    <x v="24"/>
  </r>
  <r>
    <s v="MMT/IMPS/324014857501/BULD27478724/GORAV     /CNRB0002323"/>
    <n v="29700"/>
    <m/>
    <n v="3224034.5"/>
    <s v="GORAV"/>
    <s v="SALARY"/>
    <m/>
    <m/>
    <m/>
    <m/>
    <m/>
    <n v="300"/>
    <x v="25"/>
  </r>
  <r>
    <s v="MMT/IMPS/324014858052/BULD27478724/AMIT YADAV/HDFC0000655"/>
    <n v="29700"/>
    <m/>
    <n v="3194334.5"/>
    <s v="AMIT YADAV"/>
    <s v="SALARY"/>
    <m/>
    <m/>
    <m/>
    <m/>
    <m/>
    <n v="300"/>
    <x v="24"/>
  </r>
  <r>
    <s v="RTGS/ICICR42023091600523438/UTIB0002188/NISHANT SAROHA"/>
    <n v="600000"/>
    <m/>
    <n v="2594334.5"/>
    <s v="NISHANT SAROHA"/>
    <s v="FROM PLOT NO A146"/>
    <m/>
    <m/>
    <m/>
    <m/>
    <m/>
    <m/>
    <x v="1"/>
  </r>
  <r>
    <s v="RTGS/ICICR42023091600523660/HDFC0001913/AJAY BINDAL"/>
    <n v="299000"/>
    <m/>
    <n v="2295334.5"/>
    <s v="AJAY BINDAL"/>
    <s v="FROM PLOT NO A130"/>
    <m/>
    <m/>
    <m/>
    <m/>
    <m/>
    <m/>
    <x v="1"/>
  </r>
  <r>
    <s v="MMT/IMPS/325914977048/REFUND PAYMENT/HARENDERsi/SBIN0017884"/>
    <n v="50000"/>
    <m/>
    <n v="2245334.5"/>
    <s v="HARENDER"/>
    <s v="FROM PLOT NO A45"/>
    <m/>
    <m/>
    <m/>
    <m/>
    <m/>
    <m/>
    <x v="1"/>
  </r>
  <r>
    <s v="INF/NEFT/033711046471/SBIN0001563/REFUND PAYMENT /RAVIrajTOMARB18"/>
    <n v="200000"/>
    <m/>
    <n v="2045334.5"/>
    <s v="RAVI RAJ "/>
    <s v="FROM PLOT NO B18"/>
    <m/>
    <m/>
    <m/>
    <m/>
    <m/>
    <m/>
    <x v="1"/>
  </r>
  <r>
    <s v="RTGS/ICICR42023091800548380/SBIN0017876/SAVITA MALIK"/>
    <n v="640000"/>
    <m/>
    <n v="1405334.5"/>
    <s v="SAVITA MALIK"/>
    <s v="FROM PLOT NO B45"/>
    <m/>
    <m/>
    <m/>
    <m/>
    <m/>
    <m/>
    <x v="1"/>
  </r>
  <r>
    <s v="INF/NEFT/033711260341/HDFC0004358/REFUND PAYMENT /rahulCHAUDHARYd"/>
    <n v="150000"/>
    <m/>
    <n v="1255334.5"/>
    <s v="RAHUL CHAUDHARY"/>
    <s v="FROM PLOT NO B45"/>
    <m/>
    <m/>
    <m/>
    <m/>
    <m/>
    <m/>
    <x v="1"/>
  </r>
  <r>
    <s v="RTGS/ICICR42023092200505969/SBIN0016608/BEENA DEVI"/>
    <n v="300000"/>
    <m/>
    <n v="955334.5"/>
    <s v="BEENA DEVI "/>
    <s v="FROM PLOT NO A64"/>
    <m/>
    <m/>
    <m/>
    <m/>
    <m/>
    <m/>
    <x v="1"/>
  </r>
  <r>
    <s v="RTGS/ICICR42023093000543476/PUNB0004200/amit tomar"/>
    <n v="269000"/>
    <m/>
    <n v="686334.5"/>
    <s v="AMIT TOMAR"/>
    <s v="FROM OF KULDEEP TOMAR CAPITAL"/>
    <m/>
    <m/>
    <m/>
    <m/>
    <m/>
    <m/>
    <x v="9"/>
  </r>
  <r>
    <s v="MMT/IMPS/327718236753/BULD28943808/GORAV     /CNRB0002323"/>
    <n v="29700"/>
    <m/>
    <n v="656634.5"/>
    <s v="GORAV "/>
    <s v="SALARY"/>
    <m/>
    <m/>
    <m/>
    <m/>
    <m/>
    <n v="300"/>
    <x v="25"/>
  </r>
  <r>
    <s v="MMT/IMPS/327718236872/BULD28943808/AMITYADAV /HDFC0000655"/>
    <n v="29700"/>
    <m/>
    <n v="626934.5"/>
    <s v="AMIT YADAV"/>
    <s v="SALARY"/>
    <m/>
    <m/>
    <m/>
    <m/>
    <m/>
    <n v="300"/>
    <x v="24"/>
  </r>
  <r>
    <s v="MMT/IMPS/327718243848/BULD28943808/RAHULCHAUD/HDFC0004358"/>
    <n v="29700"/>
    <m/>
    <n v="597234.5"/>
    <s v="RAHUL CHAUDHARY"/>
    <s v="SALARY"/>
    <m/>
    <m/>
    <m/>
    <m/>
    <m/>
    <n v="300"/>
    <x v="24"/>
  </r>
  <r>
    <s v="INF/INFT/034062310251/REFUND         /amit"/>
    <n v="110000"/>
    <m/>
    <n v="487234.5"/>
    <s v="PRIYANKA(AMIT TOMAR)"/>
    <s v="REFUND"/>
    <m/>
    <m/>
    <m/>
    <m/>
    <m/>
    <m/>
    <x v="1"/>
  </r>
  <r>
    <s v="INF/INFT/034132268511/REFUND PAYMENT /BALAJI ASSOCIAT"/>
    <m/>
    <n v="2550000"/>
    <n v="3037234.5"/>
    <s v="BALAJI ASSOCIATES"/>
    <s v="ADVANCE REFUND"/>
    <m/>
    <m/>
    <m/>
    <m/>
    <m/>
    <m/>
    <x v="41"/>
  </r>
  <r>
    <s v="INF/NEFT/034132626321/PUNB0371900/29752836     /                            /PRAMODKUMARI"/>
    <n v="895000"/>
    <m/>
    <n v="2142234.5"/>
    <s v="PRAMOD KUMARI"/>
    <s v="FROM PLOT NO A27"/>
    <m/>
    <m/>
    <m/>
    <m/>
    <m/>
    <m/>
    <x v="1"/>
  </r>
  <r>
    <s v="INF/NEFT/034132627081/SBIN0007619/29752836     /                            /VSMALIK"/>
    <n v="400000"/>
    <m/>
    <n v="1742234.5"/>
    <s v="VS MALIK"/>
    <s v="FROM PLOT NO A23"/>
    <m/>
    <m/>
    <m/>
    <m/>
    <m/>
    <m/>
    <x v="1"/>
  </r>
  <r>
    <s v="INF/NEFT/034152737421/SBIN0017876/STAMP DUTY     /HARPALsinghSTAM"/>
    <n v="175000"/>
    <m/>
    <n v="1567234.5"/>
    <s v="HARPAL SINGH"/>
    <s v="STAMP DUTY"/>
    <m/>
    <m/>
    <m/>
    <m/>
    <s v="EXPENCE"/>
    <m/>
    <x v="34"/>
  </r>
  <r>
    <s v="RTGS/ICICR42023110100558246/SBIN0006280/SHIV ONKAR SHARMA"/>
    <n v="400000"/>
    <m/>
    <n v="1167234.5"/>
    <s v="SHIV ONKAR SHARMA"/>
    <s v="FROM PLOT NO A53 "/>
    <m/>
    <m/>
    <m/>
    <m/>
    <m/>
    <m/>
    <x v="1"/>
  </r>
  <r>
    <s v="RTGS/ICICR42023110200544443/SBIN0002484/RAJEEV KUMAR"/>
    <n v="560000"/>
    <m/>
    <n v="607234.5"/>
    <s v="RAJEEV KUMAR"/>
    <s v="FROM PLOT NO B47"/>
    <m/>
    <m/>
    <m/>
    <m/>
    <m/>
    <m/>
    <x v="1"/>
  </r>
  <r>
    <s v="RTGS/ICICR42023110200544741/SBIN0002484/RAJEEV KUMAR"/>
    <n v="600000"/>
    <m/>
    <n v="7234.5"/>
    <s v="RAJEEV KUMAR"/>
    <s v="FROM PLOT NO B47"/>
    <m/>
    <m/>
    <m/>
    <m/>
    <m/>
    <m/>
    <x v="1"/>
  </r>
  <r>
    <s v="NEFT-SBIN423308852787-ITDTAX REFUND 2023-24 AEFFS0241G-/ATTN//INB-00000033273316893-SBIN0000TBU"/>
    <m/>
    <n v="38660"/>
    <n v="45894.5"/>
    <m/>
    <s v="TAX REFUND"/>
    <m/>
    <m/>
    <m/>
    <m/>
    <s v="EXPENCE"/>
    <m/>
    <x v="59"/>
  </r>
  <r>
    <s v="RTGS-PUNBR52023110410778652-KASIM SO RUSTAM-02662010019640-PUNB0026610"/>
    <m/>
    <n v="2000000"/>
    <n v="2045894.5"/>
    <s v="KASIM ALI"/>
    <s v="FROM FARMER PAYMENT"/>
    <m/>
    <m/>
    <m/>
    <m/>
    <m/>
    <m/>
    <x v="7"/>
  </r>
  <r>
    <s v="MMT/IMPS/330817122023/BULD30154114/RAHULCHAUD/HDFC0004358"/>
    <n v="37000"/>
    <m/>
    <n v="2008894.5"/>
    <s v="RAHUL CHAUDHARY"/>
    <s v="SALARY"/>
    <m/>
    <m/>
    <m/>
    <m/>
    <m/>
    <m/>
    <x v="24"/>
  </r>
  <r>
    <s v="MMT/IMPS/330817123056/BULD30154114/GORAV     /CNRB0002323"/>
    <n v="37000"/>
    <m/>
    <n v="1971894.5"/>
    <s v="GORAV"/>
    <s v="SALARY"/>
    <m/>
    <m/>
    <m/>
    <m/>
    <m/>
    <m/>
    <x v="25"/>
  </r>
  <r>
    <s v="MMT/IMPS/330817123190/BULD30154114/AMITYADAV /HDFC0000655"/>
    <n v="36500"/>
    <m/>
    <n v="1935394.5"/>
    <s v="AMIT YADAV"/>
    <s v="SALARY"/>
    <m/>
    <m/>
    <m/>
    <m/>
    <m/>
    <m/>
    <x v="24"/>
  </r>
  <r>
    <s v="RTGS-PUNBR52023111011024364-INUSH ALI S O VASID-02662010044120-PUNB0026610"/>
    <m/>
    <n v="1621000"/>
    <n v="3556394.5"/>
    <s v="INUSH ALI"/>
    <s v="FROM FARMER PAYMENT"/>
    <m/>
    <m/>
    <m/>
    <m/>
    <m/>
    <m/>
    <x v="7"/>
  </r>
  <r>
    <s v="RTGS-PUNBR52023111011024064-KASIM SO RUSTAM-02662010019640-PUNB0026610"/>
    <m/>
    <n v="2000000"/>
    <n v="5556394.5"/>
    <s v="KASIM ALI"/>
    <s v="FROM FARMER PAYMENT"/>
    <m/>
    <m/>
    <m/>
    <m/>
    <m/>
    <m/>
    <x v="7"/>
  </r>
  <r>
    <s v="RTGS-PUNBR52023111711226621-KASIM SO RUSTAM-02662010019640-PUNB0026610"/>
    <m/>
    <n v="1800000"/>
    <n v="7356394.5"/>
    <s v="KASIM ALI"/>
    <s v="FROM FARMER PAYMENT"/>
    <m/>
    <m/>
    <m/>
    <m/>
    <m/>
    <m/>
    <x v="7"/>
  </r>
  <r>
    <s v="RTGS/ICICR42023111800516717/SBIN0006280/SHIV ONKAR SHARMA"/>
    <n v="250900"/>
    <m/>
    <n v="7105494.5"/>
    <s v="SHIV ONKAR SHARMA"/>
    <s v="FROM PLOT NO A53 "/>
    <m/>
    <m/>
    <m/>
    <m/>
    <m/>
    <m/>
    <x v="1"/>
  </r>
  <r>
    <s v="RTGS/ICICR42023120300501692/SBIN0010155/HITESH KUMAR"/>
    <n v="500000"/>
    <m/>
    <n v="6605494.5"/>
    <s v="HITESH KUMAR"/>
    <s v="FROM PLOT NO B46"/>
    <m/>
    <m/>
    <m/>
    <m/>
    <m/>
    <m/>
    <x v="1"/>
  </r>
  <r>
    <s v="MMT/IMPS/333915857550/BULD31285238/RAHULCHAUD/HDFC0004358"/>
    <n v="30000"/>
    <m/>
    <n v="6575494.5"/>
    <s v="RAHUL CHAUDHARY"/>
    <s v="SALARY"/>
    <m/>
    <m/>
    <m/>
    <m/>
    <m/>
    <m/>
    <x v="24"/>
  </r>
  <r>
    <s v="MMT/IMPS/333915857654/BULD31285238/GORAV     /CNRB0002323"/>
    <n v="30000"/>
    <m/>
    <n v="6545494.5"/>
    <s v="GORAV"/>
    <s v="SALARY"/>
    <m/>
    <m/>
    <m/>
    <m/>
    <m/>
    <m/>
    <x v="25"/>
  </r>
  <r>
    <s v="MMT/IMPS/333915857755/BULD31285238/AMITYADAV /HDFC0000655"/>
    <n v="30000"/>
    <m/>
    <n v="6515494.5"/>
    <s v="AMIT YADAV"/>
    <s v="SALARY"/>
    <m/>
    <m/>
    <m/>
    <m/>
    <m/>
    <m/>
    <x v="24"/>
  </r>
  <r>
    <s v="INF/INFT/034604500591/PATNER         /kuldeepicici"/>
    <n v="1000000"/>
    <m/>
    <n v="5515494.5"/>
    <s v="KULDEEP TOMAR"/>
    <s v="PARTNAR"/>
    <m/>
    <m/>
    <m/>
    <m/>
    <m/>
    <m/>
    <x v="0"/>
  </r>
  <r>
    <s v="INF/INFT/034604535401/PATNER         /kuldeepicici"/>
    <n v="1000000"/>
    <m/>
    <n v="4515494.5"/>
    <s v="KULDEEP TOMAR"/>
    <s v="PARTNAR"/>
    <m/>
    <m/>
    <m/>
    <m/>
    <m/>
    <m/>
    <x v="0"/>
  </r>
  <r>
    <s v="INF/INFT/034604662481/PATNER         /kuldeepicici"/>
    <n v="1000000"/>
    <m/>
    <n v="3515494.5"/>
    <s v="KULDEEP TOMAR"/>
    <s v="PARTNAR"/>
    <m/>
    <m/>
    <m/>
    <m/>
    <m/>
    <m/>
    <x v="0"/>
  </r>
  <r>
    <s v="INF/INFT/034604697731/PATNER         /kuldeepicici"/>
    <n v="1000000"/>
    <m/>
    <n v="2515494.5"/>
    <s v="KULDEEP TOMAR"/>
    <s v="PARTNAR"/>
    <m/>
    <m/>
    <m/>
    <m/>
    <m/>
    <m/>
    <x v="0"/>
  </r>
  <r>
    <s v="UPI/334188528725/Payment from Ph/8474951387@ybl/Canara Bank/YBLdb433008a5eb4f53a87f56c48dac0d58"/>
    <m/>
    <n v="5000"/>
    <n v="2520494.5"/>
    <s v="GAURAV"/>
    <s v="ADVANCE"/>
    <m/>
    <m/>
    <m/>
    <m/>
    <m/>
    <m/>
    <x v="25"/>
  </r>
  <r>
    <s v="MMT/IMPS/335514936652/REFUND A20/VIMLESHa20/BARB0BARAUT"/>
    <n v="75000"/>
    <m/>
    <n v="2445494.5"/>
    <s v="Vimlesh"/>
    <s v="FROM PLOT NO A20"/>
    <m/>
    <m/>
    <m/>
    <m/>
    <m/>
    <m/>
    <x v="1"/>
  </r>
  <r>
    <s v="MMT/IMPS/335514942514/REFUND A20/SEEMAa20  /BARB0BARAUT"/>
    <n v="50000"/>
    <m/>
    <n v="2395494.5"/>
    <s v="Seema"/>
    <s v="FROM PLOT NO A20"/>
    <m/>
    <m/>
    <m/>
    <m/>
    <m/>
    <m/>
    <x v="1"/>
  </r>
  <r>
    <s v="MMT/IMPS/400317332898/BULD32320508/RAHULCHAUD/HDFC0004358"/>
    <n v="30000"/>
    <m/>
    <n v="2365494.5"/>
    <s v="RAHUL CHAUDHARY"/>
    <s v="SALARY"/>
    <m/>
    <m/>
    <m/>
    <m/>
    <m/>
    <m/>
    <x v="24"/>
  </r>
  <r>
    <s v="MMT/IMPS/400317332316/BULD32320508/GORAV     /CNRB0002323"/>
    <n v="35000"/>
    <m/>
    <n v="2330494.5"/>
    <s v="GAURAV"/>
    <s v="SALARY"/>
    <m/>
    <m/>
    <m/>
    <m/>
    <m/>
    <m/>
    <x v="25"/>
  </r>
  <r>
    <s v="MMT/IMPS/400317332508/BULD32320508/AMITYADAV /HDFC0000655"/>
    <n v="30000"/>
    <m/>
    <n v="2300494.5"/>
    <s v="AMIT YADAV"/>
    <s v="SALARY"/>
    <m/>
    <m/>
    <m/>
    <m/>
    <m/>
    <m/>
    <x v="24"/>
  </r>
  <r>
    <s v="UPI/400738332641/Payment from Ph/8750843330@axl/Axis Bank Ltd./AXL34ff159c3cd74e7fb1673c0ea5d67ddd"/>
    <m/>
    <n v="21000"/>
    <n v="2321494.5"/>
    <s v="ASHISH KUMAR"/>
    <s v="IF OF PLOT NO A118"/>
    <m/>
    <m/>
    <m/>
    <m/>
    <m/>
    <m/>
    <x v="1"/>
  </r>
  <r>
    <s v="MMT/IMPS/403217997899/BULD33341019/RAHULCHAUD/HDFC0004358"/>
    <n v="30000"/>
    <m/>
    <n v="2291494.5"/>
    <s v="RAHUL CHAUDHARY"/>
    <s v="SALARY"/>
    <m/>
    <m/>
    <m/>
    <m/>
    <m/>
    <m/>
    <x v="24"/>
  </r>
  <r>
    <s v="MMT/IMPS/403217998462/BULD33341019/GORAV     /CNRB0002323"/>
    <n v="30000"/>
    <m/>
    <n v="2261494.5"/>
    <s v="GAURAV"/>
    <s v="SALARY"/>
    <m/>
    <m/>
    <m/>
    <m/>
    <m/>
    <m/>
    <x v="25"/>
  </r>
  <r>
    <s v="MMT/IMPS/403217998546/BULD33341019/AMITYADAV /HDFC0000655"/>
    <n v="30000"/>
    <m/>
    <n v="2231494.5"/>
    <s v="AMIT YADAV"/>
    <s v="SALARY"/>
    <m/>
    <m/>
    <m/>
    <m/>
    <m/>
    <m/>
    <x v="24"/>
  </r>
  <r>
    <s v="NEFT-AXOIR40392246644-PAWAN JANGID-A116 RAJESH PAWAN-175010100153782-UTIB0005059"/>
    <m/>
    <n v="50000"/>
    <n v="2281494.5"/>
    <s v="PAWAN JANGID"/>
    <s v="IF OF PLOT NO A116"/>
    <s v="registry done"/>
    <m/>
    <m/>
    <m/>
    <m/>
    <m/>
    <x v="1"/>
  </r>
  <r>
    <s v="NEFT-SBIN324039669779-JUNIOR WARRANT OFFICER JWO RAJESH K-/ATTN//INB-00000010950112812-SBIN0018733"/>
    <m/>
    <n v="60000"/>
    <n v="2341494.5"/>
    <s v="RAJESH "/>
    <s v="IF OF PLOT NO A116"/>
    <s v="registry done"/>
    <m/>
    <m/>
    <m/>
    <m/>
    <m/>
    <x v="1"/>
  </r>
  <r>
    <s v="RTGS-UTIBR62024020936337479-PAWAN JANGID-175010100153782-UTIB0005059"/>
    <m/>
    <n v="508500"/>
    <n v="2849994.5"/>
    <s v="PAWAN JANGID"/>
    <s v="IF OF PLOT NO A116"/>
    <s v="registry done"/>
    <m/>
    <m/>
    <m/>
    <m/>
    <m/>
    <x v="1"/>
  </r>
  <r>
    <s v="RTGS-SBINR12024020901265606-JUNIOR WARRANT OFFICER JWO RAJESH K-10950112812-SBIN0018733"/>
    <m/>
    <n v="440000"/>
    <n v="3289994.5"/>
    <s v="RAJESH "/>
    <s v="IF OF PLOT NO A116"/>
    <s v="registry done"/>
    <m/>
    <m/>
    <m/>
    <m/>
    <m/>
    <x v="1"/>
  </r>
  <r>
    <s v="NEFT-SBIN124043887246-JUNIOR WARRANT OFFICER JWO RAJESH K-/ATTN//INB-00000010950112812-SBIN0018733"/>
    <m/>
    <n v="58500"/>
    <n v="3348494.5"/>
    <s v="RAJESH "/>
    <s v="IF OF PLOT NO A116"/>
    <s v="registry done"/>
    <m/>
    <m/>
    <m/>
    <m/>
    <m/>
    <x v="1"/>
  </r>
  <r>
    <s v="CLG/SHALAU DIN/136477/PNB/08.02.2024"/>
    <m/>
    <n v="54000"/>
    <n v="3402494.5"/>
    <s v="SHALAU DIN"/>
    <s v="FROM FARMER PAYMENT"/>
    <m/>
    <m/>
    <m/>
    <m/>
    <m/>
    <m/>
    <x v="7"/>
  </r>
  <r>
    <s v="MMT/IMPS/404809923451/IMPS/ASHISHKUMA/Axis Bank"/>
    <m/>
    <n v="1000"/>
    <n v="3403494.5"/>
    <s v="ASHISH KUMAR"/>
    <s v="IF OF PLOT NO A118"/>
    <s v="registry done"/>
    <m/>
    <m/>
    <m/>
    <m/>
    <m/>
    <x v="1"/>
  </r>
  <r>
    <s v="NEFT-AXOMB40489167144-ASHISH KUMAR  28031396 --120010100482066-UTIB0003330"/>
    <m/>
    <n v="49000"/>
    <n v="3452494.5"/>
    <s v="ASHISH KUMAR"/>
    <s v="IF OF PLOT NO A118"/>
    <s v="registry done"/>
    <m/>
    <m/>
    <m/>
    <m/>
    <m/>
    <x v="1"/>
  </r>
  <r>
    <s v="NEFT-AXOMB40502989921-ASHISH KUMAR  28031396 --120010100482066-UTIB0003330"/>
    <m/>
    <n v="50000"/>
    <n v="3502494.5"/>
    <s v="ASHISH KUMAR"/>
    <s v="IF OF PLOT NO A118"/>
    <s v="registry done"/>
    <m/>
    <m/>
    <m/>
    <m/>
    <m/>
    <x v="1"/>
  </r>
  <r>
    <s v="RTGS-UTIBR52024022000361570-ASHISH KUMAR 28031396-120010100482066-UTIB0003330"/>
    <m/>
    <n v="559000"/>
    <n v="4061494.5"/>
    <s v="ASHISH KUMAR"/>
    <s v="IF OF PLOT NO A118"/>
    <s v="registry done"/>
    <m/>
    <m/>
    <m/>
    <m/>
    <m/>
    <x v="1"/>
  </r>
  <r>
    <s v="RTGS-PUNBR52024022014750020-ASHISH KUMAR-3058000109260259-PUNB0471800"/>
    <m/>
    <n v="350000"/>
    <n v="4411494.5"/>
    <s v="ASHISH KUMAR"/>
    <s v="IF OF PLOT NO A118"/>
    <s v="registry done"/>
    <m/>
    <m/>
    <m/>
    <m/>
    <m/>
    <x v="1"/>
  </r>
  <r>
    <s v="NEFT-PUNBH24052098505-ASHISH KUMAR--3058000109260259-PUNB0471800"/>
    <m/>
    <n v="50000"/>
    <n v="4461494.5"/>
    <s v="ASHISH KUMAR"/>
    <s v="IF OF PLOT NO A118"/>
    <s v="registry done"/>
    <m/>
    <m/>
    <m/>
    <m/>
    <m/>
    <x v="1"/>
  </r>
  <r>
    <s v="UPI/405234644606/NA/8273883909@payt/State Bank OfI/PTMbe84d104b9174c0a9bc2c8c56404f75e"/>
    <m/>
    <n v="10000"/>
    <n v="4471494.5"/>
    <s v="LOKESH KUMAR"/>
    <s v="IF OF PLOT NO A125"/>
    <s v="registry to be done"/>
    <m/>
    <m/>
    <m/>
    <m/>
    <m/>
    <x v="1"/>
  </r>
  <r>
    <s v="RTGS-SBINR52024030206036829-LOKESH KUMAR-31919487296-SBIN0010313"/>
    <m/>
    <n v="425023.6"/>
    <n v="4896518.0999999996"/>
    <s v="LOKESH KUMAR"/>
    <s v="IF OF PLOT NO A125"/>
    <s v="registry to be done"/>
    <m/>
    <m/>
    <m/>
    <m/>
    <m/>
    <x v="1"/>
  </r>
  <r>
    <s v="MMT/IMPS/406414448900/BULD34521195/RAHULCHAUD/HDFC0004358"/>
    <n v="29700"/>
    <m/>
    <n v="4866818.0999999996"/>
    <s v="RAHUL CHAUDHARY"/>
    <s v="SALARY"/>
    <m/>
    <m/>
    <m/>
    <m/>
    <m/>
    <m/>
    <x v="24"/>
  </r>
  <r>
    <s v="MMT/IMPS/406414449495/BULD34521195/GORAV     /CNRB0002323"/>
    <n v="29700"/>
    <m/>
    <n v="4837118.0999999996"/>
    <s v="GORAV"/>
    <s v="SALARY"/>
    <m/>
    <m/>
    <m/>
    <m/>
    <m/>
    <m/>
    <x v="25"/>
  </r>
  <r>
    <s v="MMT/IMPS/406414449125/BULD34521195/AMITYADAV /HDFC0000655"/>
    <n v="29700"/>
    <m/>
    <n v="4807418.0999999996"/>
    <s v="AMIT YADAV"/>
    <s v="SALARY"/>
    <m/>
    <m/>
    <m/>
    <m/>
    <m/>
    <m/>
    <x v="24"/>
  </r>
  <r>
    <s v="RTGS/ICICR42024032100551740/PUNB0042400/SUBHASH CHAND"/>
    <n v="250000"/>
    <m/>
    <n v="4557418.0999999996"/>
    <s v="SUBHASH CHAND"/>
    <s v="FROM PLOT NO A14"/>
    <s v="loans refund"/>
    <m/>
    <m/>
    <m/>
    <m/>
    <m/>
    <x v="1"/>
  </r>
  <r>
    <s v="UPI/408775274776/UPI/ajaykumartyagi1/Union Bank of I/AXIb10141a035f14ab1b075f5fd8a296a6c"/>
    <m/>
    <n v="1"/>
    <n v="4557419.0999999996"/>
    <s v="AJAY KUMAR TYAGI"/>
    <s v="IF OF PLOT NO A117"/>
    <s v="registry to be done"/>
    <m/>
    <m/>
    <m/>
    <m/>
    <m/>
    <x v="1"/>
  </r>
  <r>
    <s v="UPI/445318976215/UPI/ajaykumartyagi1/Union Bank of I/AXI8c1f1ade71d64c73a225db1f8290cb78"/>
    <m/>
    <n v="11000"/>
    <n v="4568419.0999999996"/>
    <s v="AJAY KUMAR TYAGI"/>
    <s v="IF OF PLOT NO A117"/>
    <s v="registry to be done"/>
    <m/>
    <m/>
    <m/>
    <m/>
    <m/>
    <x v="1"/>
  </r>
  <r>
    <s v="MMT/IMPS/409314946406/BULD35683065/RAHULCHAUD/HDFC0004358"/>
    <n v="29700"/>
    <m/>
    <n v="4538719.0999999996"/>
    <s v="RAHUL CHAUDHARY"/>
    <s v="SALARY"/>
    <m/>
    <m/>
    <m/>
    <m/>
    <m/>
    <m/>
    <x v="24"/>
  </r>
  <r>
    <s v="MMT/IMPS/409314946530/BULD35683065/GORAV     /CNRB0002323"/>
    <n v="29700"/>
    <m/>
    <n v="4509019.0999999996"/>
    <s v="GORAV"/>
    <s v="SALARY"/>
    <m/>
    <m/>
    <m/>
    <m/>
    <m/>
    <m/>
    <x v="25"/>
  </r>
  <r>
    <s v="MMT/IMPS/409314947697/BULD35683065/AMITYADAV /HDFC0000655"/>
    <n v="29700"/>
    <m/>
    <n v="4479319.0999999996"/>
    <s v="AMIT YADAV"/>
    <s v="SALARY"/>
    <m/>
    <m/>
    <m/>
    <m/>
    <m/>
    <m/>
    <x v="24"/>
  </r>
  <r>
    <s v="INF/INFT/035879894891/PATNER         /kuldeepicici"/>
    <n v="1000000"/>
    <m/>
    <n v="3479319.1"/>
    <s v="KULDEEP TOMAR"/>
    <s v="PARTNAR"/>
    <m/>
    <m/>
    <m/>
    <m/>
    <m/>
    <m/>
    <x v="0"/>
  </r>
  <r>
    <s v="INF/INFT/035879944651/PATNER         /kuldeepicici"/>
    <n v="1000000"/>
    <m/>
    <n v="2479319.1"/>
    <s v="KULDEEP TOMAR"/>
    <s v="PARTNAR"/>
    <m/>
    <m/>
    <m/>
    <m/>
    <m/>
    <m/>
    <x v="0"/>
  </r>
  <r>
    <s v="INF/INFT/035879976001/PATNER         /kuldeepicici"/>
    <n v="1000000"/>
    <m/>
    <n v="1479319.1"/>
    <s v="KULDEEP TOMAR"/>
    <s v="PARTNAR"/>
    <m/>
    <m/>
    <m/>
    <m/>
    <m/>
    <m/>
    <x v="0"/>
  </r>
  <r>
    <s v="MMT/IMPS/412715071551/BULD36939555/RAHULCHAUD/HDFC0004358"/>
    <n v="27900"/>
    <m/>
    <n v="1451419.1"/>
    <s v="RAHUL CHAUDHARY"/>
    <s v="SALARY"/>
    <m/>
    <m/>
    <m/>
    <m/>
    <m/>
    <m/>
    <x v="24"/>
  </r>
  <r>
    <s v="MMT/IMPS/412715071601/BULD36939555/GAURAV    /CNRB0002323"/>
    <n v="27900"/>
    <m/>
    <n v="1423519.1"/>
    <s v="GORAV"/>
    <s v="SALARY"/>
    <m/>
    <m/>
    <m/>
    <m/>
    <m/>
    <m/>
    <x v="25"/>
  </r>
  <r>
    <s v="MMT/IMPS/412715071647/BULD36939555/AMITYADAV /HDFC0000655"/>
    <n v="27900"/>
    <m/>
    <n v="1395619.1"/>
    <s v="AMIT YADAV"/>
    <s v="SALARY"/>
    <m/>
    <m/>
    <m/>
    <m/>
    <m/>
    <m/>
    <x v="24"/>
  </r>
  <r>
    <s v="INF/INFT/036283633411/ADVANCE PAYMENT/BalajiAssociate"/>
    <n v="1000000"/>
    <m/>
    <n v="395619.1"/>
    <s v="BALAJI ASSOCIATES"/>
    <s v="ADVANCE"/>
    <m/>
    <m/>
    <m/>
    <m/>
    <m/>
    <m/>
    <x v="41"/>
  </r>
  <r>
    <s v="MMT/IMPS/415313158806/BULD37949324/RAHULCHAUD/HDFC0004358"/>
    <n v="27900"/>
    <m/>
    <n v="367719.1"/>
    <s v="RAHUL CHAUDHARY"/>
    <s v="SALARY"/>
    <m/>
    <m/>
    <m/>
    <m/>
    <m/>
    <m/>
    <x v="24"/>
  </r>
  <r>
    <s v="MMT/IMPS/415313158918/BULD37949324/GAURAV    /CNRB0002323"/>
    <n v="27900"/>
    <m/>
    <n v="339819.1"/>
    <s v="GORAV"/>
    <s v="SALARY"/>
    <m/>
    <m/>
    <m/>
    <m/>
    <m/>
    <m/>
    <x v="25"/>
  </r>
  <r>
    <s v="MMT/IMPS/415313159436/BULD37949324/AMITYADAV /HDFC0000655"/>
    <n v="27900"/>
    <m/>
    <n v="311919.09999999998"/>
    <s v="AMIT YADAV"/>
    <s v="SALARY"/>
    <m/>
    <m/>
    <m/>
    <m/>
    <m/>
    <m/>
    <x v="24"/>
  </r>
  <r>
    <s v="CLG/LOKESH KUMAR/597965/SBI/04.06.2024"/>
    <m/>
    <n v="60000"/>
    <n v="371919.1"/>
    <s v="LOKESH KUMAR"/>
    <s v="IF OF PLOT NO A125"/>
    <m/>
    <m/>
    <m/>
    <m/>
    <m/>
    <m/>
    <x v="1"/>
  </r>
  <r>
    <s v="MMT/IMPS/418514171264/BULD39192106/RAHULCHAUD/HDFC0004358"/>
    <n v="31500"/>
    <m/>
    <n v="340419.1"/>
    <s v="RAHUL CHAUDHARY"/>
    <s v="SALARY"/>
    <m/>
    <m/>
    <m/>
    <m/>
    <m/>
    <m/>
    <x v="24"/>
  </r>
  <r>
    <s v="MMT/IMPS/418514171309/BULD39192106/GAURAV/CNRB0002323"/>
    <n v="31500"/>
    <m/>
    <n v="308919.09999999998"/>
    <s v="GORAV"/>
    <s v="SALARY"/>
    <m/>
    <m/>
    <m/>
    <m/>
    <m/>
    <m/>
    <x v="25"/>
  </r>
  <r>
    <s v="MMT/IMPS/418514171352/BULD39192106/AMITYADAV /HDFC0000655"/>
    <n v="31500"/>
    <m/>
    <n v="277419.09999999998"/>
    <m/>
    <m/>
    <m/>
    <m/>
    <m/>
    <m/>
    <m/>
    <m/>
    <x v="24"/>
  </r>
  <r>
    <s v="MMT/IMPS/418514171352/BULD39192106/AMITYADAV /HDFC0000655"/>
    <m/>
    <n v="31500"/>
    <n v="308919.09999999998"/>
    <m/>
    <m/>
    <m/>
    <m/>
    <m/>
    <m/>
    <m/>
    <m/>
    <x v="24"/>
  </r>
  <r>
    <s v="MMT/IMPS/419017318391/SALARY/AMITYADAV/HDFC0000655"/>
    <n v="31500"/>
    <m/>
    <n v="277419.09999999998"/>
    <s v="AMIT YADAV"/>
    <s v="SALARY"/>
    <m/>
    <m/>
    <m/>
    <m/>
    <m/>
    <m/>
    <x v="24"/>
  </r>
  <r>
    <s v="MMT/IMPS/421814879908/BULD40482111/RAHULCHAUD/HDFC0004358"/>
    <n v="29700"/>
    <m/>
    <n v="247719.1"/>
    <s v="RAHUL CHAUDHARY"/>
    <s v="SALARY"/>
    <m/>
    <m/>
    <m/>
    <m/>
    <m/>
    <m/>
    <x v="24"/>
  </r>
  <r>
    <s v="INF/INFT/037168353801/40482111     /GAURAV/"/>
    <n v="29700"/>
    <m/>
    <n v="218019.1"/>
    <s v="GORAV"/>
    <s v="SALARY"/>
    <m/>
    <m/>
    <m/>
    <m/>
    <m/>
    <m/>
    <x v="25"/>
  </r>
  <r>
    <s v="MMT/IMPS/421814880095/BULD40482111/AMITYADAV/HDFC0000655"/>
    <n v="29700"/>
    <m/>
    <n v="188319.1"/>
    <m/>
    <m/>
    <m/>
    <m/>
    <m/>
    <m/>
    <m/>
    <m/>
    <x v="24"/>
  </r>
  <r>
    <s v="MMT/IMPS/421814880095/BULD40482111/AMITYADAV/HDFC0000655"/>
    <m/>
    <n v="29700"/>
    <n v="218019.1"/>
    <m/>
    <m/>
    <m/>
    <m/>
    <m/>
    <m/>
    <m/>
    <m/>
    <x v="24"/>
  </r>
  <r>
    <s v="MMT/IMPS/421918353522/SALARY/AMITYADAV/HDFC0000655"/>
    <n v="29700"/>
    <m/>
    <n v="188319.1"/>
    <s v="AMIT YADAV"/>
    <s v="SALARY"/>
    <m/>
    <m/>
    <m/>
    <m/>
    <m/>
    <m/>
    <x v="24"/>
  </r>
  <r>
    <s v="CLG/LOKESH KUMAR/597966/SBI/15.08.2024"/>
    <m/>
    <n v="200000"/>
    <n v="388319.1"/>
    <s v="LOKESH KUMAR"/>
    <s v="IF OF PLOT NO A125"/>
    <m/>
    <m/>
    <m/>
    <m/>
    <m/>
    <m/>
    <x v="1"/>
  </r>
  <r>
    <s v="REJECT:597966:EXCEEDS ARRANGEMENT"/>
    <n v="200000"/>
    <m/>
    <n v="188319.1"/>
    <s v="LOKESH KUMAR"/>
    <s v="FROM PLOT NO A125"/>
    <m/>
    <m/>
    <m/>
    <m/>
    <m/>
    <m/>
    <x v="1"/>
  </r>
  <r>
    <s v="MMT/IMPS/425018547814/BULD41801575/RAHULCHAUD/HDFC0004358"/>
    <n v="29700"/>
    <m/>
    <n v="158619.1"/>
    <s v="RAHUL CHAUDHARY"/>
    <s v="SALARY"/>
    <m/>
    <m/>
    <m/>
    <m/>
    <m/>
    <m/>
    <x v="24"/>
  </r>
  <r>
    <s v="INF/INFT/037525803271/41801575     /GAURAV/"/>
    <n v="29700"/>
    <m/>
    <n v="128919.1"/>
    <s v="GORAV"/>
    <s v="SALARY"/>
    <m/>
    <m/>
    <m/>
    <m/>
    <m/>
    <m/>
    <x v="25"/>
  </r>
  <r>
    <s v="CLG/LOKESH KUMAR/597966/SBI/15.08.2024"/>
    <m/>
    <n v="200000"/>
    <n v="328919.09999999998"/>
    <s v="LOKESH KUMAR"/>
    <s v="IF OF PLOT NO A125"/>
    <m/>
    <m/>
    <m/>
    <m/>
    <m/>
    <m/>
    <x v="1"/>
  </r>
  <r>
    <s v="MMT/IMPS/427718090252/BULD42862365/RAHULCHAUD/HDFC0004358"/>
    <n v="29700"/>
    <m/>
    <n v="299219.09999999998"/>
    <s v="RAHUL CHAUDHARY"/>
    <s v="SALARY"/>
    <m/>
    <m/>
    <m/>
    <m/>
    <m/>
    <m/>
    <x v="24"/>
  </r>
  <r>
    <s v="CLG/LOKESH KUMAR/597967/SBI/15.08.2024"/>
    <m/>
    <n v="157000"/>
    <n v="456219.1"/>
    <s v="LOKESH KUMAR"/>
    <s v="IF OF PLOT NO A125"/>
    <m/>
    <m/>
    <m/>
    <m/>
    <m/>
    <m/>
    <x v="1"/>
  </r>
  <r>
    <s v="MMT/IMPS/430317061095/BULD44026936/RAHULCHAUD/HDFC0004358"/>
    <n v="29700"/>
    <m/>
    <n v="426519.1"/>
    <s v="RAHUL CHAUDHARY"/>
    <s v="SALARY"/>
    <m/>
    <m/>
    <m/>
    <m/>
    <m/>
    <m/>
    <x v="24"/>
  </r>
  <r>
    <s v="RTGS-BARBR52024112500784800-UMA SHARMA   AJAY KUMAR-21740100014503-BARB0MOTINA"/>
    <m/>
    <n v="800000"/>
    <n v="1226519.1000000001"/>
    <s v="UMA SHARMA"/>
    <s v="IF OF SHOP NO S1"/>
    <m/>
    <m/>
    <m/>
    <m/>
    <m/>
    <m/>
    <x v="1"/>
  </r>
  <r>
    <s v="MMT/IMPS/434117069828/BULD45614269/RAHULCHAUD/HDFC0004358"/>
    <n v="29700"/>
    <m/>
    <n v="1196819.1000000001"/>
    <s v="RAHUL CHAUDHARY"/>
    <s v="SALARY"/>
    <m/>
    <m/>
    <m/>
    <m/>
    <m/>
    <m/>
    <x v="24"/>
  </r>
  <r>
    <s v="INF/INFT/038584969091/45858192     /OMASSOCIATES/"/>
    <n v="800000"/>
    <m/>
    <n v="396819.1"/>
    <s v="OM ASSOCIATES"/>
    <s v="ADVANCE"/>
    <m/>
    <m/>
    <m/>
    <m/>
    <m/>
    <m/>
    <x v="60"/>
  </r>
  <r>
    <s v="MMT/IMPS/435514023022/STAMP PAYMENT/HARPALSING/SBIN0017876"/>
    <n v="121500"/>
    <m/>
    <n v="275319.09999999998"/>
    <s v="HARPAL SINGH "/>
    <s v="STAMP DUTY FOR MAN ROAD"/>
    <m/>
    <m/>
    <m/>
    <m/>
    <s v="EXPENCE"/>
    <m/>
    <x v="34"/>
  </r>
  <r>
    <s v="MMT/IMPS/500617830915/BULD46917010/RAHULCHAUD/HDFC0004358"/>
    <n v="29700"/>
    <m/>
    <n v="245619.1"/>
    <s v="RAHUL CHAUDHARY"/>
    <s v="SALARY"/>
    <m/>
    <m/>
    <m/>
    <m/>
    <m/>
    <m/>
    <x v="24"/>
  </r>
  <r>
    <s v="MMT/IMPS/503818679995/BULD48373275/RAHULCHAUD/HDFC0004358"/>
    <n v="28700"/>
    <m/>
    <n v="216919.1"/>
    <s v="RAHUL CHAUDHARY"/>
    <s v="SALARY"/>
    <m/>
    <m/>
    <m/>
    <m/>
    <m/>
    <m/>
    <x v="24"/>
  </r>
  <r>
    <s v="MMT/IMPS/506320923131/BULD49480161/RAHULCHAUD/HDFC0004358"/>
    <n v="29700"/>
    <m/>
    <n v="187219.1"/>
    <s v="RAHUL CHAUDHARY"/>
    <s v="SALARY"/>
    <m/>
    <m/>
    <m/>
    <m/>
    <m/>
    <m/>
    <x v="24"/>
  </r>
  <r>
    <s v="CLG/PRAMOD KUMARI WO NEPAL/543710/PNB/31.01.2025"/>
    <m/>
    <n v="537000"/>
    <n v="724219.1"/>
    <s v="PRAMOD KUMARI"/>
    <s v="IF OF PLOT NO S4"/>
    <s v="BOUNCE"/>
    <m/>
    <m/>
    <m/>
    <m/>
    <m/>
    <x v="1"/>
  </r>
  <r>
    <s v="REJECT:543710:ADVICE NOT RECEIVED"/>
    <n v="537000"/>
    <m/>
    <n v="187219.1"/>
    <s v="PRAMOD KUMARI"/>
    <s v="FROM PLOT NO S4"/>
    <s v="BOUNCE"/>
    <m/>
    <m/>
    <m/>
    <m/>
    <m/>
    <x v="1"/>
  </r>
  <r>
    <s v="CLG/PRAMOD KUMARI/543710/PNB/31.01.2025"/>
    <m/>
    <n v="537000"/>
    <n v="724219.1"/>
    <s v="PRAMOD KUMARI"/>
    <s v="IF OF PLOT NO S4"/>
    <m/>
    <m/>
    <m/>
    <m/>
    <m/>
    <m/>
    <x v="1"/>
  </r>
  <r>
    <s v="MMT/IMPS/509415041650/BULD50981864/RAHULCHAUD/HDFC0004358"/>
    <n v="29700"/>
    <m/>
    <n v="694519.1"/>
    <s v="RAHUL CHAUDHARY"/>
    <s v="SALARY"/>
    <m/>
    <m/>
    <m/>
    <m/>
    <m/>
    <m/>
    <x v="24"/>
  </r>
  <r>
    <s v="RTGS-PUNBR52025041611080673-BRIJESH DEVI-02662413001422-PUNB0026610"/>
    <m/>
    <n v="1000000"/>
    <n v="1694519.1"/>
    <s v="BRIJESH DEVI"/>
    <s v="IF OF PLOT NO A117"/>
    <m/>
    <m/>
    <m/>
    <m/>
    <m/>
    <m/>
    <x v="1"/>
  </r>
  <r>
    <s v="CLG/PRAMOD KUMAR/543711/PNB/29.04.2025"/>
    <m/>
    <n v="837000"/>
    <n v="2531519.1"/>
    <s v="Pramod kumar"/>
    <s v="IF OF PLOT NO S12"/>
    <m/>
    <m/>
    <m/>
    <m/>
    <m/>
    <m/>
    <x v="1"/>
  </r>
  <r>
    <s v="MMT/IMPS/512415986326/BULD52305853/RAHULCHAUD/HDFC0004358"/>
    <n v="29700"/>
    <m/>
    <n v="2501819.1"/>
    <s v="RAHUL CHAUDHARY"/>
    <s v="SALARY"/>
    <m/>
    <m/>
    <m/>
    <m/>
    <m/>
    <m/>
    <x v="24"/>
  </r>
  <r>
    <s v="MMT/IMPS/515718604637/BULD53897223/RAHULCHAUD/HDFC0004358"/>
    <n v="29700"/>
    <m/>
    <n v="2472119.1"/>
    <s v="RAHUL CHAUDHARY"/>
    <s v="SALARY"/>
    <m/>
    <m/>
    <m/>
    <m/>
    <m/>
    <m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C65" firstHeaderRow="0" firstDataRow="1" firstDataCol="1"/>
  <pivotFields count="13"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9">
        <item x="53"/>
        <item x="6"/>
        <item x="25"/>
        <item x="16"/>
        <item x="9"/>
        <item x="48"/>
        <item x="32"/>
        <item x="14"/>
        <item x="45"/>
        <item x="33"/>
        <item m="1" x="62"/>
        <item m="1" x="65"/>
        <item x="2"/>
        <item x="15"/>
        <item x="43"/>
        <item m="1" x="67"/>
        <item x="40"/>
        <item x="21"/>
        <item x="23"/>
        <item x="37"/>
        <item x="56"/>
        <item x="18"/>
        <item x="54"/>
        <item x="35"/>
        <item x="7"/>
        <item x="51"/>
        <item x="47"/>
        <item x="30"/>
        <item x="0"/>
        <item x="20"/>
        <item x="41"/>
        <item x="50"/>
        <item x="60"/>
        <item x="22"/>
        <item x="46"/>
        <item x="26"/>
        <item x="39"/>
        <item x="24"/>
        <item x="19"/>
        <item x="1"/>
        <item x="36"/>
        <item x="5"/>
        <item m="1" x="61"/>
        <item x="29"/>
        <item m="1" x="66"/>
        <item x="57"/>
        <item x="10"/>
        <item x="38"/>
        <item x="12"/>
        <item x="28"/>
        <item x="59"/>
        <item x="31"/>
        <item x="27"/>
        <item x="13"/>
        <item x="42"/>
        <item x="52"/>
        <item x="34"/>
        <item x="49"/>
        <item x="4"/>
        <item x="17"/>
        <item x="55"/>
        <item x="58"/>
        <item x="11"/>
        <item m="1" x="64"/>
        <item m="1" x="63"/>
        <item x="44"/>
        <item x="3"/>
        <item x="8"/>
        <item t="default"/>
      </items>
    </pivotField>
  </pivotFields>
  <rowFields count="1">
    <field x="12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5"/>
    </i>
    <i>
      <x v="66"/>
    </i>
    <i>
      <x v="6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 Amount" fld="1" baseField="12" baseItem="0"/>
    <dataField name="Sum of Credit Amount" fld="2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5"/>
  <sheetViews>
    <sheetView workbookViewId="0">
      <selection activeCell="B8" sqref="B8"/>
    </sheetView>
  </sheetViews>
  <sheetFormatPr defaultRowHeight="12.75"/>
  <cols>
    <col min="1" max="1" width="35.5" bestFit="1" customWidth="1"/>
    <col min="2" max="2" width="18.6640625" bestFit="1" customWidth="1"/>
    <col min="3" max="3" width="19.5" bestFit="1" customWidth="1"/>
  </cols>
  <sheetData>
    <row r="3" spans="1:4">
      <c r="A3" s="407" t="s">
        <v>4320</v>
      </c>
      <c r="B3" t="s">
        <v>4322</v>
      </c>
      <c r="C3" t="s">
        <v>4323</v>
      </c>
    </row>
    <row r="4" spans="1:4">
      <c r="A4" t="s">
        <v>4313</v>
      </c>
      <c r="B4">
        <v>90000</v>
      </c>
    </row>
    <row r="5" spans="1:4">
      <c r="A5" t="s">
        <v>4270</v>
      </c>
      <c r="B5">
        <v>1450000</v>
      </c>
      <c r="C5">
        <v>2500010</v>
      </c>
    </row>
    <row r="6" spans="1:4">
      <c r="A6" t="s">
        <v>4286</v>
      </c>
      <c r="B6">
        <v>1080600</v>
      </c>
      <c r="C6">
        <v>5000</v>
      </c>
      <c r="D6" t="s">
        <v>603</v>
      </c>
    </row>
    <row r="7" spans="1:4">
      <c r="A7" t="s">
        <v>4278</v>
      </c>
      <c r="B7">
        <v>338951</v>
      </c>
      <c r="D7" t="s">
        <v>3838</v>
      </c>
    </row>
    <row r="8" spans="1:4">
      <c r="A8" t="s">
        <v>4272</v>
      </c>
      <c r="B8">
        <v>269000</v>
      </c>
      <c r="C8">
        <v>269000</v>
      </c>
    </row>
    <row r="9" spans="1:4">
      <c r="A9" t="s">
        <v>4308</v>
      </c>
      <c r="C9">
        <v>500000</v>
      </c>
    </row>
    <row r="10" spans="1:4">
      <c r="A10" t="s">
        <v>4293</v>
      </c>
      <c r="C10">
        <v>300000</v>
      </c>
    </row>
    <row r="11" spans="1:4">
      <c r="A11" t="s">
        <v>4276</v>
      </c>
      <c r="B11">
        <v>590200</v>
      </c>
      <c r="D11" t="s">
        <v>3838</v>
      </c>
    </row>
    <row r="12" spans="1:4">
      <c r="A12" t="s">
        <v>4304</v>
      </c>
      <c r="B12">
        <v>100000</v>
      </c>
      <c r="C12">
        <v>95000</v>
      </c>
    </row>
    <row r="13" spans="1:4">
      <c r="A13" t="s">
        <v>4294</v>
      </c>
      <c r="B13">
        <v>2509940</v>
      </c>
      <c r="C13">
        <v>2659645</v>
      </c>
      <c r="D13" t="s">
        <v>3838</v>
      </c>
    </row>
    <row r="14" spans="1:4">
      <c r="A14" t="s">
        <v>788</v>
      </c>
      <c r="B14">
        <v>7817.5</v>
      </c>
      <c r="D14" t="s">
        <v>3838</v>
      </c>
    </row>
    <row r="15" spans="1:4">
      <c r="A15" t="s">
        <v>4277</v>
      </c>
      <c r="B15">
        <v>371500</v>
      </c>
      <c r="D15" t="s">
        <v>3838</v>
      </c>
    </row>
    <row r="16" spans="1:4">
      <c r="A16" t="s">
        <v>1209</v>
      </c>
      <c r="B16">
        <v>4581590</v>
      </c>
      <c r="C16">
        <v>100000</v>
      </c>
      <c r="D16" t="s">
        <v>3838</v>
      </c>
    </row>
    <row r="17" spans="1:4">
      <c r="A17" t="s">
        <v>4300</v>
      </c>
      <c r="B17">
        <v>3500000</v>
      </c>
    </row>
    <row r="18" spans="1:4">
      <c r="A18" t="s">
        <v>821</v>
      </c>
      <c r="B18">
        <v>1607000</v>
      </c>
      <c r="C18">
        <v>63000</v>
      </c>
      <c r="D18" t="s">
        <v>3838</v>
      </c>
    </row>
    <row r="19" spans="1:4">
      <c r="A19" t="s">
        <v>4284</v>
      </c>
      <c r="B19">
        <v>1434223</v>
      </c>
      <c r="D19" t="s">
        <v>3838</v>
      </c>
    </row>
    <row r="20" spans="1:4">
      <c r="A20" t="s">
        <v>4297</v>
      </c>
      <c r="C20">
        <v>200000</v>
      </c>
    </row>
    <row r="21" spans="1:4">
      <c r="A21" t="s">
        <v>3749</v>
      </c>
      <c r="B21">
        <v>103686</v>
      </c>
      <c r="D21" t="s">
        <v>3838</v>
      </c>
    </row>
    <row r="22" spans="1:4">
      <c r="A22" t="s">
        <v>4280</v>
      </c>
      <c r="B22">
        <v>4387506</v>
      </c>
      <c r="D22" t="s">
        <v>3838</v>
      </c>
    </row>
    <row r="23" spans="1:4">
      <c r="A23" t="s">
        <v>803</v>
      </c>
      <c r="B23">
        <v>40127</v>
      </c>
      <c r="D23" t="s">
        <v>3838</v>
      </c>
    </row>
    <row r="24" spans="1:4">
      <c r="A24" t="s">
        <v>4295</v>
      </c>
      <c r="B24">
        <v>100000</v>
      </c>
      <c r="D24" t="s">
        <v>3838</v>
      </c>
    </row>
    <row r="25" spans="1:4">
      <c r="A25" t="s">
        <v>1345</v>
      </c>
      <c r="B25">
        <v>35455000</v>
      </c>
      <c r="C25">
        <v>34322000</v>
      </c>
    </row>
    <row r="26" spans="1:4">
      <c r="A26" t="s">
        <v>4311</v>
      </c>
      <c r="C26">
        <v>1</v>
      </c>
    </row>
    <row r="27" spans="1:4">
      <c r="A27" t="s">
        <v>4306</v>
      </c>
      <c r="B27">
        <v>800000</v>
      </c>
      <c r="C27">
        <v>790001</v>
      </c>
    </row>
    <row r="28" spans="1:4">
      <c r="A28" t="s">
        <v>4291</v>
      </c>
      <c r="B28">
        <v>27500</v>
      </c>
      <c r="D28" t="s">
        <v>3838</v>
      </c>
    </row>
    <row r="29" spans="1:4">
      <c r="A29" t="s">
        <v>4265</v>
      </c>
      <c r="B29">
        <v>9800000</v>
      </c>
      <c r="C29">
        <v>500000</v>
      </c>
    </row>
    <row r="30" spans="1:4">
      <c r="A30" t="s">
        <v>4282</v>
      </c>
      <c r="B30">
        <v>1398000</v>
      </c>
      <c r="C30">
        <v>200000</v>
      </c>
      <c r="D30" t="s">
        <v>3838</v>
      </c>
    </row>
    <row r="31" spans="1:4">
      <c r="A31" t="s">
        <v>4307</v>
      </c>
      <c r="B31">
        <v>19050000</v>
      </c>
      <c r="C31">
        <v>18050000</v>
      </c>
    </row>
    <row r="32" spans="1:4">
      <c r="A32" t="s">
        <v>4310</v>
      </c>
      <c r="C32">
        <v>5300000</v>
      </c>
    </row>
    <row r="33" spans="1:4">
      <c r="A33" t="s">
        <v>4318</v>
      </c>
      <c r="B33">
        <v>800000</v>
      </c>
    </row>
    <row r="34" spans="1:4">
      <c r="A34" t="s">
        <v>4283</v>
      </c>
      <c r="B34">
        <v>2918000</v>
      </c>
      <c r="C34">
        <v>310000</v>
      </c>
      <c r="D34" t="s">
        <v>3838</v>
      </c>
    </row>
    <row r="35" spans="1:4">
      <c r="A35" t="s">
        <v>4305</v>
      </c>
      <c r="C35">
        <v>300000</v>
      </c>
    </row>
    <row r="36" spans="1:4">
      <c r="A36" t="s">
        <v>4287</v>
      </c>
      <c r="C36">
        <v>400000</v>
      </c>
    </row>
    <row r="37" spans="1:4">
      <c r="A37" t="s">
        <v>4299</v>
      </c>
      <c r="C37">
        <v>200000</v>
      </c>
    </row>
    <row r="38" spans="1:4">
      <c r="A38" t="s">
        <v>4285</v>
      </c>
      <c r="B38">
        <v>7217700</v>
      </c>
      <c r="C38">
        <v>121200</v>
      </c>
    </row>
    <row r="39" spans="1:4">
      <c r="A39" t="s">
        <v>4281</v>
      </c>
      <c r="B39">
        <v>414000</v>
      </c>
      <c r="D39" t="s">
        <v>3838</v>
      </c>
    </row>
    <row r="40" spans="1:4">
      <c r="A40" t="s">
        <v>4266</v>
      </c>
      <c r="B40">
        <v>47531391</v>
      </c>
      <c r="C40">
        <v>79901943.599999994</v>
      </c>
    </row>
    <row r="41" spans="1:4">
      <c r="A41" t="s">
        <v>4296</v>
      </c>
      <c r="B41">
        <v>100000</v>
      </c>
      <c r="C41">
        <v>100000</v>
      </c>
    </row>
    <row r="42" spans="1:4">
      <c r="A42" t="s">
        <v>4269</v>
      </c>
      <c r="C42">
        <v>40000</v>
      </c>
    </row>
    <row r="43" spans="1:4">
      <c r="A43" t="s">
        <v>4290</v>
      </c>
      <c r="C43">
        <v>200000</v>
      </c>
    </row>
    <row r="44" spans="1:4">
      <c r="A44" t="s">
        <v>4315</v>
      </c>
      <c r="B44">
        <v>500000</v>
      </c>
    </row>
    <row r="45" spans="1:4">
      <c r="A45" t="s">
        <v>4273</v>
      </c>
      <c r="C45">
        <v>500000</v>
      </c>
    </row>
    <row r="46" spans="1:4">
      <c r="A46" t="s">
        <v>4298</v>
      </c>
      <c r="C46">
        <v>100000</v>
      </c>
    </row>
    <row r="47" spans="1:4">
      <c r="A47" t="s">
        <v>4274</v>
      </c>
      <c r="C47">
        <v>634000</v>
      </c>
    </row>
    <row r="48" spans="1:4">
      <c r="A48" t="s">
        <v>4289</v>
      </c>
      <c r="C48">
        <v>400000</v>
      </c>
    </row>
    <row r="49" spans="1:4">
      <c r="A49" t="s">
        <v>822</v>
      </c>
      <c r="C49">
        <v>38660</v>
      </c>
    </row>
    <row r="50" spans="1:4">
      <c r="A50" t="s">
        <v>4292</v>
      </c>
      <c r="B50">
        <v>25000</v>
      </c>
      <c r="D50" t="s">
        <v>3838</v>
      </c>
    </row>
    <row r="51" spans="1:4">
      <c r="A51" t="s">
        <v>4288</v>
      </c>
      <c r="B51">
        <v>115000</v>
      </c>
      <c r="D51" t="s">
        <v>3838</v>
      </c>
    </row>
    <row r="52" spans="1:4">
      <c r="A52" t="s">
        <v>4275</v>
      </c>
      <c r="C52">
        <v>500001</v>
      </c>
    </row>
    <row r="53" spans="1:4">
      <c r="A53" t="s">
        <v>4302</v>
      </c>
      <c r="C53">
        <v>100000</v>
      </c>
      <c r="D53" t="s">
        <v>3838</v>
      </c>
    </row>
    <row r="54" spans="1:4">
      <c r="A54" t="s">
        <v>4312</v>
      </c>
      <c r="B54">
        <v>200000</v>
      </c>
      <c r="D54" t="s">
        <v>3838</v>
      </c>
    </row>
    <row r="55" spans="1:4">
      <c r="A55" t="s">
        <v>1031</v>
      </c>
      <c r="B55">
        <v>665500</v>
      </c>
      <c r="D55" t="s">
        <v>3838</v>
      </c>
    </row>
    <row r="56" spans="1:4">
      <c r="A56" t="s">
        <v>4309</v>
      </c>
      <c r="C56">
        <v>1000000</v>
      </c>
    </row>
    <row r="57" spans="1:4">
      <c r="A57" t="s">
        <v>4268</v>
      </c>
      <c r="B57">
        <v>1400000</v>
      </c>
      <c r="C57">
        <v>1100000</v>
      </c>
    </row>
    <row r="58" spans="1:4">
      <c r="A58" t="s">
        <v>4279</v>
      </c>
      <c r="C58">
        <v>960000</v>
      </c>
    </row>
    <row r="59" spans="1:4">
      <c r="A59" t="s">
        <v>4314</v>
      </c>
      <c r="B59">
        <v>4248</v>
      </c>
      <c r="D59" t="s">
        <v>3838</v>
      </c>
    </row>
    <row r="60" spans="1:4">
      <c r="A60" t="s">
        <v>4317</v>
      </c>
      <c r="B60">
        <v>16873</v>
      </c>
      <c r="D60" t="s">
        <v>3838</v>
      </c>
    </row>
    <row r="61" spans="1:4">
      <c r="A61" t="s">
        <v>4267</v>
      </c>
      <c r="C61">
        <v>800000</v>
      </c>
    </row>
    <row r="62" spans="1:4">
      <c r="A62" t="s">
        <v>4324</v>
      </c>
      <c r="B62">
        <v>100000</v>
      </c>
      <c r="C62">
        <v>2000000</v>
      </c>
    </row>
    <row r="63" spans="1:4">
      <c r="A63" t="s">
        <v>86</v>
      </c>
      <c r="B63">
        <v>2255000</v>
      </c>
      <c r="C63">
        <v>850010</v>
      </c>
    </row>
    <row r="64" spans="1:4">
      <c r="A64" t="s">
        <v>887</v>
      </c>
      <c r="B64">
        <v>832000</v>
      </c>
      <c r="C64">
        <v>250000</v>
      </c>
    </row>
    <row r="65" spans="1:3">
      <c r="A65" t="s">
        <v>4321</v>
      </c>
      <c r="B65">
        <v>154187352.5</v>
      </c>
      <c r="C65">
        <v>156659471.59999999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11"/>
  <sheetViews>
    <sheetView workbookViewId="0">
      <selection activeCell="A77" sqref="A77"/>
    </sheetView>
  </sheetViews>
  <sheetFormatPr defaultRowHeight="12.75"/>
  <cols>
    <col min="1" max="1" width="35.5" bestFit="1" customWidth="1"/>
    <col min="2" max="2" width="17.83203125" style="595" bestFit="1" customWidth="1"/>
    <col min="3" max="3" width="18.5" style="595" bestFit="1" customWidth="1"/>
    <col min="4" max="5" width="13.83203125" style="595" bestFit="1" customWidth="1"/>
  </cols>
  <sheetData>
    <row r="1" spans="1:5">
      <c r="A1" t="s">
        <v>4320</v>
      </c>
      <c r="B1" s="595" t="s">
        <v>4322</v>
      </c>
      <c r="C1" s="595" t="s">
        <v>4323</v>
      </c>
    </row>
    <row r="2" spans="1:5" hidden="1">
      <c r="A2" t="s">
        <v>4313</v>
      </c>
      <c r="B2" s="595">
        <v>90000</v>
      </c>
      <c r="E2" s="595">
        <f>+C2-B2</f>
        <v>-90000</v>
      </c>
    </row>
    <row r="3" spans="1:5">
      <c r="A3" t="s">
        <v>4270</v>
      </c>
      <c r="B3" s="595">
        <v>1450000</v>
      </c>
      <c r="C3" s="595">
        <v>2500010</v>
      </c>
      <c r="E3" s="595">
        <f t="shared" ref="E3:E64" si="0">+C3-B3</f>
        <v>1050010</v>
      </c>
    </row>
    <row r="4" spans="1:5" hidden="1">
      <c r="A4" t="s">
        <v>4286</v>
      </c>
      <c r="B4" s="595">
        <v>1080600</v>
      </c>
      <c r="C4" s="595">
        <v>5000</v>
      </c>
      <c r="D4" s="595" t="s">
        <v>603</v>
      </c>
      <c r="E4" s="595">
        <f t="shared" si="0"/>
        <v>-1075600</v>
      </c>
    </row>
    <row r="5" spans="1:5" hidden="1">
      <c r="A5" t="s">
        <v>4278</v>
      </c>
      <c r="B5" s="595">
        <v>338951</v>
      </c>
      <c r="D5" s="595" t="s">
        <v>3838</v>
      </c>
      <c r="E5" s="595">
        <f t="shared" si="0"/>
        <v>-338951</v>
      </c>
    </row>
    <row r="6" spans="1:5" hidden="1">
      <c r="A6" t="s">
        <v>4272</v>
      </c>
      <c r="B6" s="595">
        <v>269000</v>
      </c>
      <c r="C6" s="595">
        <v>269000</v>
      </c>
      <c r="E6" s="595">
        <f t="shared" si="0"/>
        <v>0</v>
      </c>
    </row>
    <row r="7" spans="1:5">
      <c r="A7" t="s">
        <v>4308</v>
      </c>
      <c r="C7" s="595">
        <v>500000</v>
      </c>
      <c r="E7" s="595">
        <f t="shared" si="0"/>
        <v>500000</v>
      </c>
    </row>
    <row r="8" spans="1:5">
      <c r="A8" t="s">
        <v>4293</v>
      </c>
      <c r="C8" s="595">
        <v>300000</v>
      </c>
      <c r="E8" s="595">
        <f t="shared" si="0"/>
        <v>300000</v>
      </c>
    </row>
    <row r="9" spans="1:5" hidden="1">
      <c r="A9" t="s">
        <v>4276</v>
      </c>
      <c r="B9" s="595">
        <v>590200</v>
      </c>
      <c r="D9" s="595" t="s">
        <v>3838</v>
      </c>
      <c r="E9" s="595">
        <f t="shared" si="0"/>
        <v>-590200</v>
      </c>
    </row>
    <row r="10" spans="1:5">
      <c r="A10" t="s">
        <v>4304</v>
      </c>
      <c r="C10" s="595">
        <v>95000</v>
      </c>
      <c r="E10" s="595">
        <f t="shared" si="0"/>
        <v>95000</v>
      </c>
    </row>
    <row r="11" spans="1:5" hidden="1">
      <c r="A11" t="s">
        <v>4294</v>
      </c>
      <c r="B11" s="595">
        <v>2509940</v>
      </c>
      <c r="C11" s="595">
        <v>2659645</v>
      </c>
      <c r="D11" s="595" t="s">
        <v>3838</v>
      </c>
      <c r="E11" s="595">
        <f t="shared" si="0"/>
        <v>149705</v>
      </c>
    </row>
    <row r="12" spans="1:5" hidden="1">
      <c r="A12" t="s">
        <v>4301</v>
      </c>
      <c r="B12" s="595">
        <v>9500000</v>
      </c>
      <c r="C12" s="595">
        <v>3050000</v>
      </c>
      <c r="E12" s="595">
        <f t="shared" si="0"/>
        <v>-6450000</v>
      </c>
    </row>
    <row r="13" spans="1:5" hidden="1">
      <c r="A13" t="s">
        <v>788</v>
      </c>
      <c r="B13" s="595">
        <v>7817.5</v>
      </c>
      <c r="D13" s="595" t="s">
        <v>3838</v>
      </c>
      <c r="E13" s="595">
        <f t="shared" si="0"/>
        <v>-7817.5</v>
      </c>
    </row>
    <row r="14" spans="1:5" hidden="1">
      <c r="A14" t="s">
        <v>4277</v>
      </c>
      <c r="B14" s="595">
        <v>371500</v>
      </c>
      <c r="D14" s="595" t="s">
        <v>3838</v>
      </c>
      <c r="E14" s="595">
        <f t="shared" si="0"/>
        <v>-371500</v>
      </c>
    </row>
    <row r="15" spans="1:5" hidden="1">
      <c r="A15" t="s">
        <v>1209</v>
      </c>
      <c r="B15" s="595">
        <v>4581590</v>
      </c>
      <c r="C15" s="595">
        <v>100000</v>
      </c>
      <c r="D15" s="595" t="s">
        <v>3838</v>
      </c>
      <c r="E15" s="595">
        <f t="shared" si="0"/>
        <v>-4481590</v>
      </c>
    </row>
    <row r="16" spans="1:5" hidden="1">
      <c r="A16" t="s">
        <v>4300</v>
      </c>
      <c r="B16" s="595">
        <v>3500000</v>
      </c>
      <c r="E16" s="595">
        <f t="shared" si="0"/>
        <v>-3500000</v>
      </c>
    </row>
    <row r="17" spans="1:5" hidden="1">
      <c r="A17" t="s">
        <v>821</v>
      </c>
      <c r="B17" s="595">
        <v>1607000</v>
      </c>
      <c r="C17" s="595">
        <v>63000</v>
      </c>
      <c r="D17" s="595" t="s">
        <v>3838</v>
      </c>
      <c r="E17" s="595">
        <f t="shared" si="0"/>
        <v>-1544000</v>
      </c>
    </row>
    <row r="18" spans="1:5" hidden="1">
      <c r="A18" t="s">
        <v>4284</v>
      </c>
      <c r="B18" s="595">
        <v>1434223</v>
      </c>
      <c r="D18" s="595" t="s">
        <v>3838</v>
      </c>
      <c r="E18" s="595">
        <f t="shared" si="0"/>
        <v>-1434223</v>
      </c>
    </row>
    <row r="19" spans="1:5">
      <c r="A19" t="s">
        <v>4297</v>
      </c>
      <c r="C19" s="595">
        <v>200000</v>
      </c>
      <c r="E19" s="595">
        <f t="shared" si="0"/>
        <v>200000</v>
      </c>
    </row>
    <row r="20" spans="1:5" hidden="1">
      <c r="A20" t="s">
        <v>3749</v>
      </c>
      <c r="B20" s="595">
        <v>103686</v>
      </c>
      <c r="D20" s="595" t="s">
        <v>3838</v>
      </c>
      <c r="E20" s="595">
        <f t="shared" si="0"/>
        <v>-103686</v>
      </c>
    </row>
    <row r="21" spans="1:5" hidden="1">
      <c r="A21" t="s">
        <v>4280</v>
      </c>
      <c r="B21" s="595">
        <v>4387506</v>
      </c>
      <c r="D21" s="595" t="s">
        <v>3838</v>
      </c>
      <c r="E21" s="595">
        <f t="shared" si="0"/>
        <v>-4387506</v>
      </c>
    </row>
    <row r="22" spans="1:5" hidden="1">
      <c r="A22" t="s">
        <v>803</v>
      </c>
      <c r="B22" s="595">
        <v>40127</v>
      </c>
      <c r="D22" s="595" t="s">
        <v>3838</v>
      </c>
      <c r="E22" s="595">
        <f t="shared" si="0"/>
        <v>-40127</v>
      </c>
    </row>
    <row r="23" spans="1:5" hidden="1">
      <c r="A23" t="s">
        <v>4295</v>
      </c>
      <c r="B23" s="595">
        <v>100000</v>
      </c>
      <c r="D23" s="595" t="s">
        <v>3838</v>
      </c>
      <c r="E23" s="595">
        <f t="shared" si="0"/>
        <v>-100000</v>
      </c>
    </row>
    <row r="24" spans="1:5" hidden="1">
      <c r="A24" t="s">
        <v>1345</v>
      </c>
      <c r="B24" s="595">
        <v>35455000</v>
      </c>
      <c r="C24" s="595">
        <v>34322000</v>
      </c>
      <c r="E24" s="595">
        <f t="shared" si="0"/>
        <v>-1133000</v>
      </c>
    </row>
    <row r="25" spans="1:5" hidden="1">
      <c r="A25" t="s">
        <v>4311</v>
      </c>
      <c r="C25" s="595">
        <v>1</v>
      </c>
      <c r="D25" s="595" t="s">
        <v>3838</v>
      </c>
      <c r="E25" s="595">
        <f t="shared" si="0"/>
        <v>1</v>
      </c>
    </row>
    <row r="26" spans="1:5" hidden="1">
      <c r="A26" t="s">
        <v>4306</v>
      </c>
      <c r="B26" s="595">
        <v>800000</v>
      </c>
      <c r="C26" s="595">
        <v>790001</v>
      </c>
      <c r="E26" s="595">
        <f t="shared" si="0"/>
        <v>-9999</v>
      </c>
    </row>
    <row r="27" spans="1:5" hidden="1">
      <c r="A27" t="s">
        <v>4291</v>
      </c>
      <c r="B27" s="595">
        <v>27500</v>
      </c>
      <c r="D27" s="595" t="s">
        <v>3838</v>
      </c>
      <c r="E27" s="595">
        <f t="shared" si="0"/>
        <v>-27500</v>
      </c>
    </row>
    <row r="28" spans="1:5" hidden="1">
      <c r="A28" t="s">
        <v>4265</v>
      </c>
      <c r="B28" s="595">
        <v>9800000</v>
      </c>
      <c r="C28" s="595">
        <v>500000</v>
      </c>
      <c r="E28" s="595">
        <f t="shared" si="0"/>
        <v>-9300000</v>
      </c>
    </row>
    <row r="29" spans="1:5" hidden="1">
      <c r="A29" t="s">
        <v>4282</v>
      </c>
      <c r="B29" s="595">
        <v>1398000</v>
      </c>
      <c r="C29" s="595">
        <v>200000</v>
      </c>
      <c r="D29" s="595" t="s">
        <v>3838</v>
      </c>
      <c r="E29" s="595">
        <f t="shared" si="0"/>
        <v>-1198000</v>
      </c>
    </row>
    <row r="30" spans="1:5">
      <c r="A30" t="s">
        <v>4307</v>
      </c>
      <c r="B30" s="595">
        <v>9550000</v>
      </c>
      <c r="C30" s="595">
        <v>15000000</v>
      </c>
      <c r="E30" s="595">
        <f t="shared" si="0"/>
        <v>5450000</v>
      </c>
    </row>
    <row r="31" spans="1:5">
      <c r="A31" t="s">
        <v>4310</v>
      </c>
      <c r="C31" s="595">
        <v>5300000</v>
      </c>
      <c r="E31" s="595">
        <f t="shared" si="0"/>
        <v>5300000</v>
      </c>
    </row>
    <row r="32" spans="1:5" hidden="1">
      <c r="A32" t="s">
        <v>4318</v>
      </c>
      <c r="B32" s="595">
        <v>800000</v>
      </c>
      <c r="E32" s="595">
        <f t="shared" si="0"/>
        <v>-800000</v>
      </c>
    </row>
    <row r="33" spans="1:5" hidden="1">
      <c r="A33" t="s">
        <v>4283</v>
      </c>
      <c r="B33" s="595">
        <v>2918000</v>
      </c>
      <c r="C33" s="595">
        <v>310000</v>
      </c>
      <c r="D33" s="595" t="s">
        <v>3838</v>
      </c>
      <c r="E33" s="595">
        <f t="shared" si="0"/>
        <v>-2608000</v>
      </c>
    </row>
    <row r="34" spans="1:5">
      <c r="A34" t="s">
        <v>4305</v>
      </c>
      <c r="C34" s="595">
        <v>300000</v>
      </c>
      <c r="E34" s="595">
        <f t="shared" si="0"/>
        <v>300000</v>
      </c>
    </row>
    <row r="35" spans="1:5">
      <c r="A35" t="s">
        <v>4287</v>
      </c>
      <c r="C35" s="595">
        <v>400000</v>
      </c>
      <c r="E35" s="595">
        <f t="shared" si="0"/>
        <v>400000</v>
      </c>
    </row>
    <row r="36" spans="1:5">
      <c r="A36" t="s">
        <v>4299</v>
      </c>
      <c r="C36" s="595">
        <v>200000</v>
      </c>
      <c r="E36" s="595">
        <f t="shared" si="0"/>
        <v>200000</v>
      </c>
    </row>
    <row r="37" spans="1:5" hidden="1">
      <c r="A37" t="s">
        <v>4285</v>
      </c>
      <c r="B37" s="595">
        <v>7417700</v>
      </c>
      <c r="C37" s="595">
        <v>121200</v>
      </c>
      <c r="E37" s="595">
        <f t="shared" si="0"/>
        <v>-7296500</v>
      </c>
    </row>
    <row r="38" spans="1:5" hidden="1">
      <c r="A38" t="s">
        <v>4281</v>
      </c>
      <c r="B38" s="595">
        <v>414000</v>
      </c>
      <c r="D38" s="595" t="s">
        <v>3838</v>
      </c>
      <c r="E38" s="595">
        <f t="shared" si="0"/>
        <v>-414000</v>
      </c>
    </row>
    <row r="39" spans="1:5">
      <c r="A39" t="s">
        <v>4266</v>
      </c>
      <c r="B39" s="595">
        <v>47531391</v>
      </c>
      <c r="C39" s="595">
        <v>79901943.599999994</v>
      </c>
      <c r="E39" s="595">
        <f t="shared" si="0"/>
        <v>32370552.599999994</v>
      </c>
    </row>
    <row r="40" spans="1:5" hidden="1">
      <c r="A40" t="s">
        <v>4296</v>
      </c>
      <c r="B40" s="595">
        <v>100000</v>
      </c>
      <c r="C40" s="595">
        <v>100000</v>
      </c>
      <c r="E40" s="595">
        <f t="shared" si="0"/>
        <v>0</v>
      </c>
    </row>
    <row r="41" spans="1:5">
      <c r="A41" t="s">
        <v>4269</v>
      </c>
      <c r="C41" s="595">
        <v>40000</v>
      </c>
      <c r="E41" s="595">
        <f t="shared" si="0"/>
        <v>40000</v>
      </c>
    </row>
    <row r="42" spans="1:5">
      <c r="A42" t="s">
        <v>4271</v>
      </c>
      <c r="C42" s="595">
        <v>150000</v>
      </c>
      <c r="E42" s="595">
        <f t="shared" si="0"/>
        <v>150000</v>
      </c>
    </row>
    <row r="43" spans="1:5">
      <c r="A43" t="s">
        <v>4290</v>
      </c>
      <c r="C43" s="595">
        <v>200000</v>
      </c>
      <c r="E43" s="595">
        <f t="shared" si="0"/>
        <v>200000</v>
      </c>
    </row>
    <row r="44" spans="1:5" hidden="1">
      <c r="A44" t="s">
        <v>4303</v>
      </c>
      <c r="B44" s="595">
        <v>732000</v>
      </c>
      <c r="C44" s="595">
        <v>100000</v>
      </c>
      <c r="E44" s="595">
        <f t="shared" si="0"/>
        <v>-632000</v>
      </c>
    </row>
    <row r="45" spans="1:5" hidden="1">
      <c r="A45" t="s">
        <v>4315</v>
      </c>
      <c r="B45" s="595">
        <v>500000</v>
      </c>
      <c r="E45" s="595">
        <f t="shared" si="0"/>
        <v>-500000</v>
      </c>
    </row>
    <row r="46" spans="1:5">
      <c r="A46" t="s">
        <v>4273</v>
      </c>
      <c r="C46" s="595">
        <v>500000</v>
      </c>
      <c r="E46" s="595">
        <f t="shared" si="0"/>
        <v>500000</v>
      </c>
    </row>
    <row r="47" spans="1:5">
      <c r="A47" t="s">
        <v>4298</v>
      </c>
      <c r="C47" s="595">
        <v>100000</v>
      </c>
      <c r="E47" s="595">
        <f t="shared" si="0"/>
        <v>100000</v>
      </c>
    </row>
    <row r="48" spans="1:5">
      <c r="A48" t="s">
        <v>4274</v>
      </c>
      <c r="C48" s="595">
        <v>634000</v>
      </c>
      <c r="E48" s="595">
        <f t="shared" si="0"/>
        <v>634000</v>
      </c>
    </row>
    <row r="49" spans="1:5">
      <c r="A49" t="s">
        <v>4289</v>
      </c>
      <c r="C49" s="595">
        <v>400000</v>
      </c>
      <c r="E49" s="595">
        <f t="shared" si="0"/>
        <v>400000</v>
      </c>
    </row>
    <row r="50" spans="1:5">
      <c r="A50" t="s">
        <v>822</v>
      </c>
      <c r="C50" s="595">
        <v>38660</v>
      </c>
      <c r="E50" s="595">
        <f t="shared" si="0"/>
        <v>38660</v>
      </c>
    </row>
    <row r="51" spans="1:5" hidden="1">
      <c r="A51" t="s">
        <v>4292</v>
      </c>
      <c r="B51" s="595">
        <v>25000</v>
      </c>
      <c r="D51" s="595" t="s">
        <v>3838</v>
      </c>
      <c r="E51" s="595">
        <f t="shared" si="0"/>
        <v>-25000</v>
      </c>
    </row>
    <row r="52" spans="1:5" hidden="1">
      <c r="A52" t="s">
        <v>4288</v>
      </c>
      <c r="B52" s="595">
        <v>115000</v>
      </c>
      <c r="D52" s="595" t="s">
        <v>3838</v>
      </c>
      <c r="E52" s="595">
        <f t="shared" si="0"/>
        <v>-115000</v>
      </c>
    </row>
    <row r="53" spans="1:5">
      <c r="A53" t="s">
        <v>4275</v>
      </c>
      <c r="C53" s="595">
        <v>500001</v>
      </c>
      <c r="E53" s="595">
        <f t="shared" si="0"/>
        <v>500001</v>
      </c>
    </row>
    <row r="54" spans="1:5">
      <c r="A54" t="s">
        <v>4302</v>
      </c>
      <c r="C54" s="595">
        <v>100000</v>
      </c>
      <c r="E54" s="595">
        <f t="shared" si="0"/>
        <v>100000</v>
      </c>
    </row>
    <row r="55" spans="1:5" hidden="1">
      <c r="A55" t="s">
        <v>4312</v>
      </c>
      <c r="B55" s="595">
        <v>200000</v>
      </c>
      <c r="E55" s="595">
        <f t="shared" si="0"/>
        <v>-200000</v>
      </c>
    </row>
    <row r="56" spans="1:5" hidden="1">
      <c r="A56" t="s">
        <v>1031</v>
      </c>
      <c r="B56" s="595">
        <v>665500</v>
      </c>
      <c r="D56" s="595" t="s">
        <v>3838</v>
      </c>
      <c r="E56" s="595">
        <f t="shared" si="0"/>
        <v>-665500</v>
      </c>
    </row>
    <row r="57" spans="1:5">
      <c r="A57" t="s">
        <v>4309</v>
      </c>
      <c r="C57" s="595">
        <v>1000000</v>
      </c>
      <c r="E57" s="595">
        <f t="shared" si="0"/>
        <v>1000000</v>
      </c>
    </row>
    <row r="58" spans="1:5" hidden="1">
      <c r="A58" t="s">
        <v>4268</v>
      </c>
      <c r="B58" s="595">
        <v>1400000</v>
      </c>
      <c r="C58" s="595">
        <v>1100000</v>
      </c>
      <c r="E58" s="595">
        <f t="shared" si="0"/>
        <v>-300000</v>
      </c>
    </row>
    <row r="59" spans="1:5">
      <c r="A59" t="s">
        <v>4279</v>
      </c>
      <c r="C59" s="595">
        <v>960000</v>
      </c>
      <c r="E59" s="595">
        <f t="shared" si="0"/>
        <v>960000</v>
      </c>
    </row>
    <row r="60" spans="1:5" hidden="1">
      <c r="A60" t="s">
        <v>4314</v>
      </c>
      <c r="B60" s="595">
        <v>4248</v>
      </c>
      <c r="D60" s="595" t="s">
        <v>3838</v>
      </c>
      <c r="E60" s="595">
        <f t="shared" si="0"/>
        <v>-4248</v>
      </c>
    </row>
    <row r="61" spans="1:5" hidden="1">
      <c r="A61" t="s">
        <v>4317</v>
      </c>
      <c r="B61" s="595">
        <v>16873</v>
      </c>
      <c r="D61" s="595" t="s">
        <v>3838</v>
      </c>
      <c r="E61" s="595">
        <f t="shared" si="0"/>
        <v>-16873</v>
      </c>
    </row>
    <row r="62" spans="1:5" hidden="1">
      <c r="A62" t="s">
        <v>4267</v>
      </c>
      <c r="B62" s="595">
        <v>1655000</v>
      </c>
      <c r="C62" s="595">
        <v>1650010</v>
      </c>
      <c r="E62" s="595">
        <f t="shared" si="0"/>
        <v>-4990</v>
      </c>
    </row>
    <row r="63" spans="1:5" hidden="1">
      <c r="A63" t="s">
        <v>4316</v>
      </c>
      <c r="B63" s="595">
        <v>600000</v>
      </c>
      <c r="E63" s="595">
        <f t="shared" si="0"/>
        <v>-600000</v>
      </c>
    </row>
    <row r="64" spans="1:5">
      <c r="A64" t="s">
        <v>4324</v>
      </c>
      <c r="B64" s="595">
        <v>100000</v>
      </c>
      <c r="C64" s="595">
        <v>2000000</v>
      </c>
      <c r="E64" s="595">
        <f t="shared" si="0"/>
        <v>1900000</v>
      </c>
    </row>
    <row r="65" spans="1:2" hidden="1"/>
    <row r="70" spans="1:2">
      <c r="A70" t="s">
        <v>4325</v>
      </c>
      <c r="B70" s="595">
        <v>18324015.5</v>
      </c>
    </row>
    <row r="71" spans="1:2">
      <c r="A71" t="s">
        <v>4286</v>
      </c>
      <c r="B71" s="595">
        <v>1075600</v>
      </c>
    </row>
    <row r="72" spans="1:2">
      <c r="A72" t="s">
        <v>4313</v>
      </c>
      <c r="B72" s="595">
        <v>90000</v>
      </c>
    </row>
    <row r="73" spans="1:2">
      <c r="A73" t="s">
        <v>4301</v>
      </c>
      <c r="B73" s="595">
        <v>6450000</v>
      </c>
    </row>
    <row r="74" spans="1:2">
      <c r="A74" t="s">
        <v>4300</v>
      </c>
      <c r="B74" s="595">
        <v>3500000</v>
      </c>
    </row>
    <row r="75" spans="1:2">
      <c r="A75" t="s">
        <v>1345</v>
      </c>
      <c r="B75" s="595">
        <v>1133000</v>
      </c>
    </row>
    <row r="76" spans="1:2">
      <c r="A76" t="s">
        <v>4306</v>
      </c>
      <c r="B76" s="595">
        <v>9999</v>
      </c>
    </row>
    <row r="77" spans="1:2">
      <c r="A77" t="s">
        <v>4265</v>
      </c>
      <c r="B77" s="595">
        <v>9300000</v>
      </c>
    </row>
    <row r="78" spans="1:2">
      <c r="A78" t="s">
        <v>4318</v>
      </c>
      <c r="B78" s="595">
        <v>800000</v>
      </c>
    </row>
    <row r="79" spans="1:2">
      <c r="A79" t="s">
        <v>4285</v>
      </c>
      <c r="B79" s="595">
        <v>7296500</v>
      </c>
    </row>
    <row r="80" spans="1:2">
      <c r="A80" t="s">
        <v>4303</v>
      </c>
      <c r="B80" s="595">
        <v>632000</v>
      </c>
    </row>
    <row r="81" spans="1:3">
      <c r="A81" t="s">
        <v>4315</v>
      </c>
      <c r="B81" s="595">
        <v>500000</v>
      </c>
    </row>
    <row r="82" spans="1:3">
      <c r="A82" t="s">
        <v>4312</v>
      </c>
      <c r="B82" s="595">
        <v>200000</v>
      </c>
    </row>
    <row r="83" spans="1:3">
      <c r="A83" t="s">
        <v>4268</v>
      </c>
      <c r="B83" s="595">
        <v>300000</v>
      </c>
    </row>
    <row r="84" spans="1:3">
      <c r="A84" t="s">
        <v>4267</v>
      </c>
      <c r="B84" s="595">
        <v>4990</v>
      </c>
    </row>
    <row r="85" spans="1:3">
      <c r="A85" t="s">
        <v>4316</v>
      </c>
      <c r="B85" s="595">
        <v>600000</v>
      </c>
    </row>
    <row r="86" spans="1:3">
      <c r="A86" t="s">
        <v>4270</v>
      </c>
      <c r="C86" s="595">
        <v>1050010</v>
      </c>
    </row>
    <row r="87" spans="1:3">
      <c r="A87" t="s">
        <v>4308</v>
      </c>
      <c r="C87" s="595">
        <v>500000</v>
      </c>
    </row>
    <row r="88" spans="1:3">
      <c r="A88" t="s">
        <v>4293</v>
      </c>
      <c r="C88" s="595">
        <v>300000</v>
      </c>
    </row>
    <row r="89" spans="1:3">
      <c r="A89" t="s">
        <v>4304</v>
      </c>
      <c r="C89" s="595">
        <v>95000</v>
      </c>
    </row>
    <row r="90" spans="1:3">
      <c r="A90" t="s">
        <v>4297</v>
      </c>
      <c r="C90" s="595">
        <v>200000</v>
      </c>
    </row>
    <row r="91" spans="1:3">
      <c r="A91" t="s">
        <v>4307</v>
      </c>
      <c r="C91" s="595">
        <v>5450000</v>
      </c>
    </row>
    <row r="92" spans="1:3">
      <c r="A92" t="s">
        <v>4310</v>
      </c>
      <c r="C92" s="595">
        <v>5300000</v>
      </c>
    </row>
    <row r="93" spans="1:3">
      <c r="A93" t="s">
        <v>4305</v>
      </c>
      <c r="C93" s="595">
        <v>300000</v>
      </c>
    </row>
    <row r="94" spans="1:3">
      <c r="A94" t="s">
        <v>4287</v>
      </c>
      <c r="C94" s="595">
        <v>400000</v>
      </c>
    </row>
    <row r="95" spans="1:3">
      <c r="A95" t="s">
        <v>4299</v>
      </c>
      <c r="C95" s="595">
        <v>200000</v>
      </c>
    </row>
    <row r="96" spans="1:3">
      <c r="A96" t="s">
        <v>4266</v>
      </c>
      <c r="C96" s="595">
        <v>32370552.599999994</v>
      </c>
    </row>
    <row r="97" spans="1:4">
      <c r="A97" t="s">
        <v>4269</v>
      </c>
      <c r="C97" s="595">
        <v>40000</v>
      </c>
    </row>
    <row r="98" spans="1:4">
      <c r="A98" t="s">
        <v>4271</v>
      </c>
      <c r="C98" s="595">
        <v>150000</v>
      </c>
    </row>
    <row r="99" spans="1:4">
      <c r="A99" t="s">
        <v>4290</v>
      </c>
      <c r="C99" s="595">
        <v>200000</v>
      </c>
    </row>
    <row r="100" spans="1:4">
      <c r="A100" t="s">
        <v>4273</v>
      </c>
      <c r="C100" s="595">
        <v>500000</v>
      </c>
    </row>
    <row r="101" spans="1:4">
      <c r="A101" t="s">
        <v>4298</v>
      </c>
      <c r="C101" s="595">
        <v>100000</v>
      </c>
    </row>
    <row r="102" spans="1:4">
      <c r="A102" t="s">
        <v>4274</v>
      </c>
      <c r="C102" s="595">
        <v>634000</v>
      </c>
    </row>
    <row r="103" spans="1:4">
      <c r="A103" t="s">
        <v>4289</v>
      </c>
      <c r="C103" s="595">
        <v>400000</v>
      </c>
    </row>
    <row r="104" spans="1:4">
      <c r="A104" t="s">
        <v>822</v>
      </c>
      <c r="C104" s="595">
        <v>38660</v>
      </c>
    </row>
    <row r="105" spans="1:4">
      <c r="A105" t="s">
        <v>4275</v>
      </c>
      <c r="C105" s="595">
        <v>500001</v>
      </c>
    </row>
    <row r="106" spans="1:4">
      <c r="A106" t="s">
        <v>4302</v>
      </c>
      <c r="C106" s="595">
        <v>100000</v>
      </c>
    </row>
    <row r="107" spans="1:4">
      <c r="A107" t="s">
        <v>4309</v>
      </c>
      <c r="C107" s="595">
        <v>1000000</v>
      </c>
    </row>
    <row r="108" spans="1:4">
      <c r="A108" t="s">
        <v>4279</v>
      </c>
      <c r="C108" s="595">
        <v>960000</v>
      </c>
    </row>
    <row r="109" spans="1:4">
      <c r="A109" t="s">
        <v>4324</v>
      </c>
      <c r="C109" s="595">
        <v>1900000</v>
      </c>
    </row>
    <row r="111" spans="1:4">
      <c r="B111" s="595">
        <f>+SUM(B70:B109)</f>
        <v>50216104.5</v>
      </c>
      <c r="C111" s="595">
        <f>+SUM(C86:C109)</f>
        <v>52688223.599999994</v>
      </c>
      <c r="D111" s="595">
        <f>+C111-B111</f>
        <v>2472119.099999994</v>
      </c>
    </row>
  </sheetData>
  <autoFilter ref="A1:E65">
    <filterColumn colId="3">
      <filters blank="1"/>
    </filterColumn>
    <filterColumn colId="4">
      <filters>
        <filter val="1,00,000.00"/>
        <filter val="1,50,000.00"/>
        <filter val="10,00,000.00"/>
        <filter val="10,50,010.00"/>
        <filter val="19,00,000.00"/>
        <filter val="2,00,000.00"/>
        <filter val="3,00,000.00"/>
        <filter val="3,23,70,552.60"/>
        <filter val="38,660.00"/>
        <filter val="4,00,000.00"/>
        <filter val="40,000.00"/>
        <filter val="5,00,000.00"/>
        <filter val="5,00,001.00"/>
        <filter val="53,00,000.00"/>
        <filter val="54,50,000.00"/>
        <filter val="6,34,000.00"/>
        <filter val="9,60,000.00"/>
        <filter val="95,000.00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8"/>
  <sheetViews>
    <sheetView tabSelected="1" zoomScale="90" zoomScaleNormal="90" workbookViewId="0">
      <pane ySplit="3" topLeftCell="A4" activePane="bottomLeft" state="frozen"/>
      <selection pane="bottomLeft" activeCell="F1216" sqref="F1216"/>
    </sheetView>
  </sheetViews>
  <sheetFormatPr defaultColWidth="20" defaultRowHeight="27.75" customHeight="1"/>
  <cols>
    <col min="1" max="1" width="5.83203125" style="612" customWidth="1"/>
    <col min="2" max="2" width="13.6640625" style="612" customWidth="1"/>
    <col min="3" max="3" width="14.6640625" style="612" customWidth="1"/>
    <col min="4" max="4" width="8.83203125" style="612" customWidth="1"/>
    <col min="5" max="5" width="52.33203125" style="612" customWidth="1"/>
    <col min="6" max="6" width="14.83203125" style="612" bestFit="1" customWidth="1"/>
    <col min="7" max="7" width="14.33203125" style="612" customWidth="1"/>
    <col min="8" max="8" width="15.6640625" style="612" customWidth="1"/>
    <col min="9" max="9" width="24.6640625" style="612" customWidth="1"/>
    <col min="10" max="10" width="40.1640625" style="612" customWidth="1"/>
    <col min="11" max="12" width="20" style="612" customWidth="1"/>
    <col min="13" max="13" width="20" style="616" customWidth="1"/>
    <col min="14" max="15" width="20" style="612" customWidth="1"/>
    <col min="16" max="16384" width="20" style="612"/>
  </cols>
  <sheetData>
    <row r="1" spans="1:17" ht="27.75" customHeight="1">
      <c r="B1" s="613"/>
      <c r="C1" s="685" t="s">
        <v>3683</v>
      </c>
      <c r="D1" s="686"/>
      <c r="E1" s="686"/>
      <c r="F1" s="686"/>
      <c r="G1" s="687"/>
      <c r="H1" s="614"/>
      <c r="I1" s="614"/>
      <c r="J1" s="615"/>
      <c r="P1" s="615"/>
    </row>
    <row r="2" spans="1:17" ht="27.75" customHeight="1">
      <c r="B2" s="613"/>
      <c r="C2" s="685" t="s">
        <v>4427</v>
      </c>
      <c r="D2" s="686"/>
      <c r="E2" s="686"/>
      <c r="F2" s="686"/>
      <c r="G2" s="687"/>
      <c r="H2" s="617"/>
      <c r="I2" s="617"/>
      <c r="J2" s="618"/>
      <c r="P2" s="615"/>
    </row>
    <row r="3" spans="1:17" ht="36" customHeight="1">
      <c r="A3" s="619" t="s">
        <v>280</v>
      </c>
      <c r="B3" s="619" t="s">
        <v>281</v>
      </c>
      <c r="C3" s="620" t="s">
        <v>282</v>
      </c>
      <c r="D3" s="620" t="s">
        <v>283</v>
      </c>
      <c r="E3" s="620" t="s">
        <v>284</v>
      </c>
      <c r="F3" s="620" t="s">
        <v>285</v>
      </c>
      <c r="G3" s="620" t="s">
        <v>286</v>
      </c>
      <c r="H3" s="620" t="s">
        <v>287</v>
      </c>
      <c r="I3" s="618" t="s">
        <v>0</v>
      </c>
      <c r="J3" s="618" t="s">
        <v>1</v>
      </c>
      <c r="K3" s="615">
        <v>1</v>
      </c>
      <c r="L3" s="621">
        <v>2</v>
      </c>
      <c r="M3" s="615">
        <v>3</v>
      </c>
      <c r="N3" s="621">
        <v>4</v>
      </c>
      <c r="O3" s="612">
        <v>5</v>
      </c>
      <c r="P3" s="615">
        <v>6</v>
      </c>
      <c r="Q3" s="612" t="s">
        <v>4319</v>
      </c>
    </row>
    <row r="4" spans="1:17" s="2" customFormat="1" ht="27.75" customHeight="1">
      <c r="A4" s="4">
        <v>1</v>
      </c>
      <c r="B4" s="5" t="s">
        <v>1368</v>
      </c>
      <c r="C4" s="386" t="s">
        <v>4326</v>
      </c>
      <c r="D4" s="386"/>
      <c r="E4" s="385" t="s">
        <v>288</v>
      </c>
      <c r="F4" s="414"/>
      <c r="G4" s="413">
        <v>200000</v>
      </c>
      <c r="H4" s="597">
        <v>200000</v>
      </c>
      <c r="I4" s="596" t="s">
        <v>2</v>
      </c>
      <c r="J4" s="596" t="s">
        <v>3</v>
      </c>
      <c r="K4" s="1" t="s">
        <v>794</v>
      </c>
      <c r="L4" s="191"/>
      <c r="M4" s="1" t="s">
        <v>794</v>
      </c>
      <c r="N4" s="191" t="s">
        <v>824</v>
      </c>
      <c r="P4" s="1"/>
      <c r="Q4" t="s">
        <v>4265</v>
      </c>
    </row>
    <row r="5" spans="1:17" s="2" customFormat="1" ht="27.75" customHeight="1">
      <c r="A5" s="4">
        <v>2</v>
      </c>
      <c r="B5" s="5" t="s">
        <v>1369</v>
      </c>
      <c r="C5" s="5" t="s">
        <v>1369</v>
      </c>
      <c r="D5" s="5"/>
      <c r="E5" s="5" t="s">
        <v>847</v>
      </c>
      <c r="F5" s="408"/>
      <c r="G5" s="409">
        <v>10000</v>
      </c>
      <c r="H5" s="6">
        <v>210000</v>
      </c>
      <c r="I5" s="1"/>
      <c r="J5" s="1" t="s">
        <v>3581</v>
      </c>
      <c r="K5" s="1"/>
      <c r="L5" s="191"/>
      <c r="M5" s="1"/>
      <c r="N5" s="191" t="s">
        <v>3523</v>
      </c>
      <c r="P5" s="1"/>
      <c r="Q5" t="s">
        <v>4266</v>
      </c>
    </row>
    <row r="6" spans="1:17" ht="27.75" customHeight="1">
      <c r="A6" s="622">
        <v>3</v>
      </c>
      <c r="B6" s="614" t="s">
        <v>4446</v>
      </c>
      <c r="C6" s="614" t="s">
        <v>4446</v>
      </c>
      <c r="D6" s="614"/>
      <c r="E6" s="619" t="s">
        <v>289</v>
      </c>
      <c r="F6" s="626">
        <v>125</v>
      </c>
      <c r="G6" s="627"/>
      <c r="H6" s="656">
        <v>209875</v>
      </c>
      <c r="I6" s="615"/>
      <c r="J6" s="615" t="s">
        <v>752</v>
      </c>
      <c r="K6" s="615" t="s">
        <v>826</v>
      </c>
      <c r="L6" s="621"/>
      <c r="M6" s="615" t="s">
        <v>826</v>
      </c>
      <c r="N6" s="621"/>
      <c r="P6" s="615"/>
      <c r="Q6" s="612" t="s">
        <v>788</v>
      </c>
    </row>
    <row r="7" spans="1:17" ht="27.75" customHeight="1">
      <c r="A7" s="622">
        <v>4</v>
      </c>
      <c r="B7" s="614" t="s">
        <v>4446</v>
      </c>
      <c r="C7" s="614" t="s">
        <v>4446</v>
      </c>
      <c r="D7" s="657"/>
      <c r="E7" s="619" t="s">
        <v>290</v>
      </c>
      <c r="F7" s="626">
        <v>11.25</v>
      </c>
      <c r="G7" s="627"/>
      <c r="H7" s="656">
        <v>209863.75</v>
      </c>
      <c r="I7" s="615"/>
      <c r="J7" s="615" t="s">
        <v>753</v>
      </c>
      <c r="K7" s="615" t="s">
        <v>827</v>
      </c>
      <c r="L7" s="621"/>
      <c r="M7" s="615" t="s">
        <v>827</v>
      </c>
      <c r="N7" s="621"/>
      <c r="P7" s="615"/>
      <c r="Q7" s="612" t="s">
        <v>788</v>
      </c>
    </row>
    <row r="8" spans="1:17" s="666" customFormat="1" ht="27.75" customHeight="1">
      <c r="A8" s="622">
        <v>5</v>
      </c>
      <c r="B8" s="658" t="s">
        <v>4446</v>
      </c>
      <c r="C8" s="658" t="s">
        <v>4446</v>
      </c>
      <c r="D8" s="659"/>
      <c r="E8" s="660" t="s">
        <v>291</v>
      </c>
      <c r="F8" s="661">
        <v>11.25</v>
      </c>
      <c r="G8" s="662"/>
      <c r="H8" s="663">
        <v>209852.5</v>
      </c>
      <c r="I8" s="664"/>
      <c r="J8" s="664" t="s">
        <v>753</v>
      </c>
      <c r="K8" s="664" t="s">
        <v>830</v>
      </c>
      <c r="L8" s="665"/>
      <c r="M8" s="615" t="s">
        <v>830</v>
      </c>
      <c r="N8" s="621"/>
      <c r="P8" s="664"/>
      <c r="Q8" s="612" t="s">
        <v>788</v>
      </c>
    </row>
    <row r="9" spans="1:17" s="2" customFormat="1" ht="27.75" customHeight="1">
      <c r="A9" s="4">
        <v>6</v>
      </c>
      <c r="B9" s="5" t="s">
        <v>1370</v>
      </c>
      <c r="C9" s="5" t="s">
        <v>1370</v>
      </c>
      <c r="D9" s="5"/>
      <c r="E9" s="3" t="s">
        <v>755</v>
      </c>
      <c r="F9" s="408"/>
      <c r="G9" s="409">
        <v>300000</v>
      </c>
      <c r="H9" s="6">
        <v>509852.5</v>
      </c>
      <c r="I9" s="1" t="s">
        <v>368</v>
      </c>
      <c r="J9" s="1" t="s">
        <v>794</v>
      </c>
      <c r="K9" s="1" t="s">
        <v>794</v>
      </c>
      <c r="L9" s="191" t="s">
        <v>824</v>
      </c>
      <c r="M9" s="1" t="s">
        <v>794</v>
      </c>
      <c r="N9" s="191" t="s">
        <v>3523</v>
      </c>
      <c r="P9" s="1"/>
      <c r="Q9" t="s">
        <v>4266</v>
      </c>
    </row>
    <row r="10" spans="1:17" s="2" customFormat="1" ht="27.75" customHeight="1">
      <c r="A10" s="4">
        <v>7</v>
      </c>
      <c r="B10" s="5" t="s">
        <v>1371</v>
      </c>
      <c r="C10" s="386" t="s">
        <v>4327</v>
      </c>
      <c r="D10" s="387">
        <v>891</v>
      </c>
      <c r="E10" s="385" t="s">
        <v>292</v>
      </c>
      <c r="F10" s="413">
        <v>500000</v>
      </c>
      <c r="G10" s="414"/>
      <c r="H10" s="597">
        <v>9852.5</v>
      </c>
      <c r="I10" s="596" t="s">
        <v>2</v>
      </c>
      <c r="J10" s="596" t="s">
        <v>337</v>
      </c>
      <c r="K10" s="1" t="s">
        <v>794</v>
      </c>
      <c r="L10" s="191"/>
      <c r="M10" s="1" t="s">
        <v>794</v>
      </c>
      <c r="N10" s="191" t="s">
        <v>3480</v>
      </c>
      <c r="P10" s="1"/>
      <c r="Q10" t="s">
        <v>4265</v>
      </c>
    </row>
    <row r="11" spans="1:17" s="2" customFormat="1" ht="27.75" customHeight="1">
      <c r="A11" s="4">
        <v>8</v>
      </c>
      <c r="B11" s="5" t="s">
        <v>1372</v>
      </c>
      <c r="C11" s="5" t="s">
        <v>1372</v>
      </c>
      <c r="D11" s="5"/>
      <c r="E11" s="5" t="s">
        <v>1373</v>
      </c>
      <c r="F11" s="408"/>
      <c r="G11" s="409">
        <v>10</v>
      </c>
      <c r="H11" s="6">
        <v>9862.5</v>
      </c>
      <c r="I11" s="1" t="s">
        <v>86</v>
      </c>
      <c r="J11" s="1" t="s">
        <v>367</v>
      </c>
      <c r="K11" s="1"/>
      <c r="L11" s="191"/>
      <c r="M11" s="1"/>
      <c r="N11" s="191" t="s">
        <v>822</v>
      </c>
      <c r="P11" s="1"/>
      <c r="Q11" s="2" t="s">
        <v>86</v>
      </c>
    </row>
    <row r="12" spans="1:17" s="2" customFormat="1" ht="27.75" customHeight="1">
      <c r="A12" s="4">
        <v>9</v>
      </c>
      <c r="B12" s="5" t="s">
        <v>1374</v>
      </c>
      <c r="C12" s="5" t="s">
        <v>1374</v>
      </c>
      <c r="D12" s="5"/>
      <c r="E12" s="5" t="s">
        <v>1375</v>
      </c>
      <c r="F12" s="408"/>
      <c r="G12" s="408">
        <v>1100000</v>
      </c>
      <c r="H12" s="8" t="s">
        <v>1376</v>
      </c>
      <c r="I12" s="1" t="s">
        <v>4</v>
      </c>
      <c r="J12" s="1" t="s">
        <v>5</v>
      </c>
      <c r="K12" s="1"/>
      <c r="L12" s="191"/>
      <c r="M12" s="1"/>
      <c r="N12" s="191" t="s">
        <v>3481</v>
      </c>
      <c r="P12" s="1"/>
      <c r="Q12" t="s">
        <v>4268</v>
      </c>
    </row>
    <row r="13" spans="1:17" s="2" customFormat="1" ht="27.75" customHeight="1">
      <c r="A13" s="4">
        <v>10</v>
      </c>
      <c r="B13" s="5" t="s">
        <v>1374</v>
      </c>
      <c r="C13" s="5" t="s">
        <v>1374</v>
      </c>
      <c r="D13" s="5"/>
      <c r="E13" s="5" t="s">
        <v>1377</v>
      </c>
      <c r="F13" s="408"/>
      <c r="G13" s="409">
        <v>25000</v>
      </c>
      <c r="H13" s="8" t="s">
        <v>1378</v>
      </c>
      <c r="I13" s="1" t="s">
        <v>360</v>
      </c>
      <c r="J13" s="1" t="s">
        <v>5</v>
      </c>
      <c r="K13" s="1"/>
      <c r="L13" s="191"/>
      <c r="M13" s="1"/>
      <c r="N13" s="191" t="s">
        <v>794</v>
      </c>
      <c r="P13" s="1"/>
      <c r="Q13" t="s">
        <v>4269</v>
      </c>
    </row>
    <row r="14" spans="1:17" s="2" customFormat="1" ht="27.75" customHeight="1">
      <c r="A14" s="4">
        <v>11</v>
      </c>
      <c r="B14" s="5" t="s">
        <v>1374</v>
      </c>
      <c r="C14" s="5" t="s">
        <v>1374</v>
      </c>
      <c r="D14" s="5"/>
      <c r="E14" s="5" t="s">
        <v>1379</v>
      </c>
      <c r="F14" s="408"/>
      <c r="G14" s="409">
        <v>15000</v>
      </c>
      <c r="H14" s="8" t="s">
        <v>1380</v>
      </c>
      <c r="I14" s="1" t="s">
        <v>360</v>
      </c>
      <c r="J14" s="1" t="s">
        <v>5</v>
      </c>
      <c r="K14" s="1"/>
      <c r="L14" s="191"/>
      <c r="M14" s="1"/>
      <c r="N14" s="191" t="s">
        <v>794</v>
      </c>
      <c r="P14" s="1"/>
      <c r="Q14" t="s">
        <v>4269</v>
      </c>
    </row>
    <row r="15" spans="1:17" s="17" customFormat="1" ht="27.75" customHeight="1">
      <c r="A15" s="4">
        <v>12</v>
      </c>
      <c r="B15" s="13" t="s">
        <v>1374</v>
      </c>
      <c r="C15" s="13" t="s">
        <v>1374</v>
      </c>
      <c r="D15" s="13"/>
      <c r="E15" s="13" t="s">
        <v>1381</v>
      </c>
      <c r="F15" s="411"/>
      <c r="G15" s="412">
        <v>50000</v>
      </c>
      <c r="H15" s="15" t="s">
        <v>1382</v>
      </c>
      <c r="I15" s="16" t="s">
        <v>6</v>
      </c>
      <c r="J15" s="16" t="s">
        <v>7</v>
      </c>
      <c r="K15" s="16"/>
      <c r="L15" s="193"/>
      <c r="M15" s="1"/>
      <c r="N15" s="191" t="s">
        <v>794</v>
      </c>
      <c r="P15" s="16"/>
      <c r="Q15" t="s">
        <v>4266</v>
      </c>
    </row>
    <row r="16" spans="1:17" s="17" customFormat="1" ht="27.75" customHeight="1">
      <c r="A16" s="4">
        <v>13</v>
      </c>
      <c r="B16" s="13" t="s">
        <v>1374</v>
      </c>
      <c r="C16" s="13" t="s">
        <v>1374</v>
      </c>
      <c r="D16" s="13"/>
      <c r="E16" s="13" t="s">
        <v>1383</v>
      </c>
      <c r="F16" s="411"/>
      <c r="G16" s="412">
        <v>100000</v>
      </c>
      <c r="H16" s="15" t="s">
        <v>1384</v>
      </c>
      <c r="I16" s="16" t="s">
        <v>6</v>
      </c>
      <c r="J16" s="16" t="s">
        <v>7</v>
      </c>
      <c r="K16" s="16"/>
      <c r="L16" s="193"/>
      <c r="M16" s="1"/>
      <c r="N16" s="191" t="s">
        <v>794</v>
      </c>
      <c r="P16" s="16"/>
      <c r="Q16" t="s">
        <v>4266</v>
      </c>
    </row>
    <row r="17" spans="1:17" s="2" customFormat="1" ht="27.75" customHeight="1">
      <c r="A17" s="4">
        <v>14</v>
      </c>
      <c r="B17" s="5" t="s">
        <v>1374</v>
      </c>
      <c r="C17" s="5" t="s">
        <v>1374</v>
      </c>
      <c r="D17" s="7"/>
      <c r="E17" s="5" t="s">
        <v>1385</v>
      </c>
      <c r="F17" s="408"/>
      <c r="G17" s="409">
        <v>10</v>
      </c>
      <c r="H17" s="8" t="s">
        <v>1386</v>
      </c>
      <c r="I17" s="1" t="s">
        <v>411</v>
      </c>
      <c r="J17" s="1" t="s">
        <v>367</v>
      </c>
      <c r="K17" s="1"/>
      <c r="L17" s="191"/>
      <c r="M17" s="1"/>
      <c r="N17" s="191" t="s">
        <v>794</v>
      </c>
      <c r="P17" s="1" t="s">
        <v>794</v>
      </c>
      <c r="Q17" t="s">
        <v>4270</v>
      </c>
    </row>
    <row r="18" spans="1:17" s="2" customFormat="1" ht="27.75" customHeight="1">
      <c r="A18" s="4">
        <v>15</v>
      </c>
      <c r="B18" s="5" t="s">
        <v>1374</v>
      </c>
      <c r="C18" s="5" t="s">
        <v>1374</v>
      </c>
      <c r="D18" s="7"/>
      <c r="E18" s="5" t="s">
        <v>1387</v>
      </c>
      <c r="F18" s="408"/>
      <c r="G18" s="409">
        <v>400000</v>
      </c>
      <c r="H18" s="8" t="s">
        <v>1388</v>
      </c>
      <c r="I18" s="1" t="s">
        <v>411</v>
      </c>
      <c r="J18" s="1" t="s">
        <v>367</v>
      </c>
      <c r="K18" s="1"/>
      <c r="L18" s="191"/>
      <c r="M18" s="1"/>
      <c r="N18" s="191" t="s">
        <v>794</v>
      </c>
      <c r="P18" s="1" t="s">
        <v>794</v>
      </c>
      <c r="Q18" t="s">
        <v>4270</v>
      </c>
    </row>
    <row r="19" spans="1:17" s="2" customFormat="1" ht="27.75" customHeight="1">
      <c r="A19" s="4">
        <v>16</v>
      </c>
      <c r="B19" s="5" t="s">
        <v>1374</v>
      </c>
      <c r="C19" s="5" t="s">
        <v>1374</v>
      </c>
      <c r="D19" s="5"/>
      <c r="E19" s="5" t="s">
        <v>1389</v>
      </c>
      <c r="F19" s="408"/>
      <c r="G19" s="409">
        <v>300000</v>
      </c>
      <c r="H19" s="8" t="s">
        <v>1390</v>
      </c>
      <c r="I19" s="1" t="s">
        <v>9</v>
      </c>
      <c r="J19" s="1" t="s">
        <v>10</v>
      </c>
      <c r="K19" s="1"/>
      <c r="L19" s="191"/>
      <c r="M19" s="1"/>
      <c r="N19" s="191" t="s">
        <v>794</v>
      </c>
      <c r="P19" s="1" t="s">
        <v>794</v>
      </c>
      <c r="Q19" t="s">
        <v>4266</v>
      </c>
    </row>
    <row r="20" spans="1:17" s="2" customFormat="1" ht="27.75" customHeight="1">
      <c r="A20" s="4">
        <v>17</v>
      </c>
      <c r="B20" s="5" t="s">
        <v>1374</v>
      </c>
      <c r="C20" s="5" t="s">
        <v>1374</v>
      </c>
      <c r="D20" s="4">
        <v>892</v>
      </c>
      <c r="E20" s="5" t="s">
        <v>1391</v>
      </c>
      <c r="F20" s="408">
        <v>1000000</v>
      </c>
      <c r="G20" s="408"/>
      <c r="H20" s="9">
        <v>999872.5</v>
      </c>
      <c r="I20" s="1" t="s">
        <v>349</v>
      </c>
      <c r="J20" s="1" t="s">
        <v>350</v>
      </c>
      <c r="K20" s="1" t="s">
        <v>822</v>
      </c>
      <c r="L20" s="191"/>
      <c r="M20" s="1" t="s">
        <v>822</v>
      </c>
      <c r="N20" s="191"/>
      <c r="P20" s="1"/>
      <c r="Q20" t="s">
        <v>1345</v>
      </c>
    </row>
    <row r="21" spans="1:17" s="2" customFormat="1" ht="27.75" customHeight="1">
      <c r="A21" s="4">
        <v>18</v>
      </c>
      <c r="B21" s="5" t="s">
        <v>1374</v>
      </c>
      <c r="C21" s="5" t="s">
        <v>1374</v>
      </c>
      <c r="D21" s="5"/>
      <c r="E21" s="5" t="s">
        <v>1392</v>
      </c>
      <c r="F21" s="408"/>
      <c r="G21" s="409">
        <v>350000</v>
      </c>
      <c r="H21" s="8" t="s">
        <v>1393</v>
      </c>
      <c r="I21" s="1" t="s">
        <v>11</v>
      </c>
      <c r="J21" s="1" t="s">
        <v>12</v>
      </c>
      <c r="K21" s="1"/>
      <c r="L21" s="191"/>
      <c r="M21" s="1"/>
      <c r="N21" s="191" t="s">
        <v>3482</v>
      </c>
      <c r="P21" s="1"/>
      <c r="Q21" t="s">
        <v>4266</v>
      </c>
    </row>
    <row r="22" spans="1:17" s="17" customFormat="1" ht="27.75" customHeight="1">
      <c r="A22" s="4">
        <v>19</v>
      </c>
      <c r="B22" s="13" t="s">
        <v>1374</v>
      </c>
      <c r="C22" s="13" t="s">
        <v>1374</v>
      </c>
      <c r="D22" s="13"/>
      <c r="E22" s="13" t="s">
        <v>1394</v>
      </c>
      <c r="F22" s="411"/>
      <c r="G22" s="412">
        <v>100000</v>
      </c>
      <c r="H22" s="15" t="s">
        <v>1395</v>
      </c>
      <c r="I22" s="16" t="s">
        <v>374</v>
      </c>
      <c r="J22" s="16" t="s">
        <v>14</v>
      </c>
      <c r="K22" s="16"/>
      <c r="L22" s="193"/>
      <c r="M22" s="1"/>
      <c r="N22" s="191" t="s">
        <v>3483</v>
      </c>
      <c r="P22" s="16"/>
      <c r="Q22" t="s">
        <v>4266</v>
      </c>
    </row>
    <row r="23" spans="1:17" s="17" customFormat="1" ht="27.75" customHeight="1">
      <c r="A23" s="4">
        <v>20</v>
      </c>
      <c r="B23" s="13" t="s">
        <v>1374</v>
      </c>
      <c r="C23" s="13" t="s">
        <v>1374</v>
      </c>
      <c r="D23" s="13"/>
      <c r="E23" s="13" t="s">
        <v>1396</v>
      </c>
      <c r="F23" s="411"/>
      <c r="G23" s="411">
        <v>1100000</v>
      </c>
      <c r="H23" s="15" t="s">
        <v>1397</v>
      </c>
      <c r="I23" s="16" t="s">
        <v>16</v>
      </c>
      <c r="J23" s="16" t="s">
        <v>15</v>
      </c>
      <c r="K23" s="16"/>
      <c r="L23" s="193"/>
      <c r="M23" s="1"/>
      <c r="N23" s="191" t="s">
        <v>794</v>
      </c>
      <c r="P23" s="16"/>
      <c r="Q23" t="s">
        <v>4266</v>
      </c>
    </row>
    <row r="24" spans="1:17" s="2" customFormat="1" ht="27.75" customHeight="1">
      <c r="A24" s="4">
        <v>21</v>
      </c>
      <c r="B24" s="5" t="s">
        <v>1374</v>
      </c>
      <c r="C24" s="5" t="s">
        <v>1374</v>
      </c>
      <c r="D24" s="5"/>
      <c r="E24" s="5" t="s">
        <v>1398</v>
      </c>
      <c r="F24" s="408"/>
      <c r="G24" s="409">
        <v>150000</v>
      </c>
      <c r="H24" s="8" t="s">
        <v>1399</v>
      </c>
      <c r="I24" s="1" t="s">
        <v>17</v>
      </c>
      <c r="J24" s="1" t="s">
        <v>18</v>
      </c>
      <c r="K24" s="1"/>
      <c r="L24" s="191"/>
      <c r="M24" s="1"/>
      <c r="N24" s="191" t="s">
        <v>794</v>
      </c>
      <c r="P24" s="1"/>
      <c r="Q24" s="2" t="s">
        <v>887</v>
      </c>
    </row>
    <row r="25" spans="1:17" s="2" customFormat="1" ht="27.75" customHeight="1">
      <c r="A25" s="4">
        <v>22</v>
      </c>
      <c r="B25" s="5" t="s">
        <v>1374</v>
      </c>
      <c r="C25" s="5" t="s">
        <v>1374</v>
      </c>
      <c r="D25" s="5"/>
      <c r="E25" s="5" t="s">
        <v>1400</v>
      </c>
      <c r="F25" s="408"/>
      <c r="G25" s="409">
        <v>100000</v>
      </c>
      <c r="H25" s="8" t="s">
        <v>1401</v>
      </c>
      <c r="I25" s="1" t="s">
        <v>19</v>
      </c>
      <c r="J25" s="1" t="s">
        <v>20</v>
      </c>
      <c r="K25" s="1"/>
      <c r="L25" s="191"/>
      <c r="M25" s="1"/>
      <c r="N25" s="191" t="s">
        <v>822</v>
      </c>
      <c r="P25" s="1"/>
      <c r="Q25" t="s">
        <v>4266</v>
      </c>
    </row>
    <row r="26" spans="1:17" s="2" customFormat="1" ht="27.75" customHeight="1">
      <c r="A26" s="4">
        <v>23</v>
      </c>
      <c r="B26" s="5" t="s">
        <v>1402</v>
      </c>
      <c r="C26" s="5" t="s">
        <v>1402</v>
      </c>
      <c r="D26" s="4">
        <v>893</v>
      </c>
      <c r="E26" s="5" t="s">
        <v>1403</v>
      </c>
      <c r="F26" s="408">
        <v>1000000</v>
      </c>
      <c r="G26" s="408"/>
      <c r="H26" s="8" t="s">
        <v>1404</v>
      </c>
      <c r="I26" s="1" t="s">
        <v>351</v>
      </c>
      <c r="J26" s="1" t="s">
        <v>350</v>
      </c>
      <c r="K26" s="1" t="s">
        <v>794</v>
      </c>
      <c r="L26" s="191"/>
      <c r="M26" s="1" t="s">
        <v>794</v>
      </c>
      <c r="N26" s="191"/>
      <c r="P26" s="1"/>
      <c r="Q26" t="s">
        <v>1345</v>
      </c>
    </row>
    <row r="27" spans="1:17" s="2" customFormat="1" ht="27.75" customHeight="1">
      <c r="A27" s="4">
        <v>24</v>
      </c>
      <c r="B27" s="5" t="s">
        <v>1402</v>
      </c>
      <c r="C27" s="5" t="s">
        <v>1402</v>
      </c>
      <c r="D27" s="4">
        <v>894</v>
      </c>
      <c r="E27" s="3" t="s">
        <v>757</v>
      </c>
      <c r="F27" s="408">
        <v>1000000</v>
      </c>
      <c r="G27" s="408"/>
      <c r="H27" s="6">
        <v>799872.5</v>
      </c>
      <c r="I27" s="1" t="s">
        <v>352</v>
      </c>
      <c r="J27" s="1" t="s">
        <v>350</v>
      </c>
      <c r="K27" s="1"/>
      <c r="L27" s="191"/>
      <c r="M27" s="1"/>
      <c r="N27" s="191"/>
      <c r="P27" s="1"/>
      <c r="Q27" t="s">
        <v>1345</v>
      </c>
    </row>
    <row r="28" spans="1:17" s="2" customFormat="1" ht="27.75" customHeight="1">
      <c r="A28" s="4">
        <v>25</v>
      </c>
      <c r="B28" s="5" t="s">
        <v>1402</v>
      </c>
      <c r="C28" s="5" t="s">
        <v>1402</v>
      </c>
      <c r="D28" s="5"/>
      <c r="E28" s="5" t="s">
        <v>1405</v>
      </c>
      <c r="F28" s="408"/>
      <c r="G28" s="409">
        <v>100000</v>
      </c>
      <c r="H28" s="6">
        <v>899872.5</v>
      </c>
      <c r="I28" s="1" t="s">
        <v>19</v>
      </c>
      <c r="J28" s="1" t="s">
        <v>20</v>
      </c>
      <c r="K28" s="1"/>
      <c r="L28" s="191"/>
      <c r="M28" s="1"/>
      <c r="N28" s="191" t="s">
        <v>822</v>
      </c>
      <c r="P28" s="1"/>
      <c r="Q28" t="s">
        <v>4266</v>
      </c>
    </row>
    <row r="29" spans="1:17" s="2" customFormat="1" ht="27.75" customHeight="1">
      <c r="A29" s="4">
        <v>26</v>
      </c>
      <c r="B29" s="5" t="s">
        <v>1406</v>
      </c>
      <c r="C29" s="386" t="s">
        <v>4328</v>
      </c>
      <c r="D29" s="386"/>
      <c r="E29" s="385" t="s">
        <v>288</v>
      </c>
      <c r="F29" s="414"/>
      <c r="G29" s="413">
        <v>300000</v>
      </c>
      <c r="H29" s="598" t="s">
        <v>4329</v>
      </c>
      <c r="I29" s="596" t="s">
        <v>2</v>
      </c>
      <c r="J29" s="596" t="s">
        <v>3</v>
      </c>
      <c r="K29" s="1"/>
      <c r="L29" s="191"/>
      <c r="M29" s="1"/>
      <c r="N29" s="191" t="s">
        <v>824</v>
      </c>
      <c r="P29" s="1"/>
      <c r="Q29" t="s">
        <v>4265</v>
      </c>
    </row>
    <row r="30" spans="1:17" s="2" customFormat="1" ht="27.75" customHeight="1">
      <c r="A30" s="4">
        <v>27</v>
      </c>
      <c r="B30" s="5" t="s">
        <v>1406</v>
      </c>
      <c r="C30" s="5" t="s">
        <v>1406</v>
      </c>
      <c r="D30" s="10">
        <v>895</v>
      </c>
      <c r="E30" s="5" t="s">
        <v>1407</v>
      </c>
      <c r="F30" s="408">
        <v>1000000</v>
      </c>
      <c r="G30" s="408"/>
      <c r="H30" s="6">
        <v>199872.5</v>
      </c>
      <c r="I30" s="1" t="s">
        <v>352</v>
      </c>
      <c r="J30" s="1" t="s">
        <v>350</v>
      </c>
      <c r="K30" s="1"/>
      <c r="L30" s="191"/>
      <c r="M30" s="1"/>
      <c r="N30" s="191"/>
      <c r="P30" s="1"/>
      <c r="Q30" t="s">
        <v>4266</v>
      </c>
    </row>
    <row r="31" spans="1:17" s="2" customFormat="1" ht="27.75" customHeight="1">
      <c r="A31" s="4">
        <v>28</v>
      </c>
      <c r="B31" s="5" t="s">
        <v>1408</v>
      </c>
      <c r="C31" s="5" t="s">
        <v>1408</v>
      </c>
      <c r="D31" s="7"/>
      <c r="E31" s="5" t="s">
        <v>1409</v>
      </c>
      <c r="F31" s="408"/>
      <c r="G31" s="409">
        <v>200000</v>
      </c>
      <c r="H31" s="6">
        <v>399872.5</v>
      </c>
      <c r="I31" s="1" t="s">
        <v>411</v>
      </c>
      <c r="J31" s="1" t="s">
        <v>367</v>
      </c>
      <c r="K31" s="1"/>
      <c r="L31" s="191"/>
      <c r="M31" s="1"/>
      <c r="N31" s="191" t="s">
        <v>794</v>
      </c>
      <c r="P31" s="1" t="s">
        <v>794</v>
      </c>
      <c r="Q31" t="s">
        <v>4270</v>
      </c>
    </row>
    <row r="32" spans="1:17" s="2" customFormat="1" ht="27.75" customHeight="1">
      <c r="A32" s="4">
        <v>29</v>
      </c>
      <c r="B32" s="5" t="s">
        <v>1410</v>
      </c>
      <c r="C32" s="5" t="s">
        <v>1410</v>
      </c>
      <c r="D32" s="5"/>
      <c r="E32" s="5" t="s">
        <v>1411</v>
      </c>
      <c r="F32" s="408"/>
      <c r="G32" s="409">
        <v>500000</v>
      </c>
      <c r="H32" s="6">
        <v>899872.5</v>
      </c>
      <c r="I32" s="1" t="s">
        <v>21</v>
      </c>
      <c r="J32" s="1" t="s">
        <v>22</v>
      </c>
      <c r="K32" s="1"/>
      <c r="L32" s="191"/>
      <c r="M32" s="1"/>
      <c r="N32" s="191" t="s">
        <v>3482</v>
      </c>
      <c r="P32" s="1"/>
      <c r="Q32" t="s">
        <v>4266</v>
      </c>
    </row>
    <row r="33" spans="1:17" s="2" customFormat="1" ht="27.75" customHeight="1">
      <c r="A33" s="4">
        <v>30</v>
      </c>
      <c r="B33" s="5" t="s">
        <v>1410</v>
      </c>
      <c r="C33" s="386" t="s">
        <v>4215</v>
      </c>
      <c r="D33" s="387">
        <v>896</v>
      </c>
      <c r="E33" s="385" t="s">
        <v>293</v>
      </c>
      <c r="F33" s="413">
        <v>500000</v>
      </c>
      <c r="G33" s="414"/>
      <c r="H33" s="6">
        <v>399872.5</v>
      </c>
      <c r="I33" s="1" t="s">
        <v>353</v>
      </c>
      <c r="J33" s="1" t="s">
        <v>354</v>
      </c>
      <c r="K33" s="1"/>
      <c r="L33" s="191"/>
      <c r="M33" s="1"/>
      <c r="N33" s="191"/>
      <c r="P33" s="1"/>
      <c r="Q33" t="s">
        <v>1345</v>
      </c>
    </row>
    <row r="34" spans="1:17" s="17" customFormat="1" ht="27.75" customHeight="1">
      <c r="A34" s="4">
        <v>31</v>
      </c>
      <c r="B34" s="13" t="s">
        <v>1410</v>
      </c>
      <c r="C34" s="13" t="s">
        <v>1410</v>
      </c>
      <c r="D34" s="13"/>
      <c r="E34" s="13" t="s">
        <v>1412</v>
      </c>
      <c r="F34" s="411"/>
      <c r="G34" s="412">
        <v>25000</v>
      </c>
      <c r="H34" s="14">
        <v>424872.5</v>
      </c>
      <c r="I34" s="16" t="s">
        <v>23</v>
      </c>
      <c r="J34" s="16" t="s">
        <v>24</v>
      </c>
      <c r="K34" s="16"/>
      <c r="L34" s="193"/>
      <c r="M34" s="1"/>
      <c r="N34" s="191" t="s">
        <v>794</v>
      </c>
      <c r="P34" s="16"/>
      <c r="Q34" t="s">
        <v>4266</v>
      </c>
    </row>
    <row r="35" spans="1:17" s="17" customFormat="1" ht="27.75" customHeight="1">
      <c r="A35" s="4">
        <v>32</v>
      </c>
      <c r="B35" s="13" t="s">
        <v>1410</v>
      </c>
      <c r="C35" s="13" t="s">
        <v>1410</v>
      </c>
      <c r="D35" s="13"/>
      <c r="E35" s="13" t="s">
        <v>1413</v>
      </c>
      <c r="F35" s="411"/>
      <c r="G35" s="412">
        <v>25000</v>
      </c>
      <c r="H35" s="14">
        <v>449872.5</v>
      </c>
      <c r="I35" s="16" t="s">
        <v>25</v>
      </c>
      <c r="J35" s="16" t="s">
        <v>24</v>
      </c>
      <c r="K35" s="16" t="s">
        <v>823</v>
      </c>
      <c r="L35" s="193"/>
      <c r="M35" s="1" t="s">
        <v>823</v>
      </c>
      <c r="N35" s="191" t="s">
        <v>794</v>
      </c>
      <c r="P35" s="16"/>
      <c r="Q35" t="s">
        <v>4266</v>
      </c>
    </row>
    <row r="36" spans="1:17" s="17" customFormat="1" ht="27.75" customHeight="1">
      <c r="A36" s="4">
        <v>33</v>
      </c>
      <c r="B36" s="13" t="s">
        <v>1410</v>
      </c>
      <c r="C36" s="13" t="s">
        <v>1410</v>
      </c>
      <c r="D36" s="13"/>
      <c r="E36" s="13" t="s">
        <v>1414</v>
      </c>
      <c r="F36" s="411"/>
      <c r="G36" s="412">
        <v>50000</v>
      </c>
      <c r="H36" s="14">
        <v>499872.5</v>
      </c>
      <c r="I36" s="16" t="s">
        <v>6</v>
      </c>
      <c r="J36" s="16" t="s">
        <v>24</v>
      </c>
      <c r="K36" s="16" t="s">
        <v>823</v>
      </c>
      <c r="L36" s="193"/>
      <c r="M36" s="1" t="s">
        <v>823</v>
      </c>
      <c r="N36" s="191" t="s">
        <v>794</v>
      </c>
      <c r="P36" s="16"/>
      <c r="Q36" t="s">
        <v>4266</v>
      </c>
    </row>
    <row r="37" spans="1:17" s="2" customFormat="1" ht="27.75" customHeight="1">
      <c r="A37" s="4">
        <v>34</v>
      </c>
      <c r="B37" s="5" t="s">
        <v>1410</v>
      </c>
      <c r="C37" s="5" t="s">
        <v>1410</v>
      </c>
      <c r="D37" s="5"/>
      <c r="E37" s="3" t="s">
        <v>294</v>
      </c>
      <c r="F37" s="408"/>
      <c r="G37" s="409">
        <v>200000</v>
      </c>
      <c r="H37" s="6">
        <v>699872.5</v>
      </c>
      <c r="I37" s="1" t="s">
        <v>26</v>
      </c>
      <c r="J37" s="1" t="s">
        <v>367</v>
      </c>
      <c r="K37" s="1"/>
      <c r="L37" s="191"/>
      <c r="M37" s="1"/>
      <c r="N37" s="191" t="s">
        <v>822</v>
      </c>
      <c r="P37" s="1"/>
      <c r="Q37" s="2" t="s">
        <v>86</v>
      </c>
    </row>
    <row r="38" spans="1:17" s="17" customFormat="1" ht="27.75" customHeight="1">
      <c r="A38" s="4">
        <v>35</v>
      </c>
      <c r="B38" s="13" t="s">
        <v>1415</v>
      </c>
      <c r="C38" s="13" t="s">
        <v>1415</v>
      </c>
      <c r="D38" s="13"/>
      <c r="E38" s="13" t="s">
        <v>1416</v>
      </c>
      <c r="F38" s="411"/>
      <c r="G38" s="412">
        <v>1</v>
      </c>
      <c r="H38" s="14">
        <v>699873.5</v>
      </c>
      <c r="I38" s="16" t="s">
        <v>27</v>
      </c>
      <c r="J38" s="16" t="s">
        <v>28</v>
      </c>
      <c r="K38" s="16" t="s">
        <v>823</v>
      </c>
      <c r="L38" s="193"/>
      <c r="M38" s="1"/>
      <c r="N38" s="191" t="s">
        <v>3484</v>
      </c>
      <c r="P38" s="16"/>
      <c r="Q38" t="s">
        <v>4266</v>
      </c>
    </row>
    <row r="39" spans="1:17" s="17" customFormat="1" ht="27.75" customHeight="1">
      <c r="A39" s="4">
        <v>36</v>
      </c>
      <c r="B39" s="13" t="s">
        <v>1415</v>
      </c>
      <c r="C39" s="13" t="s">
        <v>1415</v>
      </c>
      <c r="D39" s="13"/>
      <c r="E39" s="13" t="s">
        <v>1417</v>
      </c>
      <c r="F39" s="411"/>
      <c r="G39" s="412">
        <v>400000</v>
      </c>
      <c r="H39" s="15" t="s">
        <v>1418</v>
      </c>
      <c r="I39" s="16" t="s">
        <v>27</v>
      </c>
      <c r="J39" s="16" t="s">
        <v>28</v>
      </c>
      <c r="K39" s="16" t="s">
        <v>823</v>
      </c>
      <c r="L39" s="193"/>
      <c r="M39" s="1"/>
      <c r="N39" s="191" t="s">
        <v>3484</v>
      </c>
      <c r="P39" s="16"/>
      <c r="Q39" t="s">
        <v>4266</v>
      </c>
    </row>
    <row r="40" spans="1:17" s="17" customFormat="1" ht="27.75" customHeight="1">
      <c r="A40" s="4">
        <v>37</v>
      </c>
      <c r="B40" s="13" t="s">
        <v>1415</v>
      </c>
      <c r="C40" s="13" t="s">
        <v>1415</v>
      </c>
      <c r="D40" s="13"/>
      <c r="E40" s="13" t="s">
        <v>1419</v>
      </c>
      <c r="F40" s="411"/>
      <c r="G40" s="412">
        <v>25000</v>
      </c>
      <c r="H40" s="15" t="s">
        <v>1420</v>
      </c>
      <c r="I40" s="16" t="s">
        <v>23</v>
      </c>
      <c r="J40" s="16" t="s">
        <v>29</v>
      </c>
      <c r="K40" s="16"/>
      <c r="L40" s="193"/>
      <c r="M40" s="1"/>
      <c r="N40" s="191" t="s">
        <v>794</v>
      </c>
      <c r="P40" s="16"/>
      <c r="Q40" t="s">
        <v>4266</v>
      </c>
    </row>
    <row r="41" spans="1:17" s="17" customFormat="1" ht="27.75" customHeight="1">
      <c r="A41" s="4">
        <v>38</v>
      </c>
      <c r="B41" s="13" t="s">
        <v>1415</v>
      </c>
      <c r="C41" s="13" t="s">
        <v>1415</v>
      </c>
      <c r="D41" s="13"/>
      <c r="E41" s="13" t="s">
        <v>1421</v>
      </c>
      <c r="F41" s="411"/>
      <c r="G41" s="412">
        <v>25000</v>
      </c>
      <c r="H41" s="15" t="s">
        <v>1422</v>
      </c>
      <c r="I41" s="16" t="s">
        <v>25</v>
      </c>
      <c r="J41" s="16" t="s">
        <v>29</v>
      </c>
      <c r="K41" s="16" t="s">
        <v>823</v>
      </c>
      <c r="L41" s="193"/>
      <c r="M41" s="1" t="s">
        <v>823</v>
      </c>
      <c r="N41" s="191" t="s">
        <v>794</v>
      </c>
      <c r="P41" s="16"/>
      <c r="Q41" t="s">
        <v>4266</v>
      </c>
    </row>
    <row r="42" spans="1:17" s="2" customFormat="1" ht="27.75" customHeight="1">
      <c r="A42" s="4">
        <v>39</v>
      </c>
      <c r="B42" s="5" t="s">
        <v>1423</v>
      </c>
      <c r="C42" s="5" t="s">
        <v>1424</v>
      </c>
      <c r="D42" s="5"/>
      <c r="E42" s="5" t="s">
        <v>1425</v>
      </c>
      <c r="F42" s="409">
        <v>500000</v>
      </c>
      <c r="G42" s="408"/>
      <c r="H42" s="6">
        <v>649873.5</v>
      </c>
      <c r="I42" s="1" t="s">
        <v>355</v>
      </c>
      <c r="J42" s="1" t="s">
        <v>350</v>
      </c>
      <c r="K42" s="1" t="s">
        <v>794</v>
      </c>
      <c r="L42" s="191"/>
      <c r="M42" s="1" t="s">
        <v>794</v>
      </c>
      <c r="N42" s="191"/>
      <c r="P42" s="1"/>
      <c r="Q42" t="s">
        <v>1345</v>
      </c>
    </row>
    <row r="43" spans="1:17" s="17" customFormat="1" ht="27.75" customHeight="1">
      <c r="A43" s="4">
        <v>40</v>
      </c>
      <c r="B43" s="13" t="s">
        <v>1423</v>
      </c>
      <c r="C43" s="13" t="s">
        <v>1424</v>
      </c>
      <c r="D43" s="13"/>
      <c r="E43" s="13" t="s">
        <v>1426</v>
      </c>
      <c r="F43" s="411"/>
      <c r="G43" s="412">
        <v>350000</v>
      </c>
      <c r="H43" s="14">
        <v>999873.5</v>
      </c>
      <c r="I43" s="16" t="s">
        <v>776</v>
      </c>
      <c r="J43" s="16" t="s">
        <v>28</v>
      </c>
      <c r="K43" s="16"/>
      <c r="L43" s="193"/>
      <c r="M43" s="1"/>
      <c r="N43" s="191" t="s">
        <v>3484</v>
      </c>
      <c r="P43" s="16"/>
      <c r="Q43" t="s">
        <v>4266</v>
      </c>
    </row>
    <row r="44" spans="1:17" s="2" customFormat="1" ht="27.75" customHeight="1">
      <c r="A44" s="4">
        <v>41</v>
      </c>
      <c r="B44" s="5" t="s">
        <v>1423</v>
      </c>
      <c r="C44" s="5" t="s">
        <v>1424</v>
      </c>
      <c r="D44" s="5"/>
      <c r="E44" s="5" t="s">
        <v>1427</v>
      </c>
      <c r="F44" s="408"/>
      <c r="G44" s="409">
        <v>50000</v>
      </c>
      <c r="H44" s="8" t="s">
        <v>1428</v>
      </c>
      <c r="I44" s="1" t="s">
        <v>42</v>
      </c>
      <c r="J44" s="1" t="s">
        <v>3376</v>
      </c>
      <c r="K44" s="1" t="s">
        <v>794</v>
      </c>
      <c r="L44" s="191"/>
      <c r="M44" s="1" t="s">
        <v>794</v>
      </c>
      <c r="N44" s="191" t="s">
        <v>3482</v>
      </c>
      <c r="P44" s="1" t="s">
        <v>3887</v>
      </c>
      <c r="Q44" t="s">
        <v>4266</v>
      </c>
    </row>
    <row r="45" spans="1:17" s="2" customFormat="1" ht="27.75" customHeight="1">
      <c r="A45" s="4">
        <v>42</v>
      </c>
      <c r="B45" s="5" t="s">
        <v>1429</v>
      </c>
      <c r="C45" s="5" t="s">
        <v>1424</v>
      </c>
      <c r="D45" s="5"/>
      <c r="E45" s="3" t="s">
        <v>295</v>
      </c>
      <c r="F45" s="408"/>
      <c r="G45" s="409">
        <v>50000</v>
      </c>
      <c r="H45" s="8" t="s">
        <v>1418</v>
      </c>
      <c r="I45" s="1" t="s">
        <v>364</v>
      </c>
      <c r="J45" s="1" t="s">
        <v>31</v>
      </c>
      <c r="K45" s="1" t="s">
        <v>794</v>
      </c>
      <c r="L45" s="191"/>
      <c r="M45" s="1"/>
      <c r="N45" s="191" t="s">
        <v>3485</v>
      </c>
      <c r="P45" s="1"/>
      <c r="Q45" t="s">
        <v>4266</v>
      </c>
    </row>
    <row r="46" spans="1:17" s="17" customFormat="1" ht="27.75" customHeight="1">
      <c r="A46" s="4">
        <v>43</v>
      </c>
      <c r="B46" s="13" t="s">
        <v>1424</v>
      </c>
      <c r="C46" s="13" t="s">
        <v>1424</v>
      </c>
      <c r="D46" s="13"/>
      <c r="E46" s="13" t="s">
        <v>1430</v>
      </c>
      <c r="F46" s="411"/>
      <c r="G46" s="412">
        <v>100000</v>
      </c>
      <c r="H46" s="15" t="s">
        <v>1431</v>
      </c>
      <c r="I46" s="16" t="s">
        <v>33</v>
      </c>
      <c r="J46" s="16" t="s">
        <v>32</v>
      </c>
      <c r="K46" s="16"/>
      <c r="L46" s="193"/>
      <c r="M46" s="1"/>
      <c r="N46" s="191" t="s">
        <v>830</v>
      </c>
      <c r="P46" s="16" t="s">
        <v>3252</v>
      </c>
      <c r="Q46" t="s">
        <v>4266</v>
      </c>
    </row>
    <row r="47" spans="1:17" s="17" customFormat="1" ht="27.75" customHeight="1">
      <c r="A47" s="4">
        <v>44</v>
      </c>
      <c r="B47" s="13" t="s">
        <v>1424</v>
      </c>
      <c r="C47" s="13" t="s">
        <v>1424</v>
      </c>
      <c r="D47" s="13"/>
      <c r="E47" s="13" t="s">
        <v>1432</v>
      </c>
      <c r="F47" s="411"/>
      <c r="G47" s="412">
        <v>25000</v>
      </c>
      <c r="H47" s="15" t="s">
        <v>1433</v>
      </c>
      <c r="I47" s="16" t="s">
        <v>23</v>
      </c>
      <c r="J47" s="16" t="s">
        <v>29</v>
      </c>
      <c r="K47" s="16" t="s">
        <v>823</v>
      </c>
      <c r="L47" s="193"/>
      <c r="M47" s="1" t="s">
        <v>823</v>
      </c>
      <c r="N47" s="191" t="s">
        <v>794</v>
      </c>
      <c r="P47" s="16"/>
      <c r="Q47" t="s">
        <v>4266</v>
      </c>
    </row>
    <row r="48" spans="1:17" s="17" customFormat="1" ht="27.75" customHeight="1">
      <c r="A48" s="4">
        <v>45</v>
      </c>
      <c r="B48" s="13" t="s">
        <v>1424</v>
      </c>
      <c r="C48" s="13" t="s">
        <v>1424</v>
      </c>
      <c r="D48" s="13"/>
      <c r="E48" s="13" t="s">
        <v>1434</v>
      </c>
      <c r="F48" s="411"/>
      <c r="G48" s="412">
        <v>25000</v>
      </c>
      <c r="H48" s="15" t="s">
        <v>1435</v>
      </c>
      <c r="I48" s="16" t="s">
        <v>6</v>
      </c>
      <c r="J48" s="16" t="s">
        <v>29</v>
      </c>
      <c r="K48" s="16"/>
      <c r="L48" s="193"/>
      <c r="M48" s="1"/>
      <c r="N48" s="191" t="s">
        <v>794</v>
      </c>
      <c r="P48" s="16"/>
      <c r="Q48" t="s">
        <v>4266</v>
      </c>
    </row>
    <row r="49" spans="1:17" s="17" customFormat="1" ht="27.75" customHeight="1">
      <c r="A49" s="4">
        <v>46</v>
      </c>
      <c r="B49" s="13" t="s">
        <v>1424</v>
      </c>
      <c r="C49" s="13" t="s">
        <v>1424</v>
      </c>
      <c r="D49" s="13"/>
      <c r="E49" s="13" t="s">
        <v>1436</v>
      </c>
      <c r="F49" s="411"/>
      <c r="G49" s="412">
        <v>25000</v>
      </c>
      <c r="H49" s="15" t="s">
        <v>1437</v>
      </c>
      <c r="I49" s="16" t="s">
        <v>6</v>
      </c>
      <c r="J49" s="16" t="s">
        <v>29</v>
      </c>
      <c r="K49" s="16" t="s">
        <v>823</v>
      </c>
      <c r="L49" s="193"/>
      <c r="M49" s="1" t="s">
        <v>823</v>
      </c>
      <c r="N49" s="191" t="s">
        <v>794</v>
      </c>
      <c r="P49" s="16"/>
      <c r="Q49" t="s">
        <v>4266</v>
      </c>
    </row>
    <row r="50" spans="1:17" s="17" customFormat="1" ht="27.75" customHeight="1">
      <c r="A50" s="4">
        <v>47</v>
      </c>
      <c r="B50" s="13" t="s">
        <v>1424</v>
      </c>
      <c r="C50" s="13" t="s">
        <v>1424</v>
      </c>
      <c r="D50" s="13"/>
      <c r="E50" s="13" t="s">
        <v>1438</v>
      </c>
      <c r="F50" s="411"/>
      <c r="G50" s="412">
        <v>25000</v>
      </c>
      <c r="H50" s="15" t="s">
        <v>1439</v>
      </c>
      <c r="I50" s="16" t="s">
        <v>25</v>
      </c>
      <c r="J50" s="16" t="s">
        <v>29</v>
      </c>
      <c r="K50" s="16" t="s">
        <v>823</v>
      </c>
      <c r="L50" s="193"/>
      <c r="M50" s="1" t="s">
        <v>823</v>
      </c>
      <c r="N50" s="191" t="s">
        <v>794</v>
      </c>
      <c r="P50" s="16"/>
      <c r="Q50" t="s">
        <v>4266</v>
      </c>
    </row>
    <row r="51" spans="1:17" s="17" customFormat="1" ht="27.75" customHeight="1">
      <c r="A51" s="4">
        <v>48</v>
      </c>
      <c r="B51" s="13" t="s">
        <v>1424</v>
      </c>
      <c r="C51" s="13" t="s">
        <v>1424</v>
      </c>
      <c r="D51" s="13"/>
      <c r="E51" s="13" t="s">
        <v>1440</v>
      </c>
      <c r="F51" s="411"/>
      <c r="G51" s="412">
        <v>400000</v>
      </c>
      <c r="H51" s="15" t="s">
        <v>1441</v>
      </c>
      <c r="I51" s="16" t="s">
        <v>34</v>
      </c>
      <c r="J51" s="16" t="s">
        <v>35</v>
      </c>
      <c r="K51" s="16" t="s">
        <v>823</v>
      </c>
      <c r="L51" s="193"/>
      <c r="M51" s="1" t="s">
        <v>823</v>
      </c>
      <c r="N51" s="191" t="s">
        <v>794</v>
      </c>
      <c r="P51" s="16"/>
      <c r="Q51" t="s">
        <v>4266</v>
      </c>
    </row>
    <row r="52" spans="1:17" s="17" customFormat="1" ht="27.75" customHeight="1">
      <c r="A52" s="4">
        <v>49</v>
      </c>
      <c r="B52" s="13" t="s">
        <v>1424</v>
      </c>
      <c r="C52" s="13" t="s">
        <v>1424</v>
      </c>
      <c r="D52" s="13"/>
      <c r="E52" s="18" t="s">
        <v>296</v>
      </c>
      <c r="F52" s="412">
        <v>100000</v>
      </c>
      <c r="G52" s="411"/>
      <c r="H52" s="15" t="s">
        <v>1442</v>
      </c>
      <c r="I52" s="16" t="s">
        <v>33</v>
      </c>
      <c r="J52" s="16" t="s">
        <v>36</v>
      </c>
      <c r="K52" s="16"/>
      <c r="L52" s="193"/>
      <c r="M52" s="1"/>
      <c r="N52" s="191" t="s">
        <v>830</v>
      </c>
      <c r="P52" s="16" t="s">
        <v>3252</v>
      </c>
      <c r="Q52" t="s">
        <v>4266</v>
      </c>
    </row>
    <row r="53" spans="1:17" s="2" customFormat="1" ht="27.75" customHeight="1">
      <c r="A53" s="4">
        <v>50</v>
      </c>
      <c r="B53" s="5" t="s">
        <v>1443</v>
      </c>
      <c r="C53" s="5" t="s">
        <v>1443</v>
      </c>
      <c r="D53" s="5"/>
      <c r="E53" s="3" t="s">
        <v>297</v>
      </c>
      <c r="F53" s="408"/>
      <c r="G53" s="409">
        <v>50000</v>
      </c>
      <c r="H53" s="8" t="s">
        <v>1444</v>
      </c>
      <c r="I53" s="1" t="s">
        <v>364</v>
      </c>
      <c r="J53" s="1" t="s">
        <v>31</v>
      </c>
      <c r="K53" s="1"/>
      <c r="L53" s="191"/>
      <c r="M53" s="1"/>
      <c r="N53" s="191" t="s">
        <v>3485</v>
      </c>
      <c r="P53" s="1"/>
      <c r="Q53" t="s">
        <v>4266</v>
      </c>
    </row>
    <row r="54" spans="1:17" s="2" customFormat="1" ht="27.75" customHeight="1">
      <c r="A54" s="4">
        <v>51</v>
      </c>
      <c r="B54" s="5" t="s">
        <v>1443</v>
      </c>
      <c r="C54" s="386" t="s">
        <v>4216</v>
      </c>
      <c r="D54" s="388" t="s">
        <v>4214</v>
      </c>
      <c r="E54" s="385" t="s">
        <v>4213</v>
      </c>
      <c r="F54" s="413">
        <v>500000</v>
      </c>
      <c r="G54" s="414"/>
      <c r="H54" s="8" t="s">
        <v>1422</v>
      </c>
      <c r="I54" s="1" t="s">
        <v>356</v>
      </c>
      <c r="J54" s="1" t="s">
        <v>354</v>
      </c>
      <c r="K54" s="1"/>
      <c r="L54" s="191"/>
      <c r="M54" s="1"/>
      <c r="N54" s="191"/>
      <c r="P54" s="1"/>
      <c r="Q54" t="s">
        <v>1345</v>
      </c>
    </row>
    <row r="55" spans="1:17" s="2" customFormat="1" ht="27.75" customHeight="1">
      <c r="A55" s="4">
        <v>52</v>
      </c>
      <c r="B55" s="5" t="s">
        <v>1443</v>
      </c>
      <c r="C55" s="5" t="s">
        <v>1443</v>
      </c>
      <c r="D55" s="5"/>
      <c r="E55" s="5" t="s">
        <v>1445</v>
      </c>
      <c r="F55" s="408"/>
      <c r="G55" s="409">
        <v>269000</v>
      </c>
      <c r="H55" s="8" t="s">
        <v>1446</v>
      </c>
      <c r="I55" s="1" t="s">
        <v>37</v>
      </c>
      <c r="J55" s="1" t="s">
        <v>5</v>
      </c>
      <c r="K55" s="1"/>
      <c r="L55" s="191"/>
      <c r="M55" s="1"/>
      <c r="N55" s="191" t="s">
        <v>794</v>
      </c>
      <c r="P55" s="1" t="s">
        <v>794</v>
      </c>
      <c r="Q55" t="s">
        <v>4272</v>
      </c>
    </row>
    <row r="56" spans="1:17" ht="27.75" customHeight="1">
      <c r="A56" s="622">
        <v>53</v>
      </c>
      <c r="B56" s="614" t="s">
        <v>4447</v>
      </c>
      <c r="C56" s="614" t="s">
        <v>4447</v>
      </c>
      <c r="D56" s="657"/>
      <c r="E56" s="614" t="s">
        <v>4448</v>
      </c>
      <c r="F56" s="626">
        <v>7080</v>
      </c>
      <c r="G56" s="627"/>
      <c r="H56" s="625" t="s">
        <v>4449</v>
      </c>
      <c r="I56" s="615" t="s">
        <v>38</v>
      </c>
      <c r="J56" s="615" t="s">
        <v>39</v>
      </c>
      <c r="K56" s="615"/>
      <c r="L56" s="621"/>
      <c r="M56" s="615"/>
      <c r="N56" s="621"/>
      <c r="P56" s="615"/>
      <c r="Q56" s="612" t="s">
        <v>788</v>
      </c>
    </row>
    <row r="57" spans="1:17" s="17" customFormat="1" ht="27.75" customHeight="1">
      <c r="A57" s="4">
        <v>54</v>
      </c>
      <c r="B57" s="13" t="s">
        <v>1443</v>
      </c>
      <c r="C57" s="13" t="s">
        <v>1443</v>
      </c>
      <c r="D57" s="13"/>
      <c r="E57" s="13" t="s">
        <v>1447</v>
      </c>
      <c r="F57" s="411"/>
      <c r="G57" s="412">
        <v>660000</v>
      </c>
      <c r="H57" s="15" t="s">
        <v>1448</v>
      </c>
      <c r="I57" s="16" t="s">
        <v>375</v>
      </c>
      <c r="J57" s="16" t="s">
        <v>40</v>
      </c>
      <c r="K57" s="16" t="s">
        <v>794</v>
      </c>
      <c r="L57" s="193"/>
      <c r="M57" s="1" t="s">
        <v>794</v>
      </c>
      <c r="N57" s="191" t="s">
        <v>794</v>
      </c>
      <c r="P57" s="16"/>
      <c r="Q57" t="s">
        <v>4266</v>
      </c>
    </row>
    <row r="58" spans="1:17" s="2" customFormat="1" ht="27.75" customHeight="1">
      <c r="A58" s="4">
        <v>55</v>
      </c>
      <c r="B58" s="5" t="s">
        <v>1443</v>
      </c>
      <c r="C58" s="5" t="s">
        <v>1443</v>
      </c>
      <c r="D58" s="5"/>
      <c r="E58" s="5" t="s">
        <v>1449</v>
      </c>
      <c r="F58" s="408"/>
      <c r="G58" s="409">
        <v>1</v>
      </c>
      <c r="H58" s="8" t="s">
        <v>1450</v>
      </c>
      <c r="I58" s="1" t="s">
        <v>33</v>
      </c>
      <c r="J58" s="1" t="s">
        <v>719</v>
      </c>
      <c r="K58" s="1"/>
      <c r="L58" s="191"/>
      <c r="M58" s="1"/>
      <c r="N58" s="191" t="s">
        <v>794</v>
      </c>
      <c r="P58" s="1"/>
      <c r="Q58" t="s">
        <v>4266</v>
      </c>
    </row>
    <row r="59" spans="1:17" s="2" customFormat="1" ht="27.75" customHeight="1">
      <c r="A59" s="4">
        <v>56</v>
      </c>
      <c r="B59" s="5" t="s">
        <v>1451</v>
      </c>
      <c r="C59" s="5" t="s">
        <v>1451</v>
      </c>
      <c r="D59" s="5"/>
      <c r="E59" s="5" t="s">
        <v>1452</v>
      </c>
      <c r="F59" s="408"/>
      <c r="G59" s="409">
        <v>50000</v>
      </c>
      <c r="H59" s="8" t="s">
        <v>1453</v>
      </c>
      <c r="I59" s="1" t="s">
        <v>42</v>
      </c>
      <c r="J59" s="1" t="s">
        <v>41</v>
      </c>
      <c r="K59" s="1" t="s">
        <v>794</v>
      </c>
      <c r="L59" s="191"/>
      <c r="M59" s="1" t="s">
        <v>794</v>
      </c>
      <c r="N59" s="191" t="s">
        <v>794</v>
      </c>
      <c r="P59" s="1" t="s">
        <v>3482</v>
      </c>
      <c r="Q59" t="s">
        <v>4266</v>
      </c>
    </row>
    <row r="60" spans="1:17" s="17" customFormat="1" ht="27.75" customHeight="1">
      <c r="A60" s="4">
        <v>57</v>
      </c>
      <c r="B60" s="13" t="s">
        <v>1451</v>
      </c>
      <c r="C60" s="13" t="s">
        <v>1451</v>
      </c>
      <c r="D60" s="13"/>
      <c r="E60" s="13" t="s">
        <v>1454</v>
      </c>
      <c r="F60" s="411"/>
      <c r="G60" s="412">
        <v>10000</v>
      </c>
      <c r="H60" s="15" t="s">
        <v>1455</v>
      </c>
      <c r="I60" s="16" t="s">
        <v>52</v>
      </c>
      <c r="J60" s="16" t="s">
        <v>43</v>
      </c>
      <c r="K60" s="16"/>
      <c r="L60" s="193"/>
      <c r="M60" s="1"/>
      <c r="N60" s="191" t="s">
        <v>3486</v>
      </c>
      <c r="P60" s="16"/>
      <c r="Q60" t="s">
        <v>4266</v>
      </c>
    </row>
    <row r="61" spans="1:17" s="2" customFormat="1" ht="27.75" customHeight="1">
      <c r="A61" s="4">
        <v>58</v>
      </c>
      <c r="B61" s="5" t="s">
        <v>1451</v>
      </c>
      <c r="C61" s="5" t="s">
        <v>1451</v>
      </c>
      <c r="D61" s="5"/>
      <c r="E61" s="5" t="s">
        <v>1456</v>
      </c>
      <c r="F61" s="408"/>
      <c r="G61" s="409">
        <v>650000</v>
      </c>
      <c r="H61" s="8" t="s">
        <v>1457</v>
      </c>
      <c r="I61" s="1" t="s">
        <v>741</v>
      </c>
      <c r="J61" s="1" t="s">
        <v>41</v>
      </c>
      <c r="K61" s="1"/>
      <c r="L61" s="191"/>
      <c r="M61" s="1"/>
      <c r="N61" s="191" t="s">
        <v>3482</v>
      </c>
      <c r="P61" s="1"/>
      <c r="Q61" t="s">
        <v>4266</v>
      </c>
    </row>
    <row r="62" spans="1:17" s="17" customFormat="1" ht="27.75" customHeight="1">
      <c r="A62" s="4">
        <v>59</v>
      </c>
      <c r="B62" s="13" t="s">
        <v>1458</v>
      </c>
      <c r="C62" s="13" t="s">
        <v>1458</v>
      </c>
      <c r="D62" s="13"/>
      <c r="E62" s="13" t="s">
        <v>1459</v>
      </c>
      <c r="F62" s="411"/>
      <c r="G62" s="412">
        <v>50000</v>
      </c>
      <c r="H62" s="15" t="s">
        <v>1460</v>
      </c>
      <c r="I62" s="16" t="s">
        <v>365</v>
      </c>
      <c r="J62" s="16" t="s">
        <v>44</v>
      </c>
      <c r="K62" s="16"/>
      <c r="L62" s="193"/>
      <c r="M62" s="1"/>
      <c r="N62" s="191" t="s">
        <v>794</v>
      </c>
      <c r="P62" s="16" t="s">
        <v>794</v>
      </c>
      <c r="Q62" t="s">
        <v>4266</v>
      </c>
    </row>
    <row r="63" spans="1:17" s="17" customFormat="1" ht="27.75" customHeight="1">
      <c r="A63" s="4">
        <v>60</v>
      </c>
      <c r="B63" s="13" t="s">
        <v>1461</v>
      </c>
      <c r="C63" s="13" t="s">
        <v>1461</v>
      </c>
      <c r="D63" s="13"/>
      <c r="E63" s="13" t="s">
        <v>1462</v>
      </c>
      <c r="F63" s="411"/>
      <c r="G63" s="412">
        <v>200000</v>
      </c>
      <c r="H63" s="15" t="s">
        <v>1463</v>
      </c>
      <c r="I63" s="16" t="s">
        <v>45</v>
      </c>
      <c r="J63" s="16" t="s">
        <v>46</v>
      </c>
      <c r="K63" s="16"/>
      <c r="L63" s="193"/>
      <c r="M63" s="1"/>
      <c r="N63" s="191" t="s">
        <v>831</v>
      </c>
      <c r="P63" s="16"/>
      <c r="Q63" t="s">
        <v>4266</v>
      </c>
    </row>
    <row r="64" spans="1:17" s="17" customFormat="1" ht="27.75" customHeight="1">
      <c r="A64" s="4">
        <v>61</v>
      </c>
      <c r="B64" s="13" t="s">
        <v>1461</v>
      </c>
      <c r="C64" s="13" t="s">
        <v>1461</v>
      </c>
      <c r="D64" s="13"/>
      <c r="E64" s="13" t="s">
        <v>1464</v>
      </c>
      <c r="F64" s="411"/>
      <c r="G64" s="412">
        <v>200000</v>
      </c>
      <c r="H64" s="15" t="s">
        <v>1465</v>
      </c>
      <c r="I64" s="16" t="s">
        <v>16</v>
      </c>
      <c r="J64" s="16" t="s">
        <v>43</v>
      </c>
      <c r="K64" s="16"/>
      <c r="L64" s="193"/>
      <c r="M64" s="1"/>
      <c r="N64" s="191" t="s">
        <v>794</v>
      </c>
      <c r="P64" s="16"/>
      <c r="Q64" t="s">
        <v>4266</v>
      </c>
    </row>
    <row r="65" spans="1:17" s="2" customFormat="1" ht="27.75" customHeight="1">
      <c r="A65" s="4">
        <v>62</v>
      </c>
      <c r="B65" s="5" t="s">
        <v>1461</v>
      </c>
      <c r="C65" s="5" t="s">
        <v>1461</v>
      </c>
      <c r="D65" s="5"/>
      <c r="E65" s="5" t="s">
        <v>1466</v>
      </c>
      <c r="F65" s="408">
        <v>1000000</v>
      </c>
      <c r="G65" s="408"/>
      <c r="H65" s="8" t="s">
        <v>1467</v>
      </c>
      <c r="I65" s="1" t="s">
        <v>351</v>
      </c>
      <c r="J65" s="1" t="s">
        <v>350</v>
      </c>
      <c r="K65" s="1" t="s">
        <v>794</v>
      </c>
      <c r="L65" s="191"/>
      <c r="M65" s="1" t="s">
        <v>794</v>
      </c>
      <c r="N65" s="191"/>
      <c r="P65" s="1"/>
      <c r="Q65" t="s">
        <v>1345</v>
      </c>
    </row>
    <row r="66" spans="1:17" s="2" customFormat="1" ht="27.75" customHeight="1">
      <c r="A66" s="4">
        <v>63</v>
      </c>
      <c r="B66" s="5" t="s">
        <v>1461</v>
      </c>
      <c r="C66" s="5" t="s">
        <v>1461</v>
      </c>
      <c r="D66" s="5"/>
      <c r="E66" s="5" t="s">
        <v>1468</v>
      </c>
      <c r="F66" s="408">
        <v>1000000</v>
      </c>
      <c r="G66" s="408"/>
      <c r="H66" s="8" t="s">
        <v>1469</v>
      </c>
      <c r="I66" s="1" t="s">
        <v>349</v>
      </c>
      <c r="J66" s="1" t="s">
        <v>350</v>
      </c>
      <c r="K66" s="1" t="s">
        <v>823</v>
      </c>
      <c r="L66" s="191"/>
      <c r="M66" s="1" t="s">
        <v>823</v>
      </c>
      <c r="N66" s="191"/>
      <c r="P66" s="1"/>
      <c r="Q66" t="s">
        <v>1345</v>
      </c>
    </row>
    <row r="67" spans="1:17" s="17" customFormat="1" ht="27.75" customHeight="1">
      <c r="A67" s="4">
        <v>64</v>
      </c>
      <c r="B67" s="13" t="s">
        <v>1461</v>
      </c>
      <c r="C67" s="13" t="s">
        <v>1461</v>
      </c>
      <c r="D67" s="13"/>
      <c r="E67" s="13" t="s">
        <v>1470</v>
      </c>
      <c r="F67" s="411"/>
      <c r="G67" s="412">
        <v>880000</v>
      </c>
      <c r="H67" s="15" t="s">
        <v>1471</v>
      </c>
      <c r="I67" s="16" t="s">
        <v>374</v>
      </c>
      <c r="J67" s="16" t="s">
        <v>47</v>
      </c>
      <c r="K67" s="16" t="s">
        <v>794</v>
      </c>
      <c r="L67" s="193" t="s">
        <v>842</v>
      </c>
      <c r="M67" s="1" t="s">
        <v>794</v>
      </c>
      <c r="N67" s="191" t="s">
        <v>794</v>
      </c>
      <c r="P67" s="16"/>
      <c r="Q67" t="s">
        <v>4266</v>
      </c>
    </row>
    <row r="68" spans="1:17" s="2" customFormat="1" ht="27.75" customHeight="1">
      <c r="A68" s="4">
        <v>65</v>
      </c>
      <c r="B68" s="5" t="s">
        <v>1472</v>
      </c>
      <c r="C68" s="5" t="s">
        <v>1472</v>
      </c>
      <c r="D68" s="5"/>
      <c r="E68" s="5" t="s">
        <v>1473</v>
      </c>
      <c r="F68" s="408"/>
      <c r="G68" s="409">
        <v>10000</v>
      </c>
      <c r="H68" s="8" t="s">
        <v>1453</v>
      </c>
      <c r="I68" s="1" t="s">
        <v>360</v>
      </c>
      <c r="J68" s="1" t="s">
        <v>48</v>
      </c>
      <c r="K68" s="1"/>
      <c r="L68" s="191"/>
      <c r="M68" s="1"/>
      <c r="N68" s="191" t="s">
        <v>794</v>
      </c>
      <c r="P68" s="1"/>
      <c r="Q68" t="s">
        <v>4266</v>
      </c>
    </row>
    <row r="69" spans="1:17" s="17" customFormat="1" ht="27.75" customHeight="1">
      <c r="A69" s="4">
        <v>66</v>
      </c>
      <c r="B69" s="13" t="s">
        <v>1474</v>
      </c>
      <c r="C69" s="13" t="s">
        <v>1475</v>
      </c>
      <c r="D69" s="13"/>
      <c r="E69" s="13" t="s">
        <v>1476</v>
      </c>
      <c r="F69" s="411"/>
      <c r="G69" s="412">
        <v>200000</v>
      </c>
      <c r="H69" s="15" t="s">
        <v>1477</v>
      </c>
      <c r="I69" s="16" t="s">
        <v>49</v>
      </c>
      <c r="J69" s="16" t="s">
        <v>44</v>
      </c>
      <c r="K69" s="16"/>
      <c r="L69" s="193"/>
      <c r="M69" s="1"/>
      <c r="N69" s="191" t="s">
        <v>3487</v>
      </c>
      <c r="P69" s="16"/>
      <c r="Q69" t="s">
        <v>4266</v>
      </c>
    </row>
    <row r="70" spans="1:17" s="17" customFormat="1" ht="27.75" customHeight="1">
      <c r="A70" s="4">
        <v>67</v>
      </c>
      <c r="B70" s="13" t="s">
        <v>1474</v>
      </c>
      <c r="C70" s="13" t="s">
        <v>1475</v>
      </c>
      <c r="D70" s="13"/>
      <c r="E70" s="13" t="s">
        <v>1478</v>
      </c>
      <c r="F70" s="411"/>
      <c r="G70" s="412">
        <v>50000</v>
      </c>
      <c r="H70" s="15" t="s">
        <v>1479</v>
      </c>
      <c r="I70" s="16" t="s">
        <v>49</v>
      </c>
      <c r="J70" s="16" t="s">
        <v>44</v>
      </c>
      <c r="K70" s="16"/>
      <c r="L70" s="193"/>
      <c r="M70" s="1"/>
      <c r="N70" s="191" t="s">
        <v>3487</v>
      </c>
      <c r="P70" s="16"/>
      <c r="Q70" t="s">
        <v>4266</v>
      </c>
    </row>
    <row r="71" spans="1:17" s="2" customFormat="1" ht="27.75" customHeight="1">
      <c r="A71" s="4">
        <v>68</v>
      </c>
      <c r="B71" s="5" t="s">
        <v>1474</v>
      </c>
      <c r="C71" s="5" t="s">
        <v>1475</v>
      </c>
      <c r="D71" s="5"/>
      <c r="E71" s="5" t="s">
        <v>1480</v>
      </c>
      <c r="F71" s="408">
        <v>1000000</v>
      </c>
      <c r="G71" s="408"/>
      <c r="H71" s="8" t="s">
        <v>1481</v>
      </c>
      <c r="I71" s="1" t="s">
        <v>352</v>
      </c>
      <c r="J71" s="1" t="s">
        <v>350</v>
      </c>
      <c r="K71" s="1" t="s">
        <v>823</v>
      </c>
      <c r="L71" s="191"/>
      <c r="M71" s="1" t="s">
        <v>823</v>
      </c>
      <c r="N71" s="191"/>
      <c r="P71" s="1"/>
      <c r="Q71" t="s">
        <v>1345</v>
      </c>
    </row>
    <row r="72" spans="1:17" s="2" customFormat="1" ht="27.75" customHeight="1">
      <c r="A72" s="4">
        <v>69</v>
      </c>
      <c r="B72" s="5" t="s">
        <v>1475</v>
      </c>
      <c r="C72" s="5" t="s">
        <v>1475</v>
      </c>
      <c r="D72" s="4">
        <v>899</v>
      </c>
      <c r="E72" s="3" t="s">
        <v>299</v>
      </c>
      <c r="F72" s="409">
        <v>500000</v>
      </c>
      <c r="G72" s="408"/>
      <c r="H72" s="6">
        <v>871794.5</v>
      </c>
      <c r="I72" s="1" t="s">
        <v>355</v>
      </c>
      <c r="J72" s="1" t="s">
        <v>350</v>
      </c>
      <c r="K72" s="1"/>
      <c r="L72" s="191"/>
      <c r="M72" s="1"/>
      <c r="N72" s="191"/>
      <c r="P72" s="1"/>
      <c r="Q72" t="s">
        <v>1345</v>
      </c>
    </row>
    <row r="73" spans="1:17" s="2" customFormat="1" ht="27.75" customHeight="1">
      <c r="A73" s="4">
        <v>70</v>
      </c>
      <c r="B73" s="5" t="s">
        <v>1475</v>
      </c>
      <c r="C73" s="5" t="s">
        <v>1475</v>
      </c>
      <c r="D73" s="5"/>
      <c r="E73" s="3" t="s">
        <v>300</v>
      </c>
      <c r="F73" s="408"/>
      <c r="G73" s="409">
        <v>182250</v>
      </c>
      <c r="H73" s="8" t="s">
        <v>1482</v>
      </c>
      <c r="I73" s="1" t="s">
        <v>50</v>
      </c>
      <c r="J73" s="1" t="s">
        <v>51</v>
      </c>
      <c r="K73" s="1" t="s">
        <v>822</v>
      </c>
      <c r="L73" s="191"/>
      <c r="M73" s="1" t="s">
        <v>822</v>
      </c>
      <c r="N73" s="191" t="s">
        <v>822</v>
      </c>
      <c r="P73" s="1"/>
      <c r="Q73" t="s">
        <v>4266</v>
      </c>
    </row>
    <row r="74" spans="1:17" s="17" customFormat="1" ht="27.75" customHeight="1">
      <c r="A74" s="4">
        <v>71</v>
      </c>
      <c r="B74" s="13" t="s">
        <v>1483</v>
      </c>
      <c r="C74" s="13" t="s">
        <v>1483</v>
      </c>
      <c r="D74" s="13"/>
      <c r="E74" s="13" t="s">
        <v>1484</v>
      </c>
      <c r="F74" s="411"/>
      <c r="G74" s="412">
        <v>100000</v>
      </c>
      <c r="H74" s="15" t="s">
        <v>1485</v>
      </c>
      <c r="I74" s="16" t="s">
        <v>52</v>
      </c>
      <c r="J74" s="16" t="s">
        <v>43</v>
      </c>
      <c r="K74" s="16" t="s">
        <v>794</v>
      </c>
      <c r="L74" s="193"/>
      <c r="M74" s="1" t="s">
        <v>794</v>
      </c>
      <c r="N74" s="191" t="s">
        <v>3486</v>
      </c>
      <c r="P74" s="16"/>
      <c r="Q74" t="s">
        <v>4266</v>
      </c>
    </row>
    <row r="75" spans="1:17" s="2" customFormat="1" ht="27.75" customHeight="1">
      <c r="A75" s="4">
        <v>72</v>
      </c>
      <c r="B75" s="5" t="s">
        <v>1486</v>
      </c>
      <c r="C75" s="5" t="s">
        <v>1486</v>
      </c>
      <c r="D75" s="5"/>
      <c r="E75" s="5" t="s">
        <v>1487</v>
      </c>
      <c r="F75" s="415">
        <v>1000000</v>
      </c>
      <c r="G75" s="408"/>
      <c r="H75" s="6">
        <v>154044.5</v>
      </c>
      <c r="I75" s="1" t="s">
        <v>352</v>
      </c>
      <c r="J75" s="1" t="s">
        <v>350</v>
      </c>
      <c r="K75" s="1"/>
      <c r="L75" s="191"/>
      <c r="M75" s="1"/>
      <c r="N75" s="191"/>
      <c r="P75" s="1"/>
      <c r="Q75" t="s">
        <v>1345</v>
      </c>
    </row>
    <row r="76" spans="1:17" s="17" customFormat="1" ht="27.75" customHeight="1">
      <c r="A76" s="4">
        <v>73</v>
      </c>
      <c r="B76" s="13" t="s">
        <v>1486</v>
      </c>
      <c r="C76" s="13" t="s">
        <v>1486</v>
      </c>
      <c r="D76" s="13"/>
      <c r="E76" s="13" t="s">
        <v>1488</v>
      </c>
      <c r="F76" s="411"/>
      <c r="G76" s="412">
        <v>20000</v>
      </c>
      <c r="H76" s="14">
        <v>174044.5</v>
      </c>
      <c r="I76" s="16" t="s">
        <v>366</v>
      </c>
      <c r="J76" s="16" t="s">
        <v>54</v>
      </c>
      <c r="K76" s="16"/>
      <c r="L76" s="193"/>
      <c r="M76" s="1"/>
      <c r="N76" s="191" t="s">
        <v>3488</v>
      </c>
      <c r="P76" s="16" t="s">
        <v>3488</v>
      </c>
      <c r="Q76" t="s">
        <v>4266</v>
      </c>
    </row>
    <row r="77" spans="1:17" s="17" customFormat="1" ht="27.75" customHeight="1">
      <c r="A77" s="4">
        <v>74</v>
      </c>
      <c r="B77" s="13" t="s">
        <v>1486</v>
      </c>
      <c r="C77" s="13" t="s">
        <v>1486</v>
      </c>
      <c r="D77" s="13"/>
      <c r="E77" s="13" t="s">
        <v>1489</v>
      </c>
      <c r="F77" s="411"/>
      <c r="G77" s="412">
        <v>15000</v>
      </c>
      <c r="H77" s="14">
        <v>189044.5</v>
      </c>
      <c r="I77" s="16" t="s">
        <v>366</v>
      </c>
      <c r="J77" s="16" t="s">
        <v>54</v>
      </c>
      <c r="K77" s="16"/>
      <c r="L77" s="193"/>
      <c r="M77" s="1"/>
      <c r="N77" s="191" t="s">
        <v>3488</v>
      </c>
      <c r="P77" s="16" t="s">
        <v>3488</v>
      </c>
      <c r="Q77" t="s">
        <v>4266</v>
      </c>
    </row>
    <row r="78" spans="1:17" s="17" customFormat="1" ht="27.75" customHeight="1">
      <c r="A78" s="4">
        <v>75</v>
      </c>
      <c r="B78" s="13" t="s">
        <v>1486</v>
      </c>
      <c r="C78" s="13" t="s">
        <v>1486</v>
      </c>
      <c r="D78" s="13"/>
      <c r="E78" s="13" t="s">
        <v>1490</v>
      </c>
      <c r="F78" s="411"/>
      <c r="G78" s="412">
        <v>15000</v>
      </c>
      <c r="H78" s="14">
        <v>204044.5</v>
      </c>
      <c r="I78" s="16" t="s">
        <v>366</v>
      </c>
      <c r="J78" s="16" t="s">
        <v>54</v>
      </c>
      <c r="K78" s="16"/>
      <c r="L78" s="193"/>
      <c r="M78" s="1"/>
      <c r="N78" s="191" t="s">
        <v>3488</v>
      </c>
      <c r="P78" s="16" t="s">
        <v>3488</v>
      </c>
      <c r="Q78" t="s">
        <v>4266</v>
      </c>
    </row>
    <row r="79" spans="1:17" s="17" customFormat="1" ht="27.75" customHeight="1">
      <c r="A79" s="4">
        <v>76</v>
      </c>
      <c r="B79" s="13" t="s">
        <v>1486</v>
      </c>
      <c r="C79" s="13" t="s">
        <v>1486</v>
      </c>
      <c r="D79" s="13"/>
      <c r="E79" s="13" t="s">
        <v>1491</v>
      </c>
      <c r="F79" s="411"/>
      <c r="G79" s="412">
        <v>15000</v>
      </c>
      <c r="H79" s="14">
        <v>219044.5</v>
      </c>
      <c r="I79" s="16" t="s">
        <v>366</v>
      </c>
      <c r="J79" s="16" t="s">
        <v>54</v>
      </c>
      <c r="K79" s="16"/>
      <c r="L79" s="193"/>
      <c r="M79" s="1"/>
      <c r="N79" s="191" t="s">
        <v>3488</v>
      </c>
      <c r="P79" s="16" t="s">
        <v>3488</v>
      </c>
      <c r="Q79" t="s">
        <v>4266</v>
      </c>
    </row>
    <row r="80" spans="1:17" s="17" customFormat="1" ht="27.75" customHeight="1">
      <c r="A80" s="4">
        <v>77</v>
      </c>
      <c r="B80" s="13" t="s">
        <v>1486</v>
      </c>
      <c r="C80" s="13" t="s">
        <v>1486</v>
      </c>
      <c r="D80" s="13"/>
      <c r="E80" s="13" t="s">
        <v>1492</v>
      </c>
      <c r="F80" s="411"/>
      <c r="G80" s="412">
        <v>10000</v>
      </c>
      <c r="H80" s="14">
        <v>229044.5</v>
      </c>
      <c r="I80" s="16" t="s">
        <v>366</v>
      </c>
      <c r="J80" s="16" t="s">
        <v>54</v>
      </c>
      <c r="K80" s="16"/>
      <c r="L80" s="193"/>
      <c r="M80" s="1"/>
      <c r="N80" s="191" t="s">
        <v>3488</v>
      </c>
      <c r="P80" s="16" t="s">
        <v>3488</v>
      </c>
      <c r="Q80" t="s">
        <v>4266</v>
      </c>
    </row>
    <row r="81" spans="1:17" s="17" customFormat="1" ht="27.75" customHeight="1">
      <c r="A81" s="4">
        <v>78</v>
      </c>
      <c r="B81" s="13" t="s">
        <v>1493</v>
      </c>
      <c r="C81" s="13" t="s">
        <v>1493</v>
      </c>
      <c r="D81" s="13"/>
      <c r="E81" s="13" t="s">
        <v>1494</v>
      </c>
      <c r="F81" s="411"/>
      <c r="G81" s="412">
        <v>10000</v>
      </c>
      <c r="H81" s="14">
        <v>239044.5</v>
      </c>
      <c r="I81" s="16" t="s">
        <v>366</v>
      </c>
      <c r="J81" s="16" t="s">
        <v>54</v>
      </c>
      <c r="K81" s="16"/>
      <c r="L81" s="193"/>
      <c r="M81" s="1"/>
      <c r="N81" s="191" t="s">
        <v>3488</v>
      </c>
      <c r="P81" s="16" t="s">
        <v>3488</v>
      </c>
      <c r="Q81" t="s">
        <v>4266</v>
      </c>
    </row>
    <row r="82" spans="1:17" s="17" customFormat="1" ht="27.75" customHeight="1">
      <c r="A82" s="4">
        <v>79</v>
      </c>
      <c r="B82" s="13" t="s">
        <v>1493</v>
      </c>
      <c r="C82" s="13" t="s">
        <v>1493</v>
      </c>
      <c r="D82" s="13"/>
      <c r="E82" s="13" t="s">
        <v>1495</v>
      </c>
      <c r="F82" s="411"/>
      <c r="G82" s="412">
        <v>5000</v>
      </c>
      <c r="H82" s="14">
        <v>244044.5</v>
      </c>
      <c r="I82" s="16" t="s">
        <v>366</v>
      </c>
      <c r="J82" s="16" t="s">
        <v>54</v>
      </c>
      <c r="K82" s="16"/>
      <c r="L82" s="193"/>
      <c r="M82" s="1"/>
      <c r="N82" s="191" t="s">
        <v>3488</v>
      </c>
      <c r="P82" s="16" t="s">
        <v>3488</v>
      </c>
      <c r="Q82" t="s">
        <v>4266</v>
      </c>
    </row>
    <row r="83" spans="1:17" s="2" customFormat="1" ht="27.75" customHeight="1">
      <c r="A83" s="4">
        <v>80</v>
      </c>
      <c r="B83" s="5" t="s">
        <v>1493</v>
      </c>
      <c r="C83" s="5" t="s">
        <v>1493</v>
      </c>
      <c r="D83" s="5"/>
      <c r="E83" s="5" t="s">
        <v>1496</v>
      </c>
      <c r="F83" s="408"/>
      <c r="G83" s="409">
        <v>25000</v>
      </c>
      <c r="H83" s="6">
        <v>269044.5</v>
      </c>
      <c r="I83" s="1" t="s">
        <v>86</v>
      </c>
      <c r="J83" s="1" t="s">
        <v>55</v>
      </c>
      <c r="K83" s="1"/>
      <c r="L83" s="191"/>
      <c r="M83" s="1"/>
      <c r="N83" s="191" t="s">
        <v>822</v>
      </c>
      <c r="P83" s="1"/>
      <c r="Q83" t="s">
        <v>4266</v>
      </c>
    </row>
    <row r="84" spans="1:17" s="2" customFormat="1" ht="27.75" customHeight="1">
      <c r="A84" s="4">
        <v>81</v>
      </c>
      <c r="B84" s="5" t="s">
        <v>1493</v>
      </c>
      <c r="C84" s="5" t="s">
        <v>1493</v>
      </c>
      <c r="D84" s="5"/>
      <c r="E84" s="5" t="s">
        <v>1497</v>
      </c>
      <c r="F84" s="408"/>
      <c r="G84" s="409">
        <v>25000</v>
      </c>
      <c r="H84" s="6">
        <v>294044.5</v>
      </c>
      <c r="I84" s="1" t="s">
        <v>86</v>
      </c>
      <c r="J84" s="1" t="s">
        <v>55</v>
      </c>
      <c r="K84" s="1" t="s">
        <v>845</v>
      </c>
      <c r="L84" s="191"/>
      <c r="M84" s="1" t="s">
        <v>845</v>
      </c>
      <c r="N84" s="191" t="s">
        <v>822</v>
      </c>
      <c r="P84" s="1"/>
      <c r="Q84" t="s">
        <v>4266</v>
      </c>
    </row>
    <row r="85" spans="1:17" s="2" customFormat="1" ht="27.75" customHeight="1">
      <c r="A85" s="4">
        <v>82</v>
      </c>
      <c r="B85" s="5" t="s">
        <v>1498</v>
      </c>
      <c r="C85" s="5" t="s">
        <v>1498</v>
      </c>
      <c r="D85" s="5"/>
      <c r="E85" s="5" t="s">
        <v>1499</v>
      </c>
      <c r="F85" s="408"/>
      <c r="G85" s="409">
        <v>500000</v>
      </c>
      <c r="H85" s="6">
        <v>794044.5</v>
      </c>
      <c r="I85" s="1" t="s">
        <v>56</v>
      </c>
      <c r="J85" s="1" t="s">
        <v>57</v>
      </c>
      <c r="K85" s="1"/>
      <c r="L85" s="191"/>
      <c r="M85" s="1"/>
      <c r="N85" s="191" t="s">
        <v>794</v>
      </c>
      <c r="P85" s="1"/>
      <c r="Q85" t="s">
        <v>4273</v>
      </c>
    </row>
    <row r="86" spans="1:17" s="17" customFormat="1" ht="27.75" customHeight="1">
      <c r="A86" s="4">
        <v>83</v>
      </c>
      <c r="B86" s="13" t="s">
        <v>1500</v>
      </c>
      <c r="C86" s="13" t="s">
        <v>1500</v>
      </c>
      <c r="D86" s="13"/>
      <c r="E86" s="18" t="s">
        <v>301</v>
      </c>
      <c r="F86" s="411"/>
      <c r="G86" s="412">
        <v>100000</v>
      </c>
      <c r="H86" s="14">
        <v>894044.5</v>
      </c>
      <c r="I86" s="16" t="s">
        <v>58</v>
      </c>
      <c r="J86" s="16" t="s">
        <v>59</v>
      </c>
      <c r="K86" s="16"/>
      <c r="L86" s="193"/>
      <c r="M86" s="1"/>
      <c r="N86" s="191" t="s">
        <v>841</v>
      </c>
      <c r="P86" s="16" t="s">
        <v>3870</v>
      </c>
      <c r="Q86" t="s">
        <v>4266</v>
      </c>
    </row>
    <row r="87" spans="1:17" s="17" customFormat="1" ht="27.75" customHeight="1">
      <c r="A87" s="4">
        <v>84</v>
      </c>
      <c r="B87" s="13" t="s">
        <v>1500</v>
      </c>
      <c r="C87" s="13" t="s">
        <v>1500</v>
      </c>
      <c r="D87" s="13"/>
      <c r="E87" s="13" t="s">
        <v>1501</v>
      </c>
      <c r="F87" s="411"/>
      <c r="G87" s="412">
        <v>2000</v>
      </c>
      <c r="H87" s="14">
        <v>896044.5</v>
      </c>
      <c r="I87" s="16" t="s">
        <v>417</v>
      </c>
      <c r="J87" s="16" t="s">
        <v>60</v>
      </c>
      <c r="K87" s="16"/>
      <c r="L87" s="193"/>
      <c r="M87" s="1"/>
      <c r="N87" s="191" t="s">
        <v>3575</v>
      </c>
      <c r="P87" s="16"/>
      <c r="Q87" t="s">
        <v>4266</v>
      </c>
    </row>
    <row r="88" spans="1:17" s="2" customFormat="1" ht="27.75" customHeight="1">
      <c r="A88" s="4">
        <v>85</v>
      </c>
      <c r="B88" s="5" t="s">
        <v>1500</v>
      </c>
      <c r="C88" s="5" t="s">
        <v>1500</v>
      </c>
      <c r="D88" s="5"/>
      <c r="E88" s="5" t="s">
        <v>1502</v>
      </c>
      <c r="F88" s="409">
        <v>250000</v>
      </c>
      <c r="G88" s="408"/>
      <c r="H88" s="6">
        <v>646044.5</v>
      </c>
      <c r="I88" s="1" t="s">
        <v>351</v>
      </c>
      <c r="J88" s="1" t="s">
        <v>350</v>
      </c>
      <c r="K88" s="1" t="s">
        <v>794</v>
      </c>
      <c r="L88" s="191"/>
      <c r="M88" s="1" t="s">
        <v>794</v>
      </c>
      <c r="N88" s="191"/>
      <c r="P88" s="1"/>
      <c r="Q88" t="s">
        <v>1345</v>
      </c>
    </row>
    <row r="89" spans="1:17" s="2" customFormat="1" ht="27.75" customHeight="1">
      <c r="A89" s="4">
        <v>86</v>
      </c>
      <c r="B89" s="5" t="s">
        <v>1500</v>
      </c>
      <c r="C89" s="5" t="s">
        <v>1500</v>
      </c>
      <c r="D89" s="5"/>
      <c r="E89" s="5" t="s">
        <v>1503</v>
      </c>
      <c r="F89" s="409">
        <v>250000</v>
      </c>
      <c r="G89" s="408"/>
      <c r="H89" s="6">
        <v>396044.5</v>
      </c>
      <c r="I89" s="1" t="s">
        <v>349</v>
      </c>
      <c r="J89" s="1" t="s">
        <v>350</v>
      </c>
      <c r="K89" s="1" t="s">
        <v>823</v>
      </c>
      <c r="L89" s="191"/>
      <c r="M89" s="1" t="s">
        <v>823</v>
      </c>
      <c r="N89" s="191"/>
      <c r="P89" s="1"/>
      <c r="Q89" t="s">
        <v>1345</v>
      </c>
    </row>
    <row r="90" spans="1:17" s="2" customFormat="1" ht="27.75" customHeight="1">
      <c r="A90" s="4">
        <v>87</v>
      </c>
      <c r="B90" s="5" t="s">
        <v>1504</v>
      </c>
      <c r="C90" s="5" t="s">
        <v>1504</v>
      </c>
      <c r="D90" s="5"/>
      <c r="E90" s="5" t="s">
        <v>1505</v>
      </c>
      <c r="F90" s="408"/>
      <c r="G90" s="409">
        <v>2000</v>
      </c>
      <c r="H90" s="6">
        <v>398044.5</v>
      </c>
      <c r="I90" s="1" t="s">
        <v>357</v>
      </c>
      <c r="J90" s="1" t="s">
        <v>61</v>
      </c>
      <c r="K90" s="1"/>
      <c r="L90" s="191"/>
      <c r="M90" s="1"/>
      <c r="N90" s="191" t="s">
        <v>794</v>
      </c>
      <c r="P90" s="1"/>
      <c r="Q90" t="s">
        <v>4266</v>
      </c>
    </row>
    <row r="91" spans="1:17" s="17" customFormat="1" ht="27.75" customHeight="1">
      <c r="A91" s="4">
        <v>88</v>
      </c>
      <c r="B91" s="13" t="s">
        <v>1506</v>
      </c>
      <c r="C91" s="13" t="s">
        <v>1506</v>
      </c>
      <c r="D91" s="13"/>
      <c r="E91" s="13" t="s">
        <v>1507</v>
      </c>
      <c r="F91" s="411"/>
      <c r="G91" s="412">
        <v>100000</v>
      </c>
      <c r="H91" s="14">
        <v>498044.5</v>
      </c>
      <c r="I91" s="16" t="s">
        <v>52</v>
      </c>
      <c r="J91" s="16" t="s">
        <v>43</v>
      </c>
      <c r="K91" s="16"/>
      <c r="L91" s="193"/>
      <c r="M91" s="1"/>
      <c r="N91" s="191" t="s">
        <v>3486</v>
      </c>
      <c r="P91" s="16"/>
      <c r="Q91" t="s">
        <v>4266</v>
      </c>
    </row>
    <row r="92" spans="1:17" s="2" customFormat="1" ht="27.75" customHeight="1">
      <c r="A92" s="4">
        <v>89</v>
      </c>
      <c r="B92" s="5" t="s">
        <v>1506</v>
      </c>
      <c r="C92" s="5" t="s">
        <v>1506</v>
      </c>
      <c r="D92" s="5"/>
      <c r="E92" s="5" t="s">
        <v>1508</v>
      </c>
      <c r="F92" s="409">
        <v>300000</v>
      </c>
      <c r="G92" s="408"/>
      <c r="H92" s="6">
        <v>198044.5</v>
      </c>
      <c r="I92" s="1" t="s">
        <v>411</v>
      </c>
      <c r="J92" s="1" t="s">
        <v>62</v>
      </c>
      <c r="K92" s="1" t="s">
        <v>794</v>
      </c>
      <c r="L92" s="191"/>
      <c r="M92" s="1" t="s">
        <v>794</v>
      </c>
      <c r="N92" s="191" t="s">
        <v>822</v>
      </c>
      <c r="P92" s="1" t="s">
        <v>3839</v>
      </c>
      <c r="Q92" t="s">
        <v>4270</v>
      </c>
    </row>
    <row r="93" spans="1:17" s="17" customFormat="1" ht="27.75" customHeight="1">
      <c r="A93" s="4">
        <v>90</v>
      </c>
      <c r="B93" s="13" t="s">
        <v>1509</v>
      </c>
      <c r="C93" s="13" t="s">
        <v>1509</v>
      </c>
      <c r="D93" s="13"/>
      <c r="E93" s="13" t="s">
        <v>1510</v>
      </c>
      <c r="F93" s="411"/>
      <c r="G93" s="412">
        <v>1000</v>
      </c>
      <c r="H93" s="14">
        <v>199044.5</v>
      </c>
      <c r="I93" s="16" t="s">
        <v>63</v>
      </c>
      <c r="J93" s="16" t="s">
        <v>54</v>
      </c>
      <c r="K93" s="16"/>
      <c r="L93" s="193"/>
      <c r="M93" s="1"/>
      <c r="N93" s="191" t="s">
        <v>3488</v>
      </c>
      <c r="P93" s="16"/>
      <c r="Q93" t="s">
        <v>4266</v>
      </c>
    </row>
    <row r="94" spans="1:17" s="17" customFormat="1" ht="27.75" customHeight="1">
      <c r="A94" s="4">
        <v>91</v>
      </c>
      <c r="B94" s="13" t="s">
        <v>1509</v>
      </c>
      <c r="C94" s="13" t="s">
        <v>1509</v>
      </c>
      <c r="D94" s="13"/>
      <c r="E94" s="13" t="s">
        <v>1511</v>
      </c>
      <c r="F94" s="411"/>
      <c r="G94" s="412">
        <v>299000</v>
      </c>
      <c r="H94" s="14">
        <v>498044.5</v>
      </c>
      <c r="I94" s="16" t="s">
        <v>63</v>
      </c>
      <c r="J94" s="16" t="s">
        <v>54</v>
      </c>
      <c r="K94" s="16"/>
      <c r="L94" s="193"/>
      <c r="M94" s="1"/>
      <c r="N94" s="191" t="s">
        <v>3488</v>
      </c>
      <c r="P94" s="16"/>
      <c r="Q94" t="s">
        <v>4266</v>
      </c>
    </row>
    <row r="95" spans="1:17" s="17" customFormat="1" ht="27.75" customHeight="1">
      <c r="A95" s="4">
        <v>92</v>
      </c>
      <c r="B95" s="13" t="s">
        <v>1512</v>
      </c>
      <c r="C95" s="13" t="s">
        <v>1512</v>
      </c>
      <c r="D95" s="13"/>
      <c r="E95" s="13" t="s">
        <v>1513</v>
      </c>
      <c r="F95" s="411"/>
      <c r="G95" s="412">
        <v>25000</v>
      </c>
      <c r="H95" s="14">
        <v>523044.5</v>
      </c>
      <c r="I95" s="16" t="s">
        <v>86</v>
      </c>
      <c r="J95" s="16" t="s">
        <v>64</v>
      </c>
      <c r="K95" s="16"/>
      <c r="L95" s="193"/>
      <c r="M95" s="1"/>
      <c r="N95" s="191" t="s">
        <v>822</v>
      </c>
      <c r="P95" s="16"/>
      <c r="Q95" t="s">
        <v>4266</v>
      </c>
    </row>
    <row r="96" spans="1:17" s="17" customFormat="1" ht="27.75" customHeight="1">
      <c r="A96" s="4">
        <v>93</v>
      </c>
      <c r="B96" s="13" t="s">
        <v>1512</v>
      </c>
      <c r="C96" s="13" t="s">
        <v>1512</v>
      </c>
      <c r="D96" s="13"/>
      <c r="E96" s="13" t="s">
        <v>1514</v>
      </c>
      <c r="F96" s="411"/>
      <c r="G96" s="412">
        <v>24000</v>
      </c>
      <c r="H96" s="14">
        <v>547044.5</v>
      </c>
      <c r="I96" s="16" t="s">
        <v>86</v>
      </c>
      <c r="J96" s="16" t="s">
        <v>64</v>
      </c>
      <c r="K96" s="16"/>
      <c r="L96" s="193"/>
      <c r="M96" s="1"/>
      <c r="N96" s="191" t="s">
        <v>822</v>
      </c>
      <c r="P96" s="16"/>
      <c r="Q96" t="s">
        <v>4266</v>
      </c>
    </row>
    <row r="97" spans="1:17" s="2" customFormat="1" ht="27.75" customHeight="1">
      <c r="A97" s="4">
        <v>94</v>
      </c>
      <c r="B97" s="5" t="s">
        <v>1512</v>
      </c>
      <c r="C97" s="5" t="s">
        <v>1512</v>
      </c>
      <c r="D97" s="5"/>
      <c r="E97" s="5" t="s">
        <v>1515</v>
      </c>
      <c r="F97" s="409">
        <v>500000</v>
      </c>
      <c r="G97" s="408"/>
      <c r="H97" s="6">
        <v>47044.5</v>
      </c>
      <c r="I97" s="1" t="s">
        <v>352</v>
      </c>
      <c r="J97" s="1" t="s">
        <v>350</v>
      </c>
      <c r="K97" s="1"/>
      <c r="L97" s="191"/>
      <c r="M97" s="1"/>
      <c r="N97" s="191"/>
      <c r="P97" s="1"/>
      <c r="Q97" t="s">
        <v>1345</v>
      </c>
    </row>
    <row r="98" spans="1:17" s="17" customFormat="1" ht="27.75" customHeight="1">
      <c r="A98" s="4">
        <v>95</v>
      </c>
      <c r="B98" s="13" t="s">
        <v>1516</v>
      </c>
      <c r="C98" s="13" t="s">
        <v>1517</v>
      </c>
      <c r="D98" s="13"/>
      <c r="E98" s="13" t="s">
        <v>1518</v>
      </c>
      <c r="F98" s="411"/>
      <c r="G98" s="412">
        <v>35000</v>
      </c>
      <c r="H98" s="14">
        <v>82044.5</v>
      </c>
      <c r="I98" s="16" t="s">
        <v>6</v>
      </c>
      <c r="J98" s="16" t="s">
        <v>24</v>
      </c>
      <c r="K98" s="16"/>
      <c r="L98" s="193"/>
      <c r="M98" s="1"/>
      <c r="N98" s="191" t="s">
        <v>794</v>
      </c>
      <c r="P98" s="16"/>
      <c r="Q98" t="s">
        <v>4266</v>
      </c>
    </row>
    <row r="99" spans="1:17" s="2" customFormat="1" ht="27.75" customHeight="1">
      <c r="A99" s="4">
        <v>96</v>
      </c>
      <c r="B99" s="5" t="s">
        <v>1519</v>
      </c>
      <c r="C99" s="5" t="s">
        <v>1517</v>
      </c>
      <c r="D99" s="5"/>
      <c r="E99" s="5" t="s">
        <v>1520</v>
      </c>
      <c r="F99" s="408"/>
      <c r="G99" s="409">
        <v>500</v>
      </c>
      <c r="H99" s="6">
        <v>82544.5</v>
      </c>
      <c r="I99" s="1" t="s">
        <v>361</v>
      </c>
      <c r="J99" s="1" t="s">
        <v>65</v>
      </c>
      <c r="K99" s="1" t="s">
        <v>823</v>
      </c>
      <c r="L99" s="191"/>
      <c r="M99" s="1" t="s">
        <v>823</v>
      </c>
      <c r="N99" s="191" t="s">
        <v>794</v>
      </c>
      <c r="P99" s="1"/>
      <c r="Q99" t="s">
        <v>4266</v>
      </c>
    </row>
    <row r="100" spans="1:17" s="2" customFormat="1" ht="27.75" customHeight="1">
      <c r="A100" s="4">
        <v>97</v>
      </c>
      <c r="B100" s="5" t="s">
        <v>1519</v>
      </c>
      <c r="C100" s="5" t="s">
        <v>1517</v>
      </c>
      <c r="D100" s="5"/>
      <c r="E100" s="5" t="s">
        <v>1521</v>
      </c>
      <c r="F100" s="408"/>
      <c r="G100" s="409">
        <v>25000</v>
      </c>
      <c r="H100" s="6">
        <v>107544.5</v>
      </c>
      <c r="I100" s="1" t="s">
        <v>361</v>
      </c>
      <c r="J100" s="1" t="s">
        <v>65</v>
      </c>
      <c r="K100" s="1" t="s">
        <v>810</v>
      </c>
      <c r="L100" s="191"/>
      <c r="M100" s="1" t="s">
        <v>810</v>
      </c>
      <c r="N100" s="191" t="s">
        <v>794</v>
      </c>
      <c r="P100" s="1"/>
      <c r="Q100" t="s">
        <v>4266</v>
      </c>
    </row>
    <row r="101" spans="1:17" s="2" customFormat="1" ht="27.75" customHeight="1">
      <c r="A101" s="4">
        <v>98</v>
      </c>
      <c r="B101" s="5" t="s">
        <v>1519</v>
      </c>
      <c r="C101" s="5" t="s">
        <v>1517</v>
      </c>
      <c r="D101" s="5"/>
      <c r="E101" s="5" t="s">
        <v>1522</v>
      </c>
      <c r="F101" s="408"/>
      <c r="G101" s="409">
        <v>24500</v>
      </c>
      <c r="H101" s="6">
        <v>132044.5</v>
      </c>
      <c r="I101" s="1" t="s">
        <v>361</v>
      </c>
      <c r="J101" s="1" t="s">
        <v>65</v>
      </c>
      <c r="K101" s="1" t="s">
        <v>810</v>
      </c>
      <c r="L101" s="191"/>
      <c r="M101" s="1" t="s">
        <v>810</v>
      </c>
      <c r="N101" s="191" t="s">
        <v>794</v>
      </c>
      <c r="P101" s="1"/>
      <c r="Q101" t="s">
        <v>4266</v>
      </c>
    </row>
    <row r="102" spans="1:17" s="17" customFormat="1" ht="27.75" customHeight="1">
      <c r="A102" s="4">
        <v>99</v>
      </c>
      <c r="B102" s="13" t="s">
        <v>1517</v>
      </c>
      <c r="C102" s="13" t="s">
        <v>1517</v>
      </c>
      <c r="D102" s="13"/>
      <c r="E102" s="13" t="s">
        <v>1523</v>
      </c>
      <c r="F102" s="411"/>
      <c r="G102" s="412">
        <v>50000</v>
      </c>
      <c r="H102" s="14">
        <v>182044.5</v>
      </c>
      <c r="I102" s="16" t="s">
        <v>66</v>
      </c>
      <c r="J102" s="16" t="s">
        <v>47</v>
      </c>
      <c r="K102" s="16" t="s">
        <v>794</v>
      </c>
      <c r="L102" s="193"/>
      <c r="M102" s="1" t="s">
        <v>794</v>
      </c>
      <c r="N102" s="191" t="s">
        <v>1283</v>
      </c>
      <c r="P102" s="16"/>
      <c r="Q102" t="s">
        <v>4266</v>
      </c>
    </row>
    <row r="103" spans="1:17" s="2" customFormat="1" ht="27.75" customHeight="1">
      <c r="A103" s="4">
        <v>100</v>
      </c>
      <c r="B103" s="5" t="s">
        <v>1517</v>
      </c>
      <c r="C103" s="5" t="s">
        <v>1517</v>
      </c>
      <c r="D103" s="5"/>
      <c r="E103" s="3" t="s">
        <v>3880</v>
      </c>
      <c r="F103" s="408"/>
      <c r="G103" s="409">
        <v>175000</v>
      </c>
      <c r="H103" s="6">
        <v>357044.5</v>
      </c>
      <c r="I103" s="1" t="s">
        <v>68</v>
      </c>
      <c r="J103" s="1" t="s">
        <v>67</v>
      </c>
      <c r="K103" s="1" t="s">
        <v>823</v>
      </c>
      <c r="L103" s="191"/>
      <c r="M103" s="1" t="s">
        <v>823</v>
      </c>
      <c r="N103" s="191" t="s">
        <v>794</v>
      </c>
      <c r="P103" s="1" t="s">
        <v>3881</v>
      </c>
      <c r="Q103" t="s">
        <v>4266</v>
      </c>
    </row>
    <row r="104" spans="1:17" s="17" customFormat="1" ht="27.75" customHeight="1">
      <c r="A104" s="4">
        <v>101</v>
      </c>
      <c r="B104" s="13" t="s">
        <v>1517</v>
      </c>
      <c r="C104" s="13" t="s">
        <v>1517</v>
      </c>
      <c r="D104" s="13"/>
      <c r="E104" s="13" t="s">
        <v>1524</v>
      </c>
      <c r="F104" s="411"/>
      <c r="G104" s="412">
        <v>300000</v>
      </c>
      <c r="H104" s="14">
        <v>657044.5</v>
      </c>
      <c r="I104" s="16" t="s">
        <v>69</v>
      </c>
      <c r="J104" s="16" t="s">
        <v>70</v>
      </c>
      <c r="K104" s="16" t="s">
        <v>794</v>
      </c>
      <c r="L104" s="193"/>
      <c r="M104" s="1" t="s">
        <v>794</v>
      </c>
      <c r="N104" s="191" t="s">
        <v>830</v>
      </c>
      <c r="P104" s="16"/>
      <c r="Q104" t="s">
        <v>4266</v>
      </c>
    </row>
    <row r="105" spans="1:17" s="17" customFormat="1" ht="27.75" customHeight="1">
      <c r="A105" s="4">
        <v>102</v>
      </c>
      <c r="B105" s="13" t="s">
        <v>1517</v>
      </c>
      <c r="C105" s="13" t="s">
        <v>1517</v>
      </c>
      <c r="D105" s="13"/>
      <c r="E105" s="18" t="s">
        <v>302</v>
      </c>
      <c r="F105" s="412">
        <v>300000</v>
      </c>
      <c r="G105" s="411"/>
      <c r="H105" s="14">
        <v>357044.5</v>
      </c>
      <c r="I105" s="16" t="s">
        <v>69</v>
      </c>
      <c r="J105" s="16" t="s">
        <v>71</v>
      </c>
      <c r="K105" s="16" t="s">
        <v>794</v>
      </c>
      <c r="L105" s="193"/>
      <c r="M105" s="1" t="s">
        <v>794</v>
      </c>
      <c r="N105" s="191" t="s">
        <v>830</v>
      </c>
      <c r="P105" s="16"/>
      <c r="Q105" t="s">
        <v>4266</v>
      </c>
    </row>
    <row r="106" spans="1:17" s="17" customFormat="1" ht="27.75" customHeight="1">
      <c r="A106" s="4">
        <v>103</v>
      </c>
      <c r="B106" s="13" t="s">
        <v>1525</v>
      </c>
      <c r="C106" s="13" t="s">
        <v>1525</v>
      </c>
      <c r="D106" s="13"/>
      <c r="E106" s="13" t="s">
        <v>1526</v>
      </c>
      <c r="F106" s="411"/>
      <c r="G106" s="412">
        <v>250000</v>
      </c>
      <c r="H106" s="14">
        <v>607044.5</v>
      </c>
      <c r="I106" s="16" t="s">
        <v>72</v>
      </c>
      <c r="J106" s="16" t="s">
        <v>73</v>
      </c>
      <c r="K106" s="16" t="s">
        <v>823</v>
      </c>
      <c r="L106" s="193"/>
      <c r="M106" s="1" t="s">
        <v>823</v>
      </c>
      <c r="N106" s="191" t="s">
        <v>794</v>
      </c>
      <c r="P106" s="16"/>
      <c r="Q106" t="s">
        <v>4266</v>
      </c>
    </row>
    <row r="107" spans="1:17" s="2" customFormat="1" ht="27.75" customHeight="1">
      <c r="A107" s="4">
        <v>104</v>
      </c>
      <c r="B107" s="5" t="s">
        <v>1525</v>
      </c>
      <c r="C107" s="5" t="s">
        <v>1525</v>
      </c>
      <c r="D107" s="5"/>
      <c r="E107" s="3" t="s">
        <v>3684</v>
      </c>
      <c r="F107" s="408"/>
      <c r="G107" s="409">
        <v>100000</v>
      </c>
      <c r="H107" s="6">
        <v>707044.5</v>
      </c>
      <c r="I107" s="1" t="s">
        <v>74</v>
      </c>
      <c r="J107" s="1" t="s">
        <v>65</v>
      </c>
      <c r="K107" s="1" t="s">
        <v>810</v>
      </c>
      <c r="L107" s="191"/>
      <c r="M107" s="1" t="s">
        <v>810</v>
      </c>
      <c r="N107" s="2" t="s">
        <v>3575</v>
      </c>
      <c r="P107" s="1" t="s">
        <v>794</v>
      </c>
      <c r="Q107" t="s">
        <v>4266</v>
      </c>
    </row>
    <row r="108" spans="1:17" s="2" customFormat="1" ht="27.75" customHeight="1">
      <c r="A108" s="4">
        <v>105</v>
      </c>
      <c r="B108" s="5" t="s">
        <v>1525</v>
      </c>
      <c r="C108" s="5" t="s">
        <v>1525</v>
      </c>
      <c r="D108" s="5"/>
      <c r="E108" s="5" t="s">
        <v>1527</v>
      </c>
      <c r="F108" s="408"/>
      <c r="G108" s="409">
        <v>800000</v>
      </c>
      <c r="H108" s="8" t="s">
        <v>1528</v>
      </c>
      <c r="I108" s="1" t="s">
        <v>75</v>
      </c>
      <c r="J108" s="1" t="s">
        <v>76</v>
      </c>
      <c r="K108" s="1"/>
      <c r="L108" s="191"/>
      <c r="M108" s="1"/>
      <c r="N108" s="191" t="s">
        <v>3489</v>
      </c>
      <c r="P108" s="1"/>
      <c r="Q108" t="s">
        <v>4266</v>
      </c>
    </row>
    <row r="109" spans="1:17" s="2" customFormat="1" ht="27.75" customHeight="1">
      <c r="A109" s="4">
        <v>106</v>
      </c>
      <c r="B109" s="5" t="s">
        <v>1525</v>
      </c>
      <c r="C109" s="5" t="s">
        <v>1525</v>
      </c>
      <c r="D109" s="5"/>
      <c r="E109" s="5" t="s">
        <v>1529</v>
      </c>
      <c r="F109" s="408"/>
      <c r="G109" s="409">
        <v>500000</v>
      </c>
      <c r="H109" s="8" t="s">
        <v>1530</v>
      </c>
      <c r="I109" s="1" t="s">
        <v>77</v>
      </c>
      <c r="J109" s="1" t="s">
        <v>79</v>
      </c>
      <c r="K109" s="1"/>
      <c r="L109" s="191"/>
      <c r="M109" s="1"/>
      <c r="N109" s="191" t="s">
        <v>794</v>
      </c>
      <c r="P109" s="1"/>
      <c r="Q109" t="s">
        <v>4266</v>
      </c>
    </row>
    <row r="110" spans="1:17" s="2" customFormat="1" ht="27.75" customHeight="1">
      <c r="A110" s="4">
        <v>107</v>
      </c>
      <c r="B110" s="5" t="s">
        <v>1525</v>
      </c>
      <c r="C110" s="5" t="s">
        <v>1525</v>
      </c>
      <c r="D110" s="5"/>
      <c r="E110" s="5" t="s">
        <v>1531</v>
      </c>
      <c r="F110" s="408"/>
      <c r="G110" s="409">
        <v>300000</v>
      </c>
      <c r="H110" s="8" t="s">
        <v>1532</v>
      </c>
      <c r="I110" s="1" t="s">
        <v>78</v>
      </c>
      <c r="J110" s="1" t="s">
        <v>80</v>
      </c>
      <c r="K110" s="1"/>
      <c r="L110" s="191"/>
      <c r="M110" s="1"/>
      <c r="N110" s="191" t="s">
        <v>3490</v>
      </c>
      <c r="P110" s="1"/>
      <c r="Q110" t="s">
        <v>4266</v>
      </c>
    </row>
    <row r="111" spans="1:17" s="2" customFormat="1" ht="27.75" customHeight="1">
      <c r="A111" s="4">
        <v>108</v>
      </c>
      <c r="B111" s="5" t="s">
        <v>1533</v>
      </c>
      <c r="C111" s="5" t="s">
        <v>1533</v>
      </c>
      <c r="D111" s="5"/>
      <c r="E111" s="5" t="s">
        <v>1534</v>
      </c>
      <c r="F111" s="408"/>
      <c r="G111" s="409">
        <v>250000</v>
      </c>
      <c r="H111" s="8" t="s">
        <v>1535</v>
      </c>
      <c r="I111" s="1" t="s">
        <v>82</v>
      </c>
      <c r="J111" s="1" t="s">
        <v>81</v>
      </c>
      <c r="K111" s="1" t="s">
        <v>830</v>
      </c>
      <c r="L111" s="191"/>
      <c r="M111" s="1" t="s">
        <v>830</v>
      </c>
      <c r="N111" s="191" t="s">
        <v>3491</v>
      </c>
      <c r="P111" s="1"/>
      <c r="Q111" t="s">
        <v>4266</v>
      </c>
    </row>
    <row r="112" spans="1:17" s="2" customFormat="1" ht="27.75" customHeight="1">
      <c r="A112" s="4">
        <v>109</v>
      </c>
      <c r="B112" s="5" t="s">
        <v>1533</v>
      </c>
      <c r="C112" s="5" t="s">
        <v>1533</v>
      </c>
      <c r="D112" s="5"/>
      <c r="E112" s="5" t="s">
        <v>1536</v>
      </c>
      <c r="F112" s="408"/>
      <c r="G112" s="409">
        <v>164000</v>
      </c>
      <c r="H112" s="8" t="s">
        <v>1537</v>
      </c>
      <c r="I112" s="1" t="s">
        <v>83</v>
      </c>
      <c r="J112" s="1" t="s">
        <v>754</v>
      </c>
      <c r="K112" s="1" t="s">
        <v>823</v>
      </c>
      <c r="L112" s="191"/>
      <c r="M112" s="1" t="s">
        <v>823</v>
      </c>
      <c r="N112" s="191" t="s">
        <v>831</v>
      </c>
      <c r="P112" s="1" t="s">
        <v>831</v>
      </c>
      <c r="Q112" t="s">
        <v>4266</v>
      </c>
    </row>
    <row r="113" spans="1:17" s="2" customFormat="1" ht="27.75" customHeight="1">
      <c r="A113" s="4">
        <v>110</v>
      </c>
      <c r="B113" s="5" t="s">
        <v>1533</v>
      </c>
      <c r="C113" s="5" t="s">
        <v>1533</v>
      </c>
      <c r="D113" s="5"/>
      <c r="E113" s="5" t="s">
        <v>1538</v>
      </c>
      <c r="F113" s="408"/>
      <c r="G113" s="409">
        <v>10000</v>
      </c>
      <c r="H113" s="8" t="s">
        <v>1539</v>
      </c>
      <c r="I113" s="1" t="s">
        <v>362</v>
      </c>
      <c r="J113" s="1" t="s">
        <v>84</v>
      </c>
      <c r="K113" s="1" t="s">
        <v>823</v>
      </c>
      <c r="L113" s="191"/>
      <c r="M113" s="1" t="s">
        <v>823</v>
      </c>
      <c r="N113" s="191" t="s">
        <v>833</v>
      </c>
      <c r="P113" s="1"/>
      <c r="Q113" t="s">
        <v>4266</v>
      </c>
    </row>
    <row r="114" spans="1:17" s="2" customFormat="1" ht="27.75" customHeight="1">
      <c r="A114" s="4">
        <v>111</v>
      </c>
      <c r="B114" s="5" t="s">
        <v>1533</v>
      </c>
      <c r="C114" s="5" t="s">
        <v>1533</v>
      </c>
      <c r="D114" s="5"/>
      <c r="E114" s="3" t="s">
        <v>303</v>
      </c>
      <c r="F114" s="408"/>
      <c r="G114" s="409">
        <v>175000</v>
      </c>
      <c r="H114" s="8" t="s">
        <v>1540</v>
      </c>
      <c r="I114" s="1" t="s">
        <v>50</v>
      </c>
      <c r="J114" s="1" t="s">
        <v>85</v>
      </c>
      <c r="K114" s="1" t="s">
        <v>794</v>
      </c>
      <c r="L114" s="191"/>
      <c r="M114" s="1" t="s">
        <v>794</v>
      </c>
      <c r="N114" s="191" t="s">
        <v>822</v>
      </c>
      <c r="P114" s="1"/>
      <c r="Q114" t="s">
        <v>4266</v>
      </c>
    </row>
    <row r="115" spans="1:17" s="17" customFormat="1" ht="27.75" customHeight="1">
      <c r="A115" s="4">
        <v>112</v>
      </c>
      <c r="B115" s="13" t="s">
        <v>1533</v>
      </c>
      <c r="C115" s="13" t="s">
        <v>1533</v>
      </c>
      <c r="D115" s="13"/>
      <c r="E115" s="18" t="s">
        <v>294</v>
      </c>
      <c r="F115" s="411"/>
      <c r="G115" s="412">
        <v>150000</v>
      </c>
      <c r="H115" s="15" t="s">
        <v>1541</v>
      </c>
      <c r="I115" s="16" t="s">
        <v>86</v>
      </c>
      <c r="J115" s="16" t="s">
        <v>87</v>
      </c>
      <c r="K115" s="16"/>
      <c r="L115" s="193"/>
      <c r="M115" s="1"/>
      <c r="N115" s="191" t="s">
        <v>822</v>
      </c>
      <c r="P115" s="16"/>
      <c r="Q115" t="s">
        <v>4266</v>
      </c>
    </row>
    <row r="116" spans="1:17" s="17" customFormat="1" ht="27.75" customHeight="1">
      <c r="A116" s="4">
        <v>113</v>
      </c>
      <c r="B116" s="13" t="s">
        <v>1533</v>
      </c>
      <c r="C116" s="13" t="s">
        <v>1533</v>
      </c>
      <c r="D116" s="13"/>
      <c r="E116" s="13" t="s">
        <v>1542</v>
      </c>
      <c r="F116" s="411"/>
      <c r="G116" s="412">
        <v>371000</v>
      </c>
      <c r="H116" s="15" t="s">
        <v>1543</v>
      </c>
      <c r="I116" s="16" t="s">
        <v>89</v>
      </c>
      <c r="J116" s="16" t="s">
        <v>88</v>
      </c>
      <c r="K116" s="16"/>
      <c r="L116" s="193"/>
      <c r="M116" s="1"/>
      <c r="N116" s="191" t="s">
        <v>3492</v>
      </c>
      <c r="P116" s="16"/>
      <c r="Q116" t="s">
        <v>4266</v>
      </c>
    </row>
    <row r="117" spans="1:17" s="2" customFormat="1" ht="27.75" customHeight="1">
      <c r="A117" s="4">
        <v>114</v>
      </c>
      <c r="B117" s="5" t="s">
        <v>1533</v>
      </c>
      <c r="C117" s="5" t="s">
        <v>1533</v>
      </c>
      <c r="D117" s="5"/>
      <c r="E117" s="5" t="s">
        <v>1544</v>
      </c>
      <c r="F117" s="408"/>
      <c r="G117" s="409">
        <v>20000</v>
      </c>
      <c r="H117" s="8" t="s">
        <v>1545</v>
      </c>
      <c r="I117" s="1" t="s">
        <v>360</v>
      </c>
      <c r="J117" s="1" t="s">
        <v>90</v>
      </c>
      <c r="K117" s="1" t="s">
        <v>810</v>
      </c>
      <c r="L117" s="191"/>
      <c r="M117" s="1" t="s">
        <v>810</v>
      </c>
      <c r="N117" s="191" t="s">
        <v>794</v>
      </c>
      <c r="P117" s="1"/>
      <c r="Q117" t="s">
        <v>4266</v>
      </c>
    </row>
    <row r="118" spans="1:17" s="2" customFormat="1" ht="27.75" customHeight="1">
      <c r="A118" s="4">
        <v>115</v>
      </c>
      <c r="B118" s="5" t="s">
        <v>1533</v>
      </c>
      <c r="C118" s="5" t="s">
        <v>1533</v>
      </c>
      <c r="D118" s="5"/>
      <c r="E118" s="5" t="s">
        <v>1546</v>
      </c>
      <c r="F118" s="408"/>
      <c r="G118" s="409">
        <v>30000</v>
      </c>
      <c r="H118" s="8" t="s">
        <v>1547</v>
      </c>
      <c r="I118" s="1" t="s">
        <v>360</v>
      </c>
      <c r="J118" s="1" t="s">
        <v>91</v>
      </c>
      <c r="K118" s="1"/>
      <c r="L118" s="191"/>
      <c r="M118" s="1"/>
      <c r="N118" s="191" t="s">
        <v>794</v>
      </c>
      <c r="P118" s="1"/>
      <c r="Q118" t="s">
        <v>4266</v>
      </c>
    </row>
    <row r="119" spans="1:17" s="2" customFormat="1" ht="27.75" customHeight="1">
      <c r="A119" s="4">
        <v>116</v>
      </c>
      <c r="B119" s="5" t="s">
        <v>1548</v>
      </c>
      <c r="C119" s="5" t="s">
        <v>1548</v>
      </c>
      <c r="D119" s="5"/>
      <c r="E119" s="5" t="s">
        <v>1549</v>
      </c>
      <c r="F119" s="408">
        <v>1000000</v>
      </c>
      <c r="G119" s="408"/>
      <c r="H119" s="8" t="s">
        <v>1550</v>
      </c>
      <c r="I119" s="1" t="s">
        <v>349</v>
      </c>
      <c r="J119" s="1" t="s">
        <v>350</v>
      </c>
      <c r="K119" s="1" t="s">
        <v>794</v>
      </c>
      <c r="L119" s="191"/>
      <c r="M119" s="1" t="s">
        <v>794</v>
      </c>
      <c r="N119" s="191"/>
      <c r="P119" s="1"/>
      <c r="Q119" t="s">
        <v>1345</v>
      </c>
    </row>
    <row r="120" spans="1:17" s="2" customFormat="1" ht="27.75" customHeight="1">
      <c r="A120" s="4">
        <v>117</v>
      </c>
      <c r="B120" s="5" t="s">
        <v>1548</v>
      </c>
      <c r="C120" s="5" t="s">
        <v>1548</v>
      </c>
      <c r="D120" s="5"/>
      <c r="E120" s="5" t="s">
        <v>1551</v>
      </c>
      <c r="F120" s="415">
        <v>1000000</v>
      </c>
      <c r="G120" s="408"/>
      <c r="H120" s="8" t="s">
        <v>1552</v>
      </c>
      <c r="I120" s="1" t="s">
        <v>351</v>
      </c>
      <c r="J120" s="1" t="s">
        <v>350</v>
      </c>
      <c r="K120" s="1" t="s">
        <v>794</v>
      </c>
      <c r="L120" s="191"/>
      <c r="M120" s="1" t="s">
        <v>794</v>
      </c>
      <c r="N120" s="191"/>
      <c r="P120" s="1"/>
      <c r="Q120" t="s">
        <v>1345</v>
      </c>
    </row>
    <row r="121" spans="1:17" s="2" customFormat="1" ht="27.75" customHeight="1">
      <c r="A121" s="4">
        <v>118</v>
      </c>
      <c r="B121" s="5" t="s">
        <v>1548</v>
      </c>
      <c r="C121" s="5" t="s">
        <v>1548</v>
      </c>
      <c r="D121" s="5"/>
      <c r="E121" s="5" t="s">
        <v>1553</v>
      </c>
      <c r="F121" s="415">
        <v>1000000</v>
      </c>
      <c r="G121" s="408"/>
      <c r="H121" s="6">
        <v>477044.5</v>
      </c>
      <c r="I121" s="1" t="s">
        <v>352</v>
      </c>
      <c r="J121" s="1" t="s">
        <v>350</v>
      </c>
      <c r="K121" s="1" t="s">
        <v>794</v>
      </c>
      <c r="L121" s="191"/>
      <c r="M121" s="1" t="s">
        <v>794</v>
      </c>
      <c r="N121" s="191"/>
      <c r="P121" s="1"/>
      <c r="Q121" t="s">
        <v>1345</v>
      </c>
    </row>
    <row r="122" spans="1:17" s="2" customFormat="1" ht="27.75" customHeight="1">
      <c r="A122" s="4">
        <v>119</v>
      </c>
      <c r="B122" s="5" t="s">
        <v>1548</v>
      </c>
      <c r="C122" s="5" t="s">
        <v>1548</v>
      </c>
      <c r="D122" s="5"/>
      <c r="E122" s="5" t="s">
        <v>1554</v>
      </c>
      <c r="F122" s="408"/>
      <c r="G122" s="409">
        <v>230000</v>
      </c>
      <c r="H122" s="6">
        <v>707044.5</v>
      </c>
      <c r="I122" s="1" t="s">
        <v>358</v>
      </c>
      <c r="J122" s="1" t="s">
        <v>92</v>
      </c>
      <c r="K122" s="1"/>
      <c r="L122" s="191"/>
      <c r="M122" s="1"/>
      <c r="N122" s="191" t="s">
        <v>3493</v>
      </c>
      <c r="P122" s="1"/>
      <c r="Q122" t="s">
        <v>4266</v>
      </c>
    </row>
    <row r="123" spans="1:17" s="2" customFormat="1" ht="27.75" customHeight="1">
      <c r="A123" s="4">
        <v>120</v>
      </c>
      <c r="B123" s="5" t="s">
        <v>1555</v>
      </c>
      <c r="C123" s="5" t="s">
        <v>1555</v>
      </c>
      <c r="D123" s="5"/>
      <c r="E123" s="5" t="s">
        <v>1556</v>
      </c>
      <c r="F123" s="408"/>
      <c r="G123" s="409">
        <v>25000</v>
      </c>
      <c r="H123" s="6">
        <v>732044.5</v>
      </c>
      <c r="I123" s="1" t="s">
        <v>93</v>
      </c>
      <c r="J123" s="1" t="s">
        <v>94</v>
      </c>
      <c r="K123" s="1"/>
      <c r="L123" s="191"/>
      <c r="M123" s="1"/>
      <c r="N123" s="191" t="s">
        <v>794</v>
      </c>
      <c r="P123" s="1"/>
      <c r="Q123" t="s">
        <v>4266</v>
      </c>
    </row>
    <row r="124" spans="1:17" s="17" customFormat="1" ht="27.75" customHeight="1">
      <c r="A124" s="4">
        <v>121</v>
      </c>
      <c r="B124" s="13" t="s">
        <v>1555</v>
      </c>
      <c r="C124" s="13" t="s">
        <v>1555</v>
      </c>
      <c r="D124" s="13"/>
      <c r="E124" s="13" t="s">
        <v>1557</v>
      </c>
      <c r="F124" s="411"/>
      <c r="G124" s="412">
        <v>51000</v>
      </c>
      <c r="H124" s="14">
        <v>783044.5</v>
      </c>
      <c r="I124" s="16" t="s">
        <v>359</v>
      </c>
      <c r="J124" s="16" t="s">
        <v>95</v>
      </c>
      <c r="K124" s="16" t="s">
        <v>794</v>
      </c>
      <c r="L124" s="193"/>
      <c r="M124" s="1" t="s">
        <v>794</v>
      </c>
      <c r="N124" s="191" t="s">
        <v>3494</v>
      </c>
      <c r="P124" s="16"/>
      <c r="Q124" t="s">
        <v>4266</v>
      </c>
    </row>
    <row r="125" spans="1:17" s="2" customFormat="1" ht="27.75" customHeight="1">
      <c r="A125" s="4">
        <v>122</v>
      </c>
      <c r="B125" s="5" t="s">
        <v>1555</v>
      </c>
      <c r="C125" s="5" t="s">
        <v>1555</v>
      </c>
      <c r="D125" s="5"/>
      <c r="E125" s="5" t="s">
        <v>1558</v>
      </c>
      <c r="F125" s="408"/>
      <c r="G125" s="409">
        <v>10000</v>
      </c>
      <c r="H125" s="6">
        <v>793044.5</v>
      </c>
      <c r="I125" s="1" t="s">
        <v>124</v>
      </c>
      <c r="J125" s="1" t="s">
        <v>96</v>
      </c>
      <c r="K125" s="1" t="s">
        <v>794</v>
      </c>
      <c r="L125" s="191"/>
      <c r="M125" s="1" t="s">
        <v>794</v>
      </c>
      <c r="N125" s="191" t="s">
        <v>794</v>
      </c>
      <c r="P125" s="1"/>
      <c r="Q125" t="s">
        <v>4266</v>
      </c>
    </row>
    <row r="126" spans="1:17" s="2" customFormat="1" ht="27.75" customHeight="1">
      <c r="A126" s="4">
        <v>123</v>
      </c>
      <c r="B126" s="5" t="s">
        <v>1559</v>
      </c>
      <c r="C126" s="5" t="s">
        <v>1559</v>
      </c>
      <c r="D126" s="5"/>
      <c r="E126" s="5" t="s">
        <v>1560</v>
      </c>
      <c r="F126" s="408"/>
      <c r="G126" s="409">
        <v>21000</v>
      </c>
      <c r="H126" s="9">
        <v>814044.5</v>
      </c>
      <c r="I126" s="1" t="s">
        <v>369</v>
      </c>
      <c r="J126" s="1" t="s">
        <v>97</v>
      </c>
      <c r="K126" s="1"/>
      <c r="L126" s="191"/>
      <c r="M126" s="1"/>
      <c r="N126" s="191" t="s">
        <v>794</v>
      </c>
      <c r="P126" s="1" t="s">
        <v>794</v>
      </c>
      <c r="Q126" t="s">
        <v>4266</v>
      </c>
    </row>
    <row r="127" spans="1:17" s="2" customFormat="1" ht="27.75" customHeight="1">
      <c r="A127" s="4">
        <v>124</v>
      </c>
      <c r="B127" s="5" t="s">
        <v>1559</v>
      </c>
      <c r="C127" s="5" t="s">
        <v>1559</v>
      </c>
      <c r="D127" s="5"/>
      <c r="E127" s="3" t="s">
        <v>896</v>
      </c>
      <c r="F127" s="408"/>
      <c r="G127" s="409">
        <v>794000</v>
      </c>
      <c r="H127" s="8" t="s">
        <v>1561</v>
      </c>
      <c r="I127" s="1" t="s">
        <v>377</v>
      </c>
      <c r="J127" s="1" t="s">
        <v>98</v>
      </c>
      <c r="K127" s="1"/>
      <c r="L127" s="191"/>
      <c r="M127" s="1"/>
      <c r="N127" s="191" t="s">
        <v>3495</v>
      </c>
      <c r="P127" s="1"/>
      <c r="Q127" t="s">
        <v>4266</v>
      </c>
    </row>
    <row r="128" spans="1:17" s="2" customFormat="1" ht="27.75" customHeight="1">
      <c r="A128" s="4">
        <v>125</v>
      </c>
      <c r="B128" s="5" t="s">
        <v>1559</v>
      </c>
      <c r="C128" s="5" t="s">
        <v>1559</v>
      </c>
      <c r="D128" s="5"/>
      <c r="E128" s="5" t="s">
        <v>1562</v>
      </c>
      <c r="F128" s="408"/>
      <c r="G128" s="409">
        <v>600000</v>
      </c>
      <c r="H128" s="8" t="s">
        <v>1563</v>
      </c>
      <c r="I128" s="1" t="s">
        <v>99</v>
      </c>
      <c r="J128" s="1" t="s">
        <v>697</v>
      </c>
      <c r="K128" s="1"/>
      <c r="L128" s="191"/>
      <c r="M128" s="1"/>
      <c r="N128" s="191" t="s">
        <v>794</v>
      </c>
      <c r="P128" s="1"/>
      <c r="Q128" t="s">
        <v>4267</v>
      </c>
    </row>
    <row r="129" spans="1:17" s="2" customFormat="1" ht="27.75" customHeight="1">
      <c r="A129" s="4">
        <v>126</v>
      </c>
      <c r="B129" s="5" t="s">
        <v>1564</v>
      </c>
      <c r="C129" s="5" t="s">
        <v>1564</v>
      </c>
      <c r="D129" s="5"/>
      <c r="E129" s="5" t="s">
        <v>1565</v>
      </c>
      <c r="F129" s="415">
        <v>1000000</v>
      </c>
      <c r="G129" s="408"/>
      <c r="H129" s="8" t="s">
        <v>1566</v>
      </c>
      <c r="I129" s="1" t="s">
        <v>352</v>
      </c>
      <c r="J129" s="1" t="s">
        <v>350</v>
      </c>
      <c r="K129" s="1" t="s">
        <v>794</v>
      </c>
      <c r="L129" s="191"/>
      <c r="M129" s="1" t="s">
        <v>794</v>
      </c>
      <c r="N129" s="191"/>
      <c r="P129" s="1"/>
      <c r="Q129" t="s">
        <v>1345</v>
      </c>
    </row>
    <row r="130" spans="1:17" s="17" customFormat="1" ht="27.75" customHeight="1">
      <c r="A130" s="4">
        <v>127</v>
      </c>
      <c r="B130" s="13" t="s">
        <v>1564</v>
      </c>
      <c r="C130" s="13" t="s">
        <v>1564</v>
      </c>
      <c r="D130" s="13"/>
      <c r="E130" s="13" t="s">
        <v>1567</v>
      </c>
      <c r="F130" s="411"/>
      <c r="G130" s="412">
        <v>50000</v>
      </c>
      <c r="H130" s="15" t="s">
        <v>1568</v>
      </c>
      <c r="I130" s="16" t="s">
        <v>100</v>
      </c>
      <c r="J130" s="16" t="s">
        <v>101</v>
      </c>
      <c r="K130" s="16" t="s">
        <v>823</v>
      </c>
      <c r="L130" s="193"/>
      <c r="M130" s="1" t="s">
        <v>823</v>
      </c>
      <c r="N130" s="191" t="s">
        <v>3496</v>
      </c>
      <c r="P130" s="16"/>
      <c r="Q130" t="s">
        <v>4266</v>
      </c>
    </row>
    <row r="131" spans="1:17" s="2" customFormat="1" ht="27.75" customHeight="1">
      <c r="A131" s="4">
        <v>128</v>
      </c>
      <c r="B131" s="5" t="s">
        <v>1564</v>
      </c>
      <c r="C131" s="5" t="s">
        <v>1564</v>
      </c>
      <c r="D131" s="5"/>
      <c r="E131" s="5" t="s">
        <v>1569</v>
      </c>
      <c r="F131" s="408"/>
      <c r="G131" s="409">
        <v>50000</v>
      </c>
      <c r="H131" s="8" t="s">
        <v>1570</v>
      </c>
      <c r="I131" s="1" t="s">
        <v>102</v>
      </c>
      <c r="J131" s="1" t="s">
        <v>103</v>
      </c>
      <c r="K131" s="1" t="s">
        <v>823</v>
      </c>
      <c r="L131" s="191"/>
      <c r="M131" s="1" t="s">
        <v>823</v>
      </c>
      <c r="N131" s="191" t="s">
        <v>794</v>
      </c>
      <c r="P131" s="1"/>
      <c r="Q131" t="s">
        <v>4266</v>
      </c>
    </row>
    <row r="132" spans="1:17" s="2" customFormat="1" ht="27.75" customHeight="1">
      <c r="A132" s="4">
        <v>129</v>
      </c>
      <c r="B132" s="5" t="s">
        <v>1564</v>
      </c>
      <c r="C132" s="5" t="s">
        <v>1564</v>
      </c>
      <c r="D132" s="5"/>
      <c r="E132" s="5" t="s">
        <v>1571</v>
      </c>
      <c r="F132" s="408"/>
      <c r="G132" s="409">
        <v>130000</v>
      </c>
      <c r="H132" s="8" t="s">
        <v>1572</v>
      </c>
      <c r="I132" s="1" t="s">
        <v>102</v>
      </c>
      <c r="J132" s="1" t="s">
        <v>90</v>
      </c>
      <c r="K132" s="1"/>
      <c r="L132" s="191"/>
      <c r="M132" s="1"/>
      <c r="N132" s="191" t="s">
        <v>830</v>
      </c>
      <c r="P132" s="1"/>
      <c r="Q132" t="s">
        <v>4266</v>
      </c>
    </row>
    <row r="133" spans="1:17" s="2" customFormat="1" ht="27.75" customHeight="1">
      <c r="A133" s="4">
        <v>130</v>
      </c>
      <c r="B133" s="5" t="s">
        <v>1564</v>
      </c>
      <c r="C133" s="5" t="s">
        <v>1564</v>
      </c>
      <c r="D133" s="5"/>
      <c r="E133" s="5" t="s">
        <v>1573</v>
      </c>
      <c r="F133" s="408"/>
      <c r="G133" s="409">
        <v>120000</v>
      </c>
      <c r="H133" s="8" t="s">
        <v>1574</v>
      </c>
      <c r="I133" s="1" t="s">
        <v>102</v>
      </c>
      <c r="J133" s="1" t="s">
        <v>91</v>
      </c>
      <c r="K133" s="1"/>
      <c r="L133" s="191"/>
      <c r="M133" s="1"/>
      <c r="N133" s="191" t="s">
        <v>830</v>
      </c>
      <c r="P133" s="1"/>
      <c r="Q133" t="s">
        <v>4266</v>
      </c>
    </row>
    <row r="134" spans="1:17" s="17" customFormat="1" ht="27.75" customHeight="1">
      <c r="A134" s="4">
        <v>131</v>
      </c>
      <c r="B134" s="13" t="s">
        <v>1564</v>
      </c>
      <c r="C134" s="13" t="s">
        <v>1564</v>
      </c>
      <c r="D134" s="13"/>
      <c r="E134" s="18" t="s">
        <v>304</v>
      </c>
      <c r="F134" s="408"/>
      <c r="G134" s="409">
        <v>50000</v>
      </c>
      <c r="H134" s="15" t="s">
        <v>1561</v>
      </c>
      <c r="I134" s="16" t="s">
        <v>104</v>
      </c>
      <c r="J134" s="16" t="s">
        <v>105</v>
      </c>
      <c r="K134" s="16" t="s">
        <v>794</v>
      </c>
      <c r="L134" s="193"/>
      <c r="M134" s="1" t="s">
        <v>794</v>
      </c>
      <c r="N134" s="191" t="s">
        <v>3497</v>
      </c>
      <c r="P134" s="16"/>
      <c r="Q134" t="s">
        <v>4266</v>
      </c>
    </row>
    <row r="135" spans="1:17" s="2" customFormat="1" ht="27.75" customHeight="1">
      <c r="A135" s="4">
        <v>132</v>
      </c>
      <c r="B135" s="5" t="s">
        <v>1564</v>
      </c>
      <c r="C135" s="5" t="s">
        <v>1564</v>
      </c>
      <c r="D135" s="5"/>
      <c r="E135" s="3" t="s">
        <v>305</v>
      </c>
      <c r="F135" s="409">
        <v>130000</v>
      </c>
      <c r="G135" s="408"/>
      <c r="H135" s="8" t="s">
        <v>1575</v>
      </c>
      <c r="I135" s="1" t="s">
        <v>102</v>
      </c>
      <c r="J135" s="1" t="s">
        <v>90</v>
      </c>
      <c r="K135" s="1"/>
      <c r="L135" s="191"/>
      <c r="M135" s="1"/>
      <c r="N135" s="191" t="s">
        <v>830</v>
      </c>
      <c r="P135" s="1"/>
      <c r="Q135" t="s">
        <v>4266</v>
      </c>
    </row>
    <row r="136" spans="1:17" s="2" customFormat="1" ht="27.75" customHeight="1">
      <c r="A136" s="4">
        <v>133</v>
      </c>
      <c r="B136" s="5" t="s">
        <v>1564</v>
      </c>
      <c r="C136" s="5" t="s">
        <v>1564</v>
      </c>
      <c r="D136" s="5"/>
      <c r="E136" s="3" t="s">
        <v>306</v>
      </c>
      <c r="F136" s="409">
        <v>120000</v>
      </c>
      <c r="G136" s="408"/>
      <c r="H136" s="8" t="s">
        <v>1576</v>
      </c>
      <c r="I136" s="1" t="s">
        <v>102</v>
      </c>
      <c r="J136" s="1" t="s">
        <v>91</v>
      </c>
      <c r="K136" s="1"/>
      <c r="L136" s="191"/>
      <c r="M136" s="1"/>
      <c r="N136" s="191" t="s">
        <v>830</v>
      </c>
      <c r="P136" s="1"/>
      <c r="Q136" t="s">
        <v>4266</v>
      </c>
    </row>
    <row r="137" spans="1:17" s="17" customFormat="1" ht="27.75" customHeight="1">
      <c r="A137" s="4">
        <v>134</v>
      </c>
      <c r="B137" s="13" t="s">
        <v>1577</v>
      </c>
      <c r="C137" s="13" t="s">
        <v>1577</v>
      </c>
      <c r="D137" s="13"/>
      <c r="E137" s="13" t="s">
        <v>1578</v>
      </c>
      <c r="F137" s="411"/>
      <c r="G137" s="412">
        <v>100000</v>
      </c>
      <c r="H137" s="15" t="s">
        <v>1579</v>
      </c>
      <c r="I137" s="16" t="s">
        <v>106</v>
      </c>
      <c r="J137" s="16" t="s">
        <v>101</v>
      </c>
      <c r="K137" s="16"/>
      <c r="L137" s="193"/>
      <c r="M137" s="1"/>
      <c r="N137" s="191" t="s">
        <v>3498</v>
      </c>
      <c r="P137" s="16"/>
      <c r="Q137" t="s">
        <v>4266</v>
      </c>
    </row>
    <row r="138" spans="1:17" s="17" customFormat="1" ht="27.75" customHeight="1">
      <c r="A138" s="4">
        <v>135</v>
      </c>
      <c r="B138" s="13" t="s">
        <v>1577</v>
      </c>
      <c r="C138" s="13" t="s">
        <v>1577</v>
      </c>
      <c r="D138" s="13"/>
      <c r="E138" s="13" t="s">
        <v>1580</v>
      </c>
      <c r="F138" s="411"/>
      <c r="G138" s="412">
        <v>150000</v>
      </c>
      <c r="H138" s="15" t="s">
        <v>1561</v>
      </c>
      <c r="I138" s="16" t="s">
        <v>100</v>
      </c>
      <c r="J138" s="16" t="s">
        <v>101</v>
      </c>
      <c r="K138" s="16" t="s">
        <v>823</v>
      </c>
      <c r="L138" s="193"/>
      <c r="M138" s="1" t="s">
        <v>823</v>
      </c>
      <c r="N138" s="191" t="s">
        <v>3496</v>
      </c>
      <c r="P138" s="16"/>
      <c r="Q138" t="s">
        <v>4266</v>
      </c>
    </row>
    <row r="139" spans="1:17" s="2" customFormat="1" ht="27.75" customHeight="1">
      <c r="A139" s="4">
        <v>136</v>
      </c>
      <c r="B139" s="5" t="s">
        <v>1581</v>
      </c>
      <c r="C139" s="5" t="s">
        <v>1582</v>
      </c>
      <c r="D139" s="5"/>
      <c r="E139" s="5" t="s">
        <v>1583</v>
      </c>
      <c r="F139" s="408"/>
      <c r="G139" s="409">
        <v>5000</v>
      </c>
      <c r="H139" s="8" t="s">
        <v>1584</v>
      </c>
      <c r="I139" s="1" t="s">
        <v>360</v>
      </c>
      <c r="J139" s="1" t="s">
        <v>107</v>
      </c>
      <c r="K139" s="1" t="s">
        <v>823</v>
      </c>
      <c r="L139" s="191"/>
      <c r="M139" s="1" t="s">
        <v>823</v>
      </c>
      <c r="N139" s="191" t="s">
        <v>794</v>
      </c>
      <c r="P139" s="1"/>
      <c r="Q139" t="s">
        <v>4266</v>
      </c>
    </row>
    <row r="140" spans="1:17" s="2" customFormat="1" ht="27.75" customHeight="1">
      <c r="A140" s="4">
        <v>137</v>
      </c>
      <c r="B140" s="5" t="s">
        <v>1582</v>
      </c>
      <c r="C140" s="5" t="s">
        <v>1582</v>
      </c>
      <c r="D140" s="5"/>
      <c r="E140" s="5" t="s">
        <v>1585</v>
      </c>
      <c r="F140" s="408"/>
      <c r="G140" s="409">
        <v>50000</v>
      </c>
      <c r="H140" s="8" t="s">
        <v>1586</v>
      </c>
      <c r="I140" s="1" t="s">
        <v>74</v>
      </c>
      <c r="J140" s="1" t="s">
        <v>65</v>
      </c>
      <c r="K140" s="1" t="s">
        <v>794</v>
      </c>
      <c r="L140" s="191"/>
      <c r="M140" s="1" t="s">
        <v>794</v>
      </c>
      <c r="N140" s="191" t="s">
        <v>3575</v>
      </c>
      <c r="P140" s="1" t="s">
        <v>794</v>
      </c>
      <c r="Q140" t="s">
        <v>4266</v>
      </c>
    </row>
    <row r="141" spans="1:17" s="2" customFormat="1" ht="27.75" customHeight="1">
      <c r="A141" s="4">
        <v>138</v>
      </c>
      <c r="B141" s="5" t="s">
        <v>1582</v>
      </c>
      <c r="C141" s="5" t="s">
        <v>1582</v>
      </c>
      <c r="D141" s="5"/>
      <c r="E141" s="5" t="s">
        <v>1587</v>
      </c>
      <c r="F141" s="408"/>
      <c r="G141" s="409">
        <v>100000</v>
      </c>
      <c r="H141" s="8" t="s">
        <v>1588</v>
      </c>
      <c r="I141" s="1" t="s">
        <v>108</v>
      </c>
      <c r="J141" s="1" t="s">
        <v>65</v>
      </c>
      <c r="K141" s="1" t="s">
        <v>810</v>
      </c>
      <c r="L141" s="191"/>
      <c r="M141" s="1" t="s">
        <v>810</v>
      </c>
      <c r="N141" s="191" t="s">
        <v>3575</v>
      </c>
      <c r="P141" s="1"/>
      <c r="Q141" t="s">
        <v>4266</v>
      </c>
    </row>
    <row r="142" spans="1:17" s="2" customFormat="1" ht="27.75" customHeight="1">
      <c r="A142" s="4">
        <v>139</v>
      </c>
      <c r="B142" s="5" t="s">
        <v>1582</v>
      </c>
      <c r="C142" s="5" t="s">
        <v>1582</v>
      </c>
      <c r="D142" s="5"/>
      <c r="E142" s="3" t="s">
        <v>307</v>
      </c>
      <c r="F142" s="408"/>
      <c r="G142" s="409">
        <v>150000</v>
      </c>
      <c r="H142" s="8" t="s">
        <v>1589</v>
      </c>
      <c r="I142" s="1" t="s">
        <v>109</v>
      </c>
      <c r="J142" s="1" t="s">
        <v>94</v>
      </c>
      <c r="K142" s="1" t="s">
        <v>823</v>
      </c>
      <c r="L142" s="191" t="s">
        <v>864</v>
      </c>
      <c r="M142" s="1" t="s">
        <v>823</v>
      </c>
      <c r="N142" s="191" t="s">
        <v>794</v>
      </c>
      <c r="P142" s="1"/>
      <c r="Q142" t="s">
        <v>4266</v>
      </c>
    </row>
    <row r="143" spans="1:17" s="17" customFormat="1" ht="27.75" customHeight="1">
      <c r="A143" s="4">
        <v>140</v>
      </c>
      <c r="B143" s="13" t="s">
        <v>1582</v>
      </c>
      <c r="C143" s="13" t="s">
        <v>1582</v>
      </c>
      <c r="D143" s="13"/>
      <c r="E143" s="13" t="s">
        <v>1590</v>
      </c>
      <c r="F143" s="411"/>
      <c r="G143" s="412">
        <v>300000</v>
      </c>
      <c r="H143" s="15" t="s">
        <v>1591</v>
      </c>
      <c r="I143" s="16" t="s">
        <v>69</v>
      </c>
      <c r="J143" s="16" t="s">
        <v>70</v>
      </c>
      <c r="K143" s="16"/>
      <c r="L143" s="193"/>
      <c r="M143" s="1"/>
      <c r="N143" s="191" t="s">
        <v>3499</v>
      </c>
      <c r="P143" s="16"/>
      <c r="Q143" t="s">
        <v>4266</v>
      </c>
    </row>
    <row r="144" spans="1:17" s="2" customFormat="1" ht="27.75" customHeight="1">
      <c r="A144" s="4">
        <v>141</v>
      </c>
      <c r="B144" s="5" t="s">
        <v>1592</v>
      </c>
      <c r="C144" s="5" t="s">
        <v>1592</v>
      </c>
      <c r="D144" s="5"/>
      <c r="E144" s="3" t="s">
        <v>3685</v>
      </c>
      <c r="F144" s="408"/>
      <c r="G144" s="409">
        <v>130000</v>
      </c>
      <c r="H144" s="8" t="s">
        <v>1593</v>
      </c>
      <c r="I144" s="1" t="s">
        <v>102</v>
      </c>
      <c r="J144" s="1" t="s">
        <v>90</v>
      </c>
      <c r="K144" s="1"/>
      <c r="L144" s="191"/>
      <c r="M144" s="1"/>
      <c r="N144" s="191" t="s">
        <v>794</v>
      </c>
      <c r="P144" s="1"/>
      <c r="Q144" t="s">
        <v>4266</v>
      </c>
    </row>
    <row r="145" spans="1:17" s="2" customFormat="1" ht="27.75" customHeight="1">
      <c r="A145" s="4">
        <v>142</v>
      </c>
      <c r="B145" s="5" t="s">
        <v>1592</v>
      </c>
      <c r="C145" s="5" t="s">
        <v>1592</v>
      </c>
      <c r="D145" s="5"/>
      <c r="E145" s="5" t="s">
        <v>1594</v>
      </c>
      <c r="F145" s="408"/>
      <c r="G145" s="409">
        <v>120000</v>
      </c>
      <c r="H145" s="8" t="s">
        <v>1595</v>
      </c>
      <c r="I145" s="1" t="s">
        <v>102</v>
      </c>
      <c r="J145" s="1" t="s">
        <v>91</v>
      </c>
      <c r="K145" s="1"/>
      <c r="L145" s="191"/>
      <c r="M145" s="1"/>
      <c r="N145" s="191" t="s">
        <v>794</v>
      </c>
      <c r="P145" s="1"/>
      <c r="Q145" t="s">
        <v>4266</v>
      </c>
    </row>
    <row r="146" spans="1:17" s="17" customFormat="1" ht="27.75" customHeight="1">
      <c r="A146" s="4">
        <v>143</v>
      </c>
      <c r="B146" s="13" t="s">
        <v>1596</v>
      </c>
      <c r="C146" s="13" t="s">
        <v>1596</v>
      </c>
      <c r="D146" s="13"/>
      <c r="E146" s="13" t="s">
        <v>1597</v>
      </c>
      <c r="F146" s="411"/>
      <c r="G146" s="412">
        <v>100000</v>
      </c>
      <c r="H146" s="15" t="s">
        <v>1598</v>
      </c>
      <c r="I146" s="16" t="s">
        <v>110</v>
      </c>
      <c r="J146" s="16" t="s">
        <v>54</v>
      </c>
      <c r="K146" s="16"/>
      <c r="L146" s="193"/>
      <c r="M146" s="1"/>
      <c r="N146" s="191" t="s">
        <v>3488</v>
      </c>
      <c r="P146" s="16"/>
      <c r="Q146" t="s">
        <v>4266</v>
      </c>
    </row>
    <row r="147" spans="1:17" s="2" customFormat="1" ht="27.75" customHeight="1">
      <c r="A147" s="4">
        <v>144</v>
      </c>
      <c r="B147" s="5" t="s">
        <v>1596</v>
      </c>
      <c r="C147" s="5" t="s">
        <v>1596</v>
      </c>
      <c r="D147" s="5"/>
      <c r="E147" s="5" t="s">
        <v>1599</v>
      </c>
      <c r="F147" s="408"/>
      <c r="G147" s="409">
        <v>34000</v>
      </c>
      <c r="H147" s="8" t="s">
        <v>1600</v>
      </c>
      <c r="I147" s="1" t="s">
        <v>111</v>
      </c>
      <c r="J147" s="1" t="s">
        <v>697</v>
      </c>
      <c r="K147" s="1"/>
      <c r="L147" s="191"/>
      <c r="M147" s="1"/>
      <c r="N147" s="191" t="s">
        <v>3523</v>
      </c>
      <c r="P147" s="1"/>
      <c r="Q147" t="s">
        <v>4274</v>
      </c>
    </row>
    <row r="148" spans="1:17" s="2" customFormat="1" ht="27.75" customHeight="1">
      <c r="A148" s="4">
        <v>145</v>
      </c>
      <c r="B148" s="5" t="s">
        <v>1601</v>
      </c>
      <c r="C148" s="5" t="s">
        <v>1601</v>
      </c>
      <c r="D148" s="5"/>
      <c r="E148" s="5" t="s">
        <v>1602</v>
      </c>
      <c r="F148" s="408"/>
      <c r="G148" s="409">
        <v>1</v>
      </c>
      <c r="H148" s="8" t="s">
        <v>1603</v>
      </c>
      <c r="I148" s="1" t="s">
        <v>378</v>
      </c>
      <c r="J148" s="1" t="s">
        <v>112</v>
      </c>
      <c r="K148" s="1" t="s">
        <v>823</v>
      </c>
      <c r="L148" s="191"/>
      <c r="M148" s="1" t="s">
        <v>823</v>
      </c>
      <c r="N148" s="191" t="s">
        <v>3500</v>
      </c>
      <c r="P148" s="1" t="s">
        <v>3865</v>
      </c>
      <c r="Q148" t="s">
        <v>4266</v>
      </c>
    </row>
    <row r="149" spans="1:17" s="2" customFormat="1" ht="27.75" customHeight="1">
      <c r="A149" s="4">
        <v>146</v>
      </c>
      <c r="B149" s="5" t="s">
        <v>1601</v>
      </c>
      <c r="C149" s="5" t="s">
        <v>1601</v>
      </c>
      <c r="D149" s="5"/>
      <c r="E149" s="5" t="s">
        <v>1604</v>
      </c>
      <c r="F149" s="408"/>
      <c r="G149" s="409">
        <v>95000</v>
      </c>
      <c r="H149" s="8" t="s">
        <v>1605</v>
      </c>
      <c r="I149" s="1" t="s">
        <v>378</v>
      </c>
      <c r="J149" s="1" t="s">
        <v>112</v>
      </c>
      <c r="K149" s="1" t="s">
        <v>794</v>
      </c>
      <c r="L149" s="191"/>
      <c r="M149" s="1" t="s">
        <v>794</v>
      </c>
      <c r="N149" s="191" t="s">
        <v>3500</v>
      </c>
      <c r="P149" s="1" t="s">
        <v>3865</v>
      </c>
      <c r="Q149" t="s">
        <v>4266</v>
      </c>
    </row>
    <row r="150" spans="1:17" s="17" customFormat="1" ht="27.75" customHeight="1">
      <c r="A150" s="4">
        <v>147</v>
      </c>
      <c r="B150" s="13" t="s">
        <v>1601</v>
      </c>
      <c r="C150" s="13" t="s">
        <v>1601</v>
      </c>
      <c r="D150" s="13"/>
      <c r="E150" s="13" t="s">
        <v>1606</v>
      </c>
      <c r="F150" s="411"/>
      <c r="G150" s="412">
        <v>20000</v>
      </c>
      <c r="H150" s="15" t="s">
        <v>1607</v>
      </c>
      <c r="I150" s="16" t="s">
        <v>129</v>
      </c>
      <c r="J150" s="16" t="s">
        <v>113</v>
      </c>
      <c r="K150" s="16" t="s">
        <v>843</v>
      </c>
      <c r="L150" s="193"/>
      <c r="M150" s="1" t="s">
        <v>843</v>
      </c>
      <c r="N150" s="191" t="s">
        <v>794</v>
      </c>
      <c r="P150" s="16"/>
      <c r="Q150" t="s">
        <v>4266</v>
      </c>
    </row>
    <row r="151" spans="1:17" s="17" customFormat="1" ht="27.75" customHeight="1">
      <c r="A151" s="4">
        <v>148</v>
      </c>
      <c r="B151" s="13" t="s">
        <v>1601</v>
      </c>
      <c r="C151" s="13" t="s">
        <v>1601</v>
      </c>
      <c r="D151" s="13"/>
      <c r="E151" s="13" t="s">
        <v>1608</v>
      </c>
      <c r="F151" s="411"/>
      <c r="G151" s="412">
        <v>129500</v>
      </c>
      <c r="H151" s="15" t="s">
        <v>1609</v>
      </c>
      <c r="I151" s="16" t="s">
        <v>100</v>
      </c>
      <c r="J151" s="16" t="s">
        <v>114</v>
      </c>
      <c r="K151" s="16"/>
      <c r="L151" s="193"/>
      <c r="M151" s="1"/>
      <c r="N151" s="191" t="s">
        <v>3501</v>
      </c>
      <c r="P151" s="16"/>
      <c r="Q151" t="s">
        <v>4266</v>
      </c>
    </row>
    <row r="152" spans="1:17" s="17" customFormat="1" ht="27.75" customHeight="1">
      <c r="A152" s="4">
        <v>149</v>
      </c>
      <c r="B152" s="13" t="s">
        <v>1601</v>
      </c>
      <c r="C152" s="13" t="s">
        <v>1601</v>
      </c>
      <c r="D152" s="13"/>
      <c r="E152" s="13" t="s">
        <v>1610</v>
      </c>
      <c r="F152" s="411"/>
      <c r="G152" s="412">
        <v>229500</v>
      </c>
      <c r="H152" s="15" t="s">
        <v>1611</v>
      </c>
      <c r="I152" s="16" t="s">
        <v>106</v>
      </c>
      <c r="J152" s="16" t="s">
        <v>114</v>
      </c>
      <c r="K152" s="16"/>
      <c r="L152" s="193"/>
      <c r="M152" s="1"/>
      <c r="N152" s="191" t="s">
        <v>3502</v>
      </c>
      <c r="P152" s="16"/>
      <c r="Q152" t="s">
        <v>4266</v>
      </c>
    </row>
    <row r="153" spans="1:17" s="17" customFormat="1" ht="27.75" customHeight="1">
      <c r="A153" s="4">
        <v>150</v>
      </c>
      <c r="B153" s="13" t="s">
        <v>1601</v>
      </c>
      <c r="C153" s="13" t="s">
        <v>1601</v>
      </c>
      <c r="D153" s="13"/>
      <c r="E153" s="13" t="s">
        <v>1612</v>
      </c>
      <c r="F153" s="411"/>
      <c r="G153" s="412">
        <v>10000</v>
      </c>
      <c r="H153" s="15" t="s">
        <v>1613</v>
      </c>
      <c r="I153" s="16" t="s">
        <v>370</v>
      </c>
      <c r="J153" s="16" t="s">
        <v>114</v>
      </c>
      <c r="K153" s="16"/>
      <c r="L153" s="193"/>
      <c r="M153" s="1"/>
      <c r="N153" s="191" t="s">
        <v>794</v>
      </c>
      <c r="P153" s="16" t="s">
        <v>3845</v>
      </c>
      <c r="Q153" t="s">
        <v>4266</v>
      </c>
    </row>
    <row r="154" spans="1:17" s="2" customFormat="1" ht="27.75" customHeight="1">
      <c r="A154" s="4">
        <v>151</v>
      </c>
      <c r="B154" s="5" t="s">
        <v>1614</v>
      </c>
      <c r="C154" s="5" t="s">
        <v>1614</v>
      </c>
      <c r="D154" s="5"/>
      <c r="E154" s="5" t="s">
        <v>1615</v>
      </c>
      <c r="F154" s="408"/>
      <c r="G154" s="409">
        <v>1</v>
      </c>
      <c r="H154" s="8" t="s">
        <v>1616</v>
      </c>
      <c r="I154" s="1" t="s">
        <v>371</v>
      </c>
      <c r="J154" s="1" t="s">
        <v>697</v>
      </c>
      <c r="K154" s="1"/>
      <c r="L154" s="191"/>
      <c r="M154" s="1"/>
      <c r="N154" s="191" t="s">
        <v>794</v>
      </c>
      <c r="P154" s="1"/>
      <c r="Q154" t="s">
        <v>4275</v>
      </c>
    </row>
    <row r="155" spans="1:17" s="2" customFormat="1" ht="27.75" customHeight="1">
      <c r="A155" s="4">
        <v>152</v>
      </c>
      <c r="B155" s="5" t="s">
        <v>1614</v>
      </c>
      <c r="C155" s="5" t="s">
        <v>1614</v>
      </c>
      <c r="D155" s="5"/>
      <c r="E155" s="5" t="s">
        <v>1617</v>
      </c>
      <c r="F155" s="408"/>
      <c r="G155" s="409">
        <v>95000</v>
      </c>
      <c r="H155" s="8" t="s">
        <v>1618</v>
      </c>
      <c r="I155" s="1" t="s">
        <v>378</v>
      </c>
      <c r="J155" s="1" t="s">
        <v>112</v>
      </c>
      <c r="K155" s="1"/>
      <c r="L155" s="191"/>
      <c r="M155" s="1"/>
      <c r="N155" s="191" t="s">
        <v>3500</v>
      </c>
      <c r="P155" s="1" t="s">
        <v>3865</v>
      </c>
      <c r="Q155" t="s">
        <v>4266</v>
      </c>
    </row>
    <row r="156" spans="1:17" s="2" customFormat="1" ht="27.75" customHeight="1">
      <c r="A156" s="4">
        <v>153</v>
      </c>
      <c r="B156" s="5" t="s">
        <v>1614</v>
      </c>
      <c r="C156" s="5" t="s">
        <v>1614</v>
      </c>
      <c r="D156" s="5"/>
      <c r="E156" s="5" t="s">
        <v>1619</v>
      </c>
      <c r="F156" s="408"/>
      <c r="G156" s="409">
        <v>5000</v>
      </c>
      <c r="H156" s="8" t="s">
        <v>1620</v>
      </c>
      <c r="I156" s="1" t="s">
        <v>320</v>
      </c>
      <c r="J156" s="1" t="s">
        <v>115</v>
      </c>
      <c r="K156" s="1" t="s">
        <v>810</v>
      </c>
      <c r="L156" s="191"/>
      <c r="M156" s="1" t="s">
        <v>810</v>
      </c>
      <c r="N156" s="191" t="s">
        <v>794</v>
      </c>
      <c r="P156" s="1"/>
      <c r="Q156" t="s">
        <v>4266</v>
      </c>
    </row>
    <row r="157" spans="1:17" s="2" customFormat="1" ht="27.75" customHeight="1">
      <c r="A157" s="4">
        <v>154</v>
      </c>
      <c r="B157" s="5" t="s">
        <v>1614</v>
      </c>
      <c r="C157" s="5" t="s">
        <v>1614</v>
      </c>
      <c r="D157" s="5"/>
      <c r="E157" s="5" t="s">
        <v>1621</v>
      </c>
      <c r="F157" s="408"/>
      <c r="G157" s="409">
        <v>10000</v>
      </c>
      <c r="H157" s="8" t="s">
        <v>1622</v>
      </c>
      <c r="I157" s="1" t="s">
        <v>116</v>
      </c>
      <c r="J157" s="1" t="s">
        <v>117</v>
      </c>
      <c r="K157" s="1" t="s">
        <v>823</v>
      </c>
      <c r="L157" s="191"/>
      <c r="M157" s="1" t="s">
        <v>823</v>
      </c>
      <c r="N157" s="191" t="s">
        <v>794</v>
      </c>
      <c r="P157" s="1"/>
      <c r="Q157" t="s">
        <v>4266</v>
      </c>
    </row>
    <row r="158" spans="1:17" s="2" customFormat="1" ht="27.75" customHeight="1">
      <c r="A158" s="4">
        <v>155</v>
      </c>
      <c r="B158" s="5" t="s">
        <v>1614</v>
      </c>
      <c r="C158" s="5" t="s">
        <v>1614</v>
      </c>
      <c r="D158" s="5"/>
      <c r="E158" s="5" t="s">
        <v>1623</v>
      </c>
      <c r="F158" s="408"/>
      <c r="G158" s="409">
        <v>25000</v>
      </c>
      <c r="H158" s="8" t="s">
        <v>1624</v>
      </c>
      <c r="I158" s="1" t="s">
        <v>118</v>
      </c>
      <c r="J158" s="1" t="s">
        <v>117</v>
      </c>
      <c r="K158" s="1" t="s">
        <v>794</v>
      </c>
      <c r="L158" s="191"/>
      <c r="M158" s="1" t="s">
        <v>794</v>
      </c>
      <c r="N158" s="191" t="s">
        <v>794</v>
      </c>
      <c r="P158" s="1"/>
      <c r="Q158" t="s">
        <v>4266</v>
      </c>
    </row>
    <row r="159" spans="1:17" s="2" customFormat="1" ht="27.75" customHeight="1">
      <c r="A159" s="4">
        <v>156</v>
      </c>
      <c r="B159" s="5" t="s">
        <v>1614</v>
      </c>
      <c r="C159" s="5" t="s">
        <v>1614</v>
      </c>
      <c r="D159" s="5"/>
      <c r="E159" s="5" t="s">
        <v>1625</v>
      </c>
      <c r="F159" s="408"/>
      <c r="G159" s="409">
        <v>50000</v>
      </c>
      <c r="H159" s="8" t="s">
        <v>1626</v>
      </c>
      <c r="I159" s="1" t="s">
        <v>371</v>
      </c>
      <c r="J159" s="1" t="s">
        <v>697</v>
      </c>
      <c r="K159" s="1"/>
      <c r="L159" s="191"/>
      <c r="M159" s="1"/>
      <c r="N159" s="191" t="s">
        <v>794</v>
      </c>
      <c r="P159" s="1"/>
      <c r="Q159" t="s">
        <v>4275</v>
      </c>
    </row>
    <row r="160" spans="1:17" s="2" customFormat="1" ht="27.75" customHeight="1">
      <c r="A160" s="4">
        <v>157</v>
      </c>
      <c r="B160" s="5" t="s">
        <v>1614</v>
      </c>
      <c r="C160" s="5" t="s">
        <v>1614</v>
      </c>
      <c r="D160" s="5"/>
      <c r="E160" s="5" t="s">
        <v>1627</v>
      </c>
      <c r="F160" s="408"/>
      <c r="G160" s="409">
        <v>165000</v>
      </c>
      <c r="H160" s="8" t="s">
        <v>1628</v>
      </c>
      <c r="I160" s="1" t="s">
        <v>116</v>
      </c>
      <c r="J160" s="1" t="s">
        <v>117</v>
      </c>
      <c r="K160" s="1" t="s">
        <v>823</v>
      </c>
      <c r="L160" s="191" t="s">
        <v>1273</v>
      </c>
      <c r="M160" s="1" t="s">
        <v>823</v>
      </c>
      <c r="N160" s="191" t="s">
        <v>794</v>
      </c>
      <c r="P160" s="1"/>
      <c r="Q160" t="s">
        <v>4266</v>
      </c>
    </row>
    <row r="161" spans="1:17" s="2" customFormat="1" ht="27.75" customHeight="1">
      <c r="A161" s="4">
        <v>158</v>
      </c>
      <c r="B161" s="5" t="s">
        <v>1614</v>
      </c>
      <c r="C161" s="5" t="s">
        <v>1614</v>
      </c>
      <c r="D161" s="5"/>
      <c r="E161" s="5" t="s">
        <v>1629</v>
      </c>
      <c r="F161" s="409">
        <v>10000</v>
      </c>
      <c r="G161" s="408"/>
      <c r="H161" s="8" t="s">
        <v>1630</v>
      </c>
      <c r="I161" s="1" t="s">
        <v>119</v>
      </c>
      <c r="J161" s="1" t="s">
        <v>84</v>
      </c>
      <c r="K161" s="1" t="s">
        <v>794</v>
      </c>
      <c r="L161" s="191"/>
      <c r="M161" s="1" t="s">
        <v>794</v>
      </c>
      <c r="N161" s="191" t="s">
        <v>832</v>
      </c>
      <c r="P161" s="1"/>
      <c r="Q161" t="s">
        <v>4266</v>
      </c>
    </row>
    <row r="162" spans="1:17" s="2" customFormat="1" ht="27.75" customHeight="1">
      <c r="A162" s="4">
        <v>159</v>
      </c>
      <c r="B162" s="5" t="s">
        <v>1614</v>
      </c>
      <c r="C162" s="5" t="s">
        <v>1614</v>
      </c>
      <c r="D162" s="5"/>
      <c r="E162" s="5" t="s">
        <v>1631</v>
      </c>
      <c r="F162" s="408"/>
      <c r="G162" s="409">
        <v>100000</v>
      </c>
      <c r="H162" s="8" t="s">
        <v>1632</v>
      </c>
      <c r="I162" s="1" t="s">
        <v>372</v>
      </c>
      <c r="J162" s="1" t="s">
        <v>117</v>
      </c>
      <c r="K162" s="1" t="s">
        <v>823</v>
      </c>
      <c r="L162" s="191"/>
      <c r="M162" s="1" t="s">
        <v>823</v>
      </c>
      <c r="N162" s="191" t="s">
        <v>794</v>
      </c>
      <c r="P162" s="1"/>
      <c r="Q162" t="s">
        <v>4266</v>
      </c>
    </row>
    <row r="163" spans="1:17" s="17" customFormat="1" ht="27.75" customHeight="1">
      <c r="A163" s="4">
        <v>160</v>
      </c>
      <c r="B163" s="13" t="s">
        <v>1614</v>
      </c>
      <c r="C163" s="13" t="s">
        <v>1614</v>
      </c>
      <c r="D163" s="13"/>
      <c r="E163" s="13" t="s">
        <v>1633</v>
      </c>
      <c r="F163" s="412">
        <v>10000</v>
      </c>
      <c r="G163" s="411"/>
      <c r="H163" s="15" t="s">
        <v>1634</v>
      </c>
      <c r="I163" s="16" t="s">
        <v>370</v>
      </c>
      <c r="J163" s="16" t="s">
        <v>760</v>
      </c>
      <c r="K163" s="16" t="s">
        <v>794</v>
      </c>
      <c r="L163" s="193"/>
      <c r="M163" s="1" t="s">
        <v>794</v>
      </c>
      <c r="N163" s="191" t="s">
        <v>794</v>
      </c>
      <c r="P163" s="16" t="s">
        <v>3846</v>
      </c>
      <c r="Q163" t="s">
        <v>4266</v>
      </c>
    </row>
    <row r="164" spans="1:17" s="2" customFormat="1" ht="27.75" customHeight="1">
      <c r="A164" s="4">
        <v>161</v>
      </c>
      <c r="B164" s="5" t="s">
        <v>1635</v>
      </c>
      <c r="C164" s="5" t="s">
        <v>1635</v>
      </c>
      <c r="D164" s="5"/>
      <c r="E164" s="5" t="s">
        <v>1636</v>
      </c>
      <c r="F164" s="408"/>
      <c r="G164" s="409">
        <v>100000</v>
      </c>
      <c r="H164" s="8" t="s">
        <v>1637</v>
      </c>
      <c r="I164" s="1" t="s">
        <v>118</v>
      </c>
      <c r="J164" s="1" t="s">
        <v>117</v>
      </c>
      <c r="K164" s="1" t="s">
        <v>794</v>
      </c>
      <c r="L164" s="191"/>
      <c r="M164" s="1" t="s">
        <v>794</v>
      </c>
      <c r="N164" s="191" t="s">
        <v>794</v>
      </c>
      <c r="P164" s="1"/>
      <c r="Q164" t="s">
        <v>4266</v>
      </c>
    </row>
    <row r="165" spans="1:17" s="2" customFormat="1" ht="27.75" customHeight="1">
      <c r="A165" s="4">
        <v>162</v>
      </c>
      <c r="B165" s="5" t="s">
        <v>1635</v>
      </c>
      <c r="C165" s="5" t="s">
        <v>1635</v>
      </c>
      <c r="D165" s="5"/>
      <c r="E165" s="5" t="s">
        <v>1638</v>
      </c>
      <c r="F165" s="408"/>
      <c r="G165" s="409">
        <v>100000</v>
      </c>
      <c r="H165" s="8" t="s">
        <v>1639</v>
      </c>
      <c r="I165" s="1" t="s">
        <v>372</v>
      </c>
      <c r="J165" s="1" t="s">
        <v>117</v>
      </c>
      <c r="K165" s="1" t="s">
        <v>794</v>
      </c>
      <c r="L165" s="191"/>
      <c r="M165" s="1" t="s">
        <v>794</v>
      </c>
      <c r="N165" s="191" t="s">
        <v>794</v>
      </c>
      <c r="P165" s="1"/>
      <c r="Q165" t="s">
        <v>4266</v>
      </c>
    </row>
    <row r="166" spans="1:17" s="2" customFormat="1" ht="27.75" customHeight="1">
      <c r="A166" s="4">
        <v>163</v>
      </c>
      <c r="B166" s="5" t="s">
        <v>1635</v>
      </c>
      <c r="C166" s="5" t="s">
        <v>1635</v>
      </c>
      <c r="D166" s="5"/>
      <c r="E166" s="5" t="s">
        <v>1640</v>
      </c>
      <c r="F166" s="408"/>
      <c r="G166" s="409">
        <v>1</v>
      </c>
      <c r="H166" s="8" t="s">
        <v>1641</v>
      </c>
      <c r="I166" s="1" t="s">
        <v>121</v>
      </c>
      <c r="J166" s="1" t="s">
        <v>150</v>
      </c>
      <c r="K166" s="1"/>
      <c r="L166" s="191"/>
      <c r="M166" s="1"/>
      <c r="N166" s="191" t="s">
        <v>794</v>
      </c>
      <c r="P166" s="1" t="s">
        <v>3894</v>
      </c>
      <c r="Q166" t="s">
        <v>4266</v>
      </c>
    </row>
    <row r="167" spans="1:17" s="2" customFormat="1" ht="27.75" customHeight="1">
      <c r="A167" s="4">
        <v>164</v>
      </c>
      <c r="B167" s="5" t="s">
        <v>1635</v>
      </c>
      <c r="C167" s="5" t="s">
        <v>1635</v>
      </c>
      <c r="D167" s="5"/>
      <c r="E167" s="5" t="s">
        <v>1642</v>
      </c>
      <c r="F167" s="408"/>
      <c r="G167" s="409">
        <v>99999</v>
      </c>
      <c r="H167" s="8" t="s">
        <v>1643</v>
      </c>
      <c r="I167" s="1" t="s">
        <v>121</v>
      </c>
      <c r="J167" s="1" t="s">
        <v>150</v>
      </c>
      <c r="K167" s="1"/>
      <c r="L167" s="191"/>
      <c r="M167" s="1"/>
      <c r="N167" s="191" t="s">
        <v>794</v>
      </c>
      <c r="P167" s="1" t="s">
        <v>3894</v>
      </c>
      <c r="Q167" t="s">
        <v>4266</v>
      </c>
    </row>
    <row r="168" spans="1:17" s="2" customFormat="1" ht="27.75" customHeight="1">
      <c r="A168" s="4">
        <v>165</v>
      </c>
      <c r="B168" s="5" t="s">
        <v>1635</v>
      </c>
      <c r="C168" s="5" t="s">
        <v>1635</v>
      </c>
      <c r="D168" s="5"/>
      <c r="E168" s="5" t="s">
        <v>1644</v>
      </c>
      <c r="F168" s="408"/>
      <c r="G168" s="409">
        <v>50000</v>
      </c>
      <c r="H168" s="8" t="s">
        <v>1645</v>
      </c>
      <c r="I168" s="1" t="s">
        <v>371</v>
      </c>
      <c r="J168" s="1" t="s">
        <v>697</v>
      </c>
      <c r="K168" s="1"/>
      <c r="L168" s="191"/>
      <c r="M168" s="1"/>
      <c r="N168" s="191" t="s">
        <v>794</v>
      </c>
      <c r="P168" s="1"/>
      <c r="Q168" t="s">
        <v>4275</v>
      </c>
    </row>
    <row r="169" spans="1:17" s="2" customFormat="1" ht="27.75" customHeight="1">
      <c r="A169" s="4">
        <v>166</v>
      </c>
      <c r="B169" s="5" t="s">
        <v>1635</v>
      </c>
      <c r="C169" s="5" t="s">
        <v>1635</v>
      </c>
      <c r="D169" s="5"/>
      <c r="E169" s="5" t="s">
        <v>1646</v>
      </c>
      <c r="F169" s="408"/>
      <c r="G169" s="409">
        <v>10000</v>
      </c>
      <c r="H169" s="8" t="s">
        <v>1647</v>
      </c>
      <c r="I169" s="1" t="s">
        <v>378</v>
      </c>
      <c r="J169" s="1" t="s">
        <v>112</v>
      </c>
      <c r="K169" s="1"/>
      <c r="L169" s="191"/>
      <c r="M169" s="1"/>
      <c r="N169" s="191" t="s">
        <v>3500</v>
      </c>
      <c r="P169" s="1" t="s">
        <v>3865</v>
      </c>
      <c r="Q169" t="s">
        <v>4266</v>
      </c>
    </row>
    <row r="170" spans="1:17" s="2" customFormat="1" ht="27.75" customHeight="1">
      <c r="A170" s="4">
        <v>167</v>
      </c>
      <c r="B170" s="5" t="s">
        <v>1635</v>
      </c>
      <c r="C170" s="5" t="s">
        <v>1635</v>
      </c>
      <c r="D170" s="5"/>
      <c r="E170" s="5" t="s">
        <v>1648</v>
      </c>
      <c r="F170" s="408"/>
      <c r="G170" s="409">
        <v>40000</v>
      </c>
      <c r="H170" s="8" t="s">
        <v>1649</v>
      </c>
      <c r="I170" s="1" t="s">
        <v>371</v>
      </c>
      <c r="J170" s="1" t="s">
        <v>697</v>
      </c>
      <c r="K170" s="1"/>
      <c r="L170" s="191"/>
      <c r="M170" s="1"/>
      <c r="N170" s="191" t="s">
        <v>794</v>
      </c>
      <c r="P170" s="1"/>
      <c r="Q170" t="s">
        <v>4275</v>
      </c>
    </row>
    <row r="171" spans="1:17" s="17" customFormat="1" ht="27.75" customHeight="1">
      <c r="A171" s="4">
        <v>168</v>
      </c>
      <c r="B171" s="13" t="s">
        <v>1650</v>
      </c>
      <c r="C171" s="13" t="s">
        <v>1650</v>
      </c>
      <c r="D171" s="13"/>
      <c r="E171" s="13" t="s">
        <v>1651</v>
      </c>
      <c r="F171" s="411"/>
      <c r="G171" s="412">
        <v>10000</v>
      </c>
      <c r="H171" s="15" t="s">
        <v>1652</v>
      </c>
      <c r="I171" s="16" t="s">
        <v>63</v>
      </c>
      <c r="J171" s="16" t="s">
        <v>123</v>
      </c>
      <c r="K171" s="16" t="s">
        <v>794</v>
      </c>
      <c r="L171" s="193"/>
      <c r="M171" s="1" t="s">
        <v>794</v>
      </c>
      <c r="N171" s="191" t="s">
        <v>3488</v>
      </c>
      <c r="P171" s="16"/>
      <c r="Q171" t="s">
        <v>4266</v>
      </c>
    </row>
    <row r="172" spans="1:17" s="2" customFormat="1" ht="27.75" customHeight="1">
      <c r="A172" s="4">
        <v>169</v>
      </c>
      <c r="B172" s="5" t="s">
        <v>1650</v>
      </c>
      <c r="C172" s="5" t="s">
        <v>1650</v>
      </c>
      <c r="D172" s="5"/>
      <c r="E172" s="5" t="s">
        <v>1653</v>
      </c>
      <c r="F172" s="408"/>
      <c r="G172" s="409">
        <v>100000</v>
      </c>
      <c r="H172" s="8" t="s">
        <v>1654</v>
      </c>
      <c r="I172" s="1" t="s">
        <v>124</v>
      </c>
      <c r="J172" s="1" t="s">
        <v>96</v>
      </c>
      <c r="K172" s="1" t="s">
        <v>794</v>
      </c>
      <c r="L172" s="191"/>
      <c r="M172" s="1" t="s">
        <v>794</v>
      </c>
      <c r="N172" s="191" t="s">
        <v>794</v>
      </c>
      <c r="P172" s="1"/>
      <c r="Q172" t="s">
        <v>4266</v>
      </c>
    </row>
    <row r="173" spans="1:17" s="2" customFormat="1" ht="27.75" customHeight="1">
      <c r="A173" s="4">
        <v>170</v>
      </c>
      <c r="B173" s="5" t="s">
        <v>1650</v>
      </c>
      <c r="C173" s="5" t="s">
        <v>1650</v>
      </c>
      <c r="D173" s="5"/>
      <c r="E173" s="5" t="s">
        <v>1655</v>
      </c>
      <c r="F173" s="408"/>
      <c r="G173" s="409">
        <v>1</v>
      </c>
      <c r="H173" s="8" t="s">
        <v>1656</v>
      </c>
      <c r="I173" s="1" t="s">
        <v>128</v>
      </c>
      <c r="J173" s="1" t="s">
        <v>115</v>
      </c>
      <c r="K173" s="1" t="s">
        <v>823</v>
      </c>
      <c r="L173" s="191"/>
      <c r="M173" s="1" t="s">
        <v>823</v>
      </c>
      <c r="N173" s="191" t="s">
        <v>794</v>
      </c>
      <c r="P173" s="1"/>
      <c r="Q173" t="s">
        <v>4266</v>
      </c>
    </row>
    <row r="174" spans="1:17" s="2" customFormat="1" ht="27.75" customHeight="1">
      <c r="A174" s="4">
        <v>171</v>
      </c>
      <c r="B174" s="5" t="s">
        <v>1650</v>
      </c>
      <c r="C174" s="5" t="s">
        <v>1650</v>
      </c>
      <c r="D174" s="5"/>
      <c r="E174" s="5" t="s">
        <v>1657</v>
      </c>
      <c r="F174" s="408"/>
      <c r="G174" s="409">
        <v>39999</v>
      </c>
      <c r="H174" s="8" t="s">
        <v>1658</v>
      </c>
      <c r="I174" s="1" t="s">
        <v>128</v>
      </c>
      <c r="J174" s="1" t="s">
        <v>115</v>
      </c>
      <c r="K174" s="1" t="s">
        <v>830</v>
      </c>
      <c r="L174" s="191"/>
      <c r="M174" s="1" t="s">
        <v>830</v>
      </c>
      <c r="N174" s="191" t="s">
        <v>794</v>
      </c>
      <c r="P174" s="1"/>
      <c r="Q174" t="s">
        <v>4266</v>
      </c>
    </row>
    <row r="175" spans="1:17" s="2" customFormat="1" ht="27.75" customHeight="1">
      <c r="A175" s="4">
        <v>172</v>
      </c>
      <c r="B175" s="5" t="s">
        <v>1650</v>
      </c>
      <c r="C175" s="5" t="s">
        <v>1650</v>
      </c>
      <c r="D175" s="5"/>
      <c r="E175" s="5" t="s">
        <v>1659</v>
      </c>
      <c r="F175" s="408"/>
      <c r="G175" s="409">
        <v>1000</v>
      </c>
      <c r="H175" s="8" t="s">
        <v>1660</v>
      </c>
      <c r="I175" s="1" t="s">
        <v>125</v>
      </c>
      <c r="J175" s="1" t="s">
        <v>126</v>
      </c>
      <c r="K175" s="1"/>
      <c r="L175" s="191"/>
      <c r="M175" s="1"/>
      <c r="N175" s="191" t="s">
        <v>3503</v>
      </c>
      <c r="P175" s="1"/>
      <c r="Q175" t="s">
        <v>4266</v>
      </c>
    </row>
    <row r="176" spans="1:17" s="17" customFormat="1" ht="27.75" customHeight="1">
      <c r="A176" s="4">
        <v>173</v>
      </c>
      <c r="B176" s="13" t="s">
        <v>1661</v>
      </c>
      <c r="C176" s="13" t="s">
        <v>1661</v>
      </c>
      <c r="D176" s="13"/>
      <c r="E176" s="13" t="s">
        <v>1662</v>
      </c>
      <c r="F176" s="411"/>
      <c r="G176" s="412">
        <v>47500</v>
      </c>
      <c r="H176" s="15" t="s">
        <v>1663</v>
      </c>
      <c r="I176" s="16" t="s">
        <v>127</v>
      </c>
      <c r="J176" s="16" t="s">
        <v>28</v>
      </c>
      <c r="K176" s="16"/>
      <c r="L176" s="193"/>
      <c r="M176" s="1"/>
      <c r="N176" s="191" t="s">
        <v>3484</v>
      </c>
      <c r="P176" s="16"/>
      <c r="Q176" t="s">
        <v>4266</v>
      </c>
    </row>
    <row r="177" spans="1:17" s="2" customFormat="1" ht="27.75" customHeight="1">
      <c r="A177" s="4">
        <v>174</v>
      </c>
      <c r="B177" s="5" t="s">
        <v>1661</v>
      </c>
      <c r="C177" s="5" t="s">
        <v>1661</v>
      </c>
      <c r="D177" s="5"/>
      <c r="E177" s="5" t="s">
        <v>1664</v>
      </c>
      <c r="F177" s="408"/>
      <c r="G177" s="409">
        <v>40000</v>
      </c>
      <c r="H177" s="8" t="s">
        <v>1665</v>
      </c>
      <c r="I177" s="1" t="s">
        <v>128</v>
      </c>
      <c r="J177" s="1" t="s">
        <v>115</v>
      </c>
      <c r="K177" s="1" t="s">
        <v>830</v>
      </c>
      <c r="L177" s="191"/>
      <c r="M177" s="1" t="s">
        <v>830</v>
      </c>
      <c r="N177" s="191" t="s">
        <v>794</v>
      </c>
      <c r="P177" s="1"/>
      <c r="Q177" t="s">
        <v>4266</v>
      </c>
    </row>
    <row r="178" spans="1:17" s="2" customFormat="1" ht="27.75" customHeight="1">
      <c r="A178" s="4">
        <v>175</v>
      </c>
      <c r="B178" s="5" t="s">
        <v>1661</v>
      </c>
      <c r="C178" s="5" t="s">
        <v>1661</v>
      </c>
      <c r="D178" s="5"/>
      <c r="E178" s="5" t="s">
        <v>1666</v>
      </c>
      <c r="F178" s="408"/>
      <c r="G178" s="409">
        <v>50000</v>
      </c>
      <c r="H178" s="8" t="s">
        <v>1667</v>
      </c>
      <c r="I178" s="1" t="s">
        <v>371</v>
      </c>
      <c r="J178" s="1" t="s">
        <v>697</v>
      </c>
      <c r="K178" s="1"/>
      <c r="L178" s="191"/>
      <c r="M178" s="1"/>
      <c r="N178" s="191" t="s">
        <v>794</v>
      </c>
      <c r="P178" s="1"/>
      <c r="Q178" t="s">
        <v>4275</v>
      </c>
    </row>
    <row r="179" spans="1:17" s="17" customFormat="1" ht="27.75" customHeight="1">
      <c r="A179" s="4">
        <v>176</v>
      </c>
      <c r="B179" s="13" t="s">
        <v>1661</v>
      </c>
      <c r="C179" s="13" t="s">
        <v>1661</v>
      </c>
      <c r="D179" s="13"/>
      <c r="E179" s="13" t="s">
        <v>1668</v>
      </c>
      <c r="F179" s="411"/>
      <c r="G179" s="412">
        <v>150000</v>
      </c>
      <c r="H179" s="15" t="s">
        <v>1669</v>
      </c>
      <c r="I179" s="16" t="s">
        <v>129</v>
      </c>
      <c r="J179" s="16" t="s">
        <v>113</v>
      </c>
      <c r="K179" s="16" t="s">
        <v>844</v>
      </c>
      <c r="L179" s="193"/>
      <c r="M179" s="1" t="s">
        <v>844</v>
      </c>
      <c r="N179" s="191" t="s">
        <v>794</v>
      </c>
      <c r="P179" s="16"/>
      <c r="Q179" t="s">
        <v>4266</v>
      </c>
    </row>
    <row r="180" spans="1:17" s="17" customFormat="1" ht="27.75" customHeight="1">
      <c r="A180" s="4">
        <v>177</v>
      </c>
      <c r="B180" s="13" t="s">
        <v>1661</v>
      </c>
      <c r="C180" s="13" t="s">
        <v>1661</v>
      </c>
      <c r="D180" s="13"/>
      <c r="E180" s="13" t="s">
        <v>1670</v>
      </c>
      <c r="F180" s="411"/>
      <c r="G180" s="412">
        <v>150000</v>
      </c>
      <c r="H180" s="15" t="s">
        <v>1671</v>
      </c>
      <c r="I180" s="16" t="s">
        <v>63</v>
      </c>
      <c r="J180" s="16" t="s">
        <v>54</v>
      </c>
      <c r="K180" s="16"/>
      <c r="L180" s="193"/>
      <c r="M180" s="1"/>
      <c r="N180" s="191" t="s">
        <v>3488</v>
      </c>
      <c r="P180" s="16"/>
      <c r="Q180" t="s">
        <v>4266</v>
      </c>
    </row>
    <row r="181" spans="1:17" s="2" customFormat="1" ht="27.75" customHeight="1">
      <c r="A181" s="4">
        <v>178</v>
      </c>
      <c r="B181" s="5" t="s">
        <v>1661</v>
      </c>
      <c r="C181" s="5" t="s">
        <v>1661</v>
      </c>
      <c r="D181" s="5"/>
      <c r="E181" s="5" t="s">
        <v>1672</v>
      </c>
      <c r="F181" s="408"/>
      <c r="G181" s="409">
        <v>99000</v>
      </c>
      <c r="H181" s="8" t="s">
        <v>1673</v>
      </c>
      <c r="I181" s="1" t="s">
        <v>125</v>
      </c>
      <c r="J181" s="1" t="s">
        <v>126</v>
      </c>
      <c r="K181" s="1"/>
      <c r="L181" s="191"/>
      <c r="M181" s="1"/>
      <c r="N181" s="191" t="s">
        <v>3503</v>
      </c>
      <c r="P181" s="1"/>
      <c r="Q181" t="s">
        <v>4266</v>
      </c>
    </row>
    <row r="182" spans="1:17" s="2" customFormat="1" ht="27.75" customHeight="1">
      <c r="A182" s="4">
        <v>179</v>
      </c>
      <c r="B182" s="5" t="s">
        <v>1661</v>
      </c>
      <c r="C182" s="5" t="s">
        <v>1661</v>
      </c>
      <c r="D182" s="5"/>
      <c r="E182" s="3" t="s">
        <v>308</v>
      </c>
      <c r="F182" s="408"/>
      <c r="G182" s="409">
        <v>20000</v>
      </c>
      <c r="H182" s="8" t="s">
        <v>1674</v>
      </c>
      <c r="I182" s="1" t="s">
        <v>93</v>
      </c>
      <c r="J182" s="1" t="s">
        <v>115</v>
      </c>
      <c r="K182" s="1"/>
      <c r="L182" s="191"/>
      <c r="M182" s="1"/>
      <c r="N182" s="191" t="s">
        <v>794</v>
      </c>
      <c r="P182" s="1"/>
      <c r="Q182" t="s">
        <v>4266</v>
      </c>
    </row>
    <row r="183" spans="1:17" s="2" customFormat="1" ht="27.75" customHeight="1">
      <c r="A183" s="4">
        <v>180</v>
      </c>
      <c r="B183" s="5" t="s">
        <v>1661</v>
      </c>
      <c r="C183" s="5" t="s">
        <v>1661</v>
      </c>
      <c r="D183" s="5"/>
      <c r="E183" s="5" t="s">
        <v>1675</v>
      </c>
      <c r="F183" s="408"/>
      <c r="G183" s="409">
        <v>200000</v>
      </c>
      <c r="H183" s="8" t="s">
        <v>1676</v>
      </c>
      <c r="I183" s="1" t="s">
        <v>125</v>
      </c>
      <c r="J183" s="1" t="s">
        <v>126</v>
      </c>
      <c r="K183" s="1"/>
      <c r="L183" s="191"/>
      <c r="M183" s="1"/>
      <c r="N183" s="191" t="s">
        <v>3503</v>
      </c>
      <c r="P183" s="1"/>
      <c r="Q183" t="s">
        <v>4266</v>
      </c>
    </row>
    <row r="184" spans="1:17" s="2" customFormat="1" ht="27.75" customHeight="1">
      <c r="A184" s="4">
        <v>181</v>
      </c>
      <c r="B184" s="5" t="s">
        <v>1661</v>
      </c>
      <c r="C184" s="5" t="s">
        <v>1661</v>
      </c>
      <c r="D184" s="5"/>
      <c r="E184" s="5" t="s">
        <v>1677</v>
      </c>
      <c r="F184" s="408"/>
      <c r="G184" s="409">
        <v>334976.40000000002</v>
      </c>
      <c r="H184" s="8" t="s">
        <v>1678</v>
      </c>
      <c r="I184" s="1" t="s">
        <v>130</v>
      </c>
      <c r="J184" s="1" t="s">
        <v>107</v>
      </c>
      <c r="K184" s="1"/>
      <c r="L184" s="191"/>
      <c r="M184" s="1"/>
      <c r="N184" s="191" t="s">
        <v>794</v>
      </c>
      <c r="P184" s="1"/>
      <c r="Q184" t="s">
        <v>4266</v>
      </c>
    </row>
    <row r="185" spans="1:17" s="2" customFormat="1" ht="27.75" customHeight="1">
      <c r="A185" s="4">
        <v>182</v>
      </c>
      <c r="B185" s="5" t="s">
        <v>1679</v>
      </c>
      <c r="C185" s="5" t="s">
        <v>1679</v>
      </c>
      <c r="D185" s="5"/>
      <c r="E185" s="5" t="s">
        <v>1680</v>
      </c>
      <c r="F185" s="408"/>
      <c r="G185" s="409">
        <v>190000</v>
      </c>
      <c r="H185" s="8" t="s">
        <v>1681</v>
      </c>
      <c r="I185" s="1" t="s">
        <v>132</v>
      </c>
      <c r="J185" s="1" t="s">
        <v>131</v>
      </c>
      <c r="K185" s="1"/>
      <c r="L185" s="191"/>
      <c r="M185" s="1"/>
      <c r="N185" s="191" t="s">
        <v>794</v>
      </c>
      <c r="P185" s="1"/>
      <c r="Q185" t="s">
        <v>4266</v>
      </c>
    </row>
    <row r="186" spans="1:17" s="2" customFormat="1" ht="27.75" customHeight="1">
      <c r="A186" s="4">
        <v>183</v>
      </c>
      <c r="B186" s="5" t="s">
        <v>1679</v>
      </c>
      <c r="C186" s="5" t="s">
        <v>1679</v>
      </c>
      <c r="D186" s="5"/>
      <c r="E186" s="5" t="s">
        <v>1682</v>
      </c>
      <c r="F186" s="408"/>
      <c r="G186" s="409">
        <v>282000</v>
      </c>
      <c r="H186" s="8" t="s">
        <v>1683</v>
      </c>
      <c r="I186" s="1" t="s">
        <v>133</v>
      </c>
      <c r="J186" s="1" t="s">
        <v>115</v>
      </c>
      <c r="K186" s="1" t="s">
        <v>823</v>
      </c>
      <c r="L186" s="191"/>
      <c r="M186" s="1" t="s">
        <v>823</v>
      </c>
      <c r="N186" s="191" t="s">
        <v>794</v>
      </c>
      <c r="P186" s="1"/>
      <c r="Q186" t="s">
        <v>4266</v>
      </c>
    </row>
    <row r="187" spans="1:17" s="17" customFormat="1" ht="27.75" customHeight="1">
      <c r="A187" s="4">
        <v>184</v>
      </c>
      <c r="B187" s="13" t="s">
        <v>1679</v>
      </c>
      <c r="C187" s="13" t="s">
        <v>1679</v>
      </c>
      <c r="D187" s="13"/>
      <c r="E187" s="13" t="s">
        <v>1684</v>
      </c>
      <c r="F187" s="411"/>
      <c r="G187" s="412">
        <v>250000</v>
      </c>
      <c r="H187" s="15" t="s">
        <v>1685</v>
      </c>
      <c r="I187" s="16" t="s">
        <v>66</v>
      </c>
      <c r="J187" s="16" t="s">
        <v>47</v>
      </c>
      <c r="K187" s="16"/>
      <c r="L187" s="193"/>
      <c r="M187" s="1"/>
      <c r="N187" s="191" t="s">
        <v>1283</v>
      </c>
      <c r="P187" s="16"/>
      <c r="Q187" t="s">
        <v>4266</v>
      </c>
    </row>
    <row r="188" spans="1:17" s="2" customFormat="1" ht="27.75" customHeight="1">
      <c r="A188" s="4">
        <v>185</v>
      </c>
      <c r="B188" s="5" t="s">
        <v>1679</v>
      </c>
      <c r="C188" s="5" t="s">
        <v>1679</v>
      </c>
      <c r="D188" s="5"/>
      <c r="E188" s="5" t="s">
        <v>1686</v>
      </c>
      <c r="F188" s="408"/>
      <c r="G188" s="409">
        <v>175000</v>
      </c>
      <c r="H188" s="8" t="s">
        <v>1687</v>
      </c>
      <c r="I188" s="1" t="s">
        <v>314</v>
      </c>
      <c r="J188" s="1" t="s">
        <v>135</v>
      </c>
      <c r="K188" s="1" t="s">
        <v>832</v>
      </c>
      <c r="L188" s="191"/>
      <c r="M188" s="1" t="s">
        <v>832</v>
      </c>
      <c r="N188" s="191" t="s">
        <v>3504</v>
      </c>
      <c r="P188" s="1"/>
      <c r="Q188" t="s">
        <v>4266</v>
      </c>
    </row>
    <row r="189" spans="1:17" s="2" customFormat="1" ht="27.75" customHeight="1">
      <c r="A189" s="4">
        <v>186</v>
      </c>
      <c r="B189" s="5" t="s">
        <v>1679</v>
      </c>
      <c r="C189" s="5" t="s">
        <v>1679</v>
      </c>
      <c r="D189" s="5"/>
      <c r="E189" s="5" t="s">
        <v>1688</v>
      </c>
      <c r="F189" s="408"/>
      <c r="G189" s="409">
        <v>100000</v>
      </c>
      <c r="H189" s="8" t="s">
        <v>1689</v>
      </c>
      <c r="I189" s="1" t="s">
        <v>136</v>
      </c>
      <c r="J189" s="1" t="s">
        <v>97</v>
      </c>
      <c r="K189" s="1" t="s">
        <v>794</v>
      </c>
      <c r="L189" s="191"/>
      <c r="M189" s="1" t="s">
        <v>794</v>
      </c>
      <c r="N189" s="191" t="s">
        <v>794</v>
      </c>
      <c r="P189" s="1"/>
      <c r="Q189" t="s">
        <v>4266</v>
      </c>
    </row>
    <row r="190" spans="1:17" s="2" customFormat="1" ht="27.75" customHeight="1">
      <c r="A190" s="4">
        <v>187</v>
      </c>
      <c r="B190" s="5" t="s">
        <v>1679</v>
      </c>
      <c r="C190" s="5" t="s">
        <v>1679</v>
      </c>
      <c r="D190" s="5"/>
      <c r="E190" s="5" t="s">
        <v>1690</v>
      </c>
      <c r="F190" s="408"/>
      <c r="G190" s="409">
        <v>782600</v>
      </c>
      <c r="H190" s="8" t="s">
        <v>1691</v>
      </c>
      <c r="I190" s="1" t="s">
        <v>137</v>
      </c>
      <c r="J190" s="1" t="s">
        <v>138</v>
      </c>
      <c r="K190" s="1" t="s">
        <v>794</v>
      </c>
      <c r="L190" s="191"/>
      <c r="M190" s="1" t="s">
        <v>794</v>
      </c>
      <c r="N190" s="191" t="s">
        <v>830</v>
      </c>
      <c r="P190" s="1" t="s">
        <v>830</v>
      </c>
      <c r="Q190" t="s">
        <v>4266</v>
      </c>
    </row>
    <row r="191" spans="1:17" s="2" customFormat="1" ht="27.75" customHeight="1">
      <c r="A191" s="4">
        <v>188</v>
      </c>
      <c r="B191" s="5" t="s">
        <v>1679</v>
      </c>
      <c r="C191" s="5" t="s">
        <v>1679</v>
      </c>
      <c r="D191" s="5"/>
      <c r="E191" s="3" t="s">
        <v>309</v>
      </c>
      <c r="F191" s="409">
        <v>782600</v>
      </c>
      <c r="G191" s="408"/>
      <c r="H191" s="8" t="s">
        <v>1689</v>
      </c>
      <c r="I191" s="1" t="s">
        <v>137</v>
      </c>
      <c r="J191" s="1" t="s">
        <v>138</v>
      </c>
      <c r="K191" s="1" t="s">
        <v>794</v>
      </c>
      <c r="L191" s="191"/>
      <c r="M191" s="1" t="s">
        <v>794</v>
      </c>
      <c r="N191" s="191" t="s">
        <v>830</v>
      </c>
      <c r="P191" s="1" t="s">
        <v>830</v>
      </c>
      <c r="Q191" t="s">
        <v>4266</v>
      </c>
    </row>
    <row r="192" spans="1:17" ht="27.75" customHeight="1">
      <c r="A192" s="622">
        <v>189</v>
      </c>
      <c r="B192" s="614" t="s">
        <v>4450</v>
      </c>
      <c r="C192" s="614" t="s">
        <v>4450</v>
      </c>
      <c r="D192" s="614"/>
      <c r="E192" s="614" t="s">
        <v>4451</v>
      </c>
      <c r="F192" s="626">
        <v>590200</v>
      </c>
      <c r="G192" s="627"/>
      <c r="H192" s="625" t="s">
        <v>4452</v>
      </c>
      <c r="I192" s="615" t="s">
        <v>139</v>
      </c>
      <c r="J192" s="615" t="s">
        <v>140</v>
      </c>
      <c r="K192" s="615"/>
      <c r="L192" s="621"/>
      <c r="M192" s="615"/>
      <c r="N192" s="621"/>
      <c r="P192" s="615"/>
      <c r="Q192" s="612" t="s">
        <v>4276</v>
      </c>
    </row>
    <row r="193" spans="1:17" s="17" customFormat="1" ht="27.75" customHeight="1">
      <c r="A193" s="4">
        <v>190</v>
      </c>
      <c r="B193" s="13" t="s">
        <v>1679</v>
      </c>
      <c r="C193" s="13" t="s">
        <v>1679</v>
      </c>
      <c r="D193" s="13"/>
      <c r="E193" s="13" t="s">
        <v>1692</v>
      </c>
      <c r="F193" s="411"/>
      <c r="G193" s="412">
        <v>5000</v>
      </c>
      <c r="H193" s="15" t="s">
        <v>1693</v>
      </c>
      <c r="I193" s="16" t="s">
        <v>141</v>
      </c>
      <c r="J193" s="16" t="s">
        <v>142</v>
      </c>
      <c r="K193" s="16"/>
      <c r="L193" s="193"/>
      <c r="M193" s="1"/>
      <c r="N193" s="191" t="s">
        <v>794</v>
      </c>
      <c r="P193" s="16"/>
      <c r="Q193" t="s">
        <v>4266</v>
      </c>
    </row>
    <row r="194" spans="1:17" s="2" customFormat="1" ht="27.75" customHeight="1">
      <c r="A194" s="4">
        <v>191</v>
      </c>
      <c r="B194" s="5" t="s">
        <v>1679</v>
      </c>
      <c r="C194" s="5" t="s">
        <v>1679</v>
      </c>
      <c r="D194" s="5"/>
      <c r="E194" s="5" t="s">
        <v>1694</v>
      </c>
      <c r="F194" s="408"/>
      <c r="G194" s="409">
        <v>20000</v>
      </c>
      <c r="H194" s="8" t="s">
        <v>1695</v>
      </c>
      <c r="I194" s="1" t="s">
        <v>144</v>
      </c>
      <c r="J194" s="1" t="s">
        <v>143</v>
      </c>
      <c r="K194" s="1" t="s">
        <v>794</v>
      </c>
      <c r="L194" s="191"/>
      <c r="M194" s="1" t="s">
        <v>794</v>
      </c>
      <c r="N194" s="191" t="s">
        <v>3505</v>
      </c>
      <c r="P194" s="1"/>
      <c r="Q194" t="s">
        <v>4266</v>
      </c>
    </row>
    <row r="195" spans="1:17" ht="27.75" customHeight="1">
      <c r="A195" s="622">
        <v>192</v>
      </c>
      <c r="B195" s="614" t="s">
        <v>4453</v>
      </c>
      <c r="C195" s="614" t="s">
        <v>4453</v>
      </c>
      <c r="D195" s="622">
        <v>900</v>
      </c>
      <c r="E195" s="619" t="s">
        <v>310</v>
      </c>
      <c r="F195" s="626">
        <v>150000</v>
      </c>
      <c r="G195" s="627"/>
      <c r="H195" s="625" t="s">
        <v>4454</v>
      </c>
      <c r="I195" s="615" t="s">
        <v>145</v>
      </c>
      <c r="J195" s="615" t="s">
        <v>146</v>
      </c>
      <c r="K195" s="615" t="s">
        <v>794</v>
      </c>
      <c r="L195" s="621"/>
      <c r="M195" s="615" t="s">
        <v>794</v>
      </c>
      <c r="N195" s="621"/>
      <c r="P195" s="615"/>
      <c r="Q195" s="612" t="s">
        <v>4277</v>
      </c>
    </row>
    <row r="196" spans="1:17" s="2" customFormat="1" ht="27.75" customHeight="1">
      <c r="A196" s="4">
        <v>193</v>
      </c>
      <c r="B196" s="5" t="s">
        <v>1696</v>
      </c>
      <c r="C196" s="5" t="s">
        <v>1696</v>
      </c>
      <c r="D196" s="5"/>
      <c r="E196" s="5" t="s">
        <v>1697</v>
      </c>
      <c r="F196" s="408"/>
      <c r="G196" s="409">
        <v>5000</v>
      </c>
      <c r="H196" s="8" t="s">
        <v>1698</v>
      </c>
      <c r="I196" s="1" t="s">
        <v>147</v>
      </c>
      <c r="J196" s="1" t="s">
        <v>148</v>
      </c>
      <c r="K196" s="1" t="s">
        <v>823</v>
      </c>
      <c r="L196" s="191"/>
      <c r="M196" s="1" t="s">
        <v>823</v>
      </c>
      <c r="N196" s="191" t="s">
        <v>794</v>
      </c>
      <c r="P196" s="1"/>
      <c r="Q196" t="s">
        <v>4266</v>
      </c>
    </row>
    <row r="197" spans="1:17" s="2" customFormat="1" ht="27.75" customHeight="1">
      <c r="A197" s="4">
        <v>194</v>
      </c>
      <c r="B197" s="5" t="s">
        <v>1696</v>
      </c>
      <c r="C197" s="5" t="s">
        <v>1696</v>
      </c>
      <c r="D197" s="5"/>
      <c r="E197" s="5" t="s">
        <v>1699</v>
      </c>
      <c r="F197" s="408"/>
      <c r="G197" s="409">
        <v>50000</v>
      </c>
      <c r="H197" s="8" t="s">
        <v>1700</v>
      </c>
      <c r="I197" s="1" t="s">
        <v>149</v>
      </c>
      <c r="J197" s="1" t="s">
        <v>3136</v>
      </c>
      <c r="K197" s="1"/>
      <c r="L197" s="191"/>
      <c r="M197" s="1"/>
      <c r="N197" s="191" t="s">
        <v>794</v>
      </c>
      <c r="P197" s="1"/>
      <c r="Q197" t="s">
        <v>4266</v>
      </c>
    </row>
    <row r="198" spans="1:17" s="2" customFormat="1" ht="27.75" customHeight="1">
      <c r="A198" s="4">
        <v>195</v>
      </c>
      <c r="B198" s="5" t="s">
        <v>1696</v>
      </c>
      <c r="C198" s="5" t="s">
        <v>1696</v>
      </c>
      <c r="D198" s="5"/>
      <c r="E198" s="5" t="s">
        <v>1701</v>
      </c>
      <c r="F198" s="408"/>
      <c r="G198" s="409">
        <v>50000</v>
      </c>
      <c r="H198" s="8" t="s">
        <v>1702</v>
      </c>
      <c r="I198" s="1" t="s">
        <v>149</v>
      </c>
      <c r="J198" s="1" t="s">
        <v>3136</v>
      </c>
      <c r="K198" s="1"/>
      <c r="L198" s="191"/>
      <c r="M198" s="1"/>
      <c r="N198" s="191" t="s">
        <v>794</v>
      </c>
      <c r="P198" s="1"/>
      <c r="Q198" t="s">
        <v>4266</v>
      </c>
    </row>
    <row r="199" spans="1:17" s="2" customFormat="1" ht="27.75" customHeight="1">
      <c r="A199" s="4">
        <v>196</v>
      </c>
      <c r="B199" s="5" t="s">
        <v>1696</v>
      </c>
      <c r="C199" s="5" t="s">
        <v>1696</v>
      </c>
      <c r="D199" s="5"/>
      <c r="E199" s="5" t="s">
        <v>1703</v>
      </c>
      <c r="F199" s="408"/>
      <c r="G199" s="409">
        <v>5000</v>
      </c>
      <c r="H199" s="8" t="s">
        <v>1704</v>
      </c>
      <c r="I199" s="1" t="s">
        <v>373</v>
      </c>
      <c r="J199" s="1" t="s">
        <v>151</v>
      </c>
      <c r="K199" s="1"/>
      <c r="L199" s="191"/>
      <c r="M199" s="1"/>
      <c r="N199" s="191" t="s">
        <v>794</v>
      </c>
      <c r="P199" s="1"/>
      <c r="Q199" t="s">
        <v>4266</v>
      </c>
    </row>
    <row r="200" spans="1:17" s="2" customFormat="1" ht="27.75" customHeight="1">
      <c r="A200" s="4">
        <v>197</v>
      </c>
      <c r="B200" s="5" t="s">
        <v>1705</v>
      </c>
      <c r="C200" s="5" t="s">
        <v>1705</v>
      </c>
      <c r="D200" s="5"/>
      <c r="E200" s="5" t="s">
        <v>1706</v>
      </c>
      <c r="F200" s="408"/>
      <c r="G200" s="409">
        <v>250000</v>
      </c>
      <c r="H200" s="8" t="s">
        <v>1707</v>
      </c>
      <c r="I200" s="1" t="s">
        <v>152</v>
      </c>
      <c r="J200" s="1" t="s">
        <v>115</v>
      </c>
      <c r="K200" s="1" t="s">
        <v>823</v>
      </c>
      <c r="L200" s="191"/>
      <c r="M200" s="1" t="s">
        <v>823</v>
      </c>
      <c r="N200" s="191" t="s">
        <v>794</v>
      </c>
      <c r="P200" s="1"/>
      <c r="Q200" t="s">
        <v>4266</v>
      </c>
    </row>
    <row r="201" spans="1:17" s="2" customFormat="1" ht="27.75" customHeight="1">
      <c r="A201" s="4">
        <v>198</v>
      </c>
      <c r="B201" s="5" t="s">
        <v>1705</v>
      </c>
      <c r="C201" s="5" t="s">
        <v>1705</v>
      </c>
      <c r="D201" s="5"/>
      <c r="E201" s="5" t="s">
        <v>1708</v>
      </c>
      <c r="F201" s="408"/>
      <c r="G201" s="409">
        <v>200000</v>
      </c>
      <c r="H201" s="8" t="s">
        <v>1709</v>
      </c>
      <c r="I201" s="1" t="s">
        <v>153</v>
      </c>
      <c r="J201" s="1" t="s">
        <v>154</v>
      </c>
      <c r="K201" s="1" t="s">
        <v>794</v>
      </c>
      <c r="L201" s="191"/>
      <c r="M201" s="1" t="s">
        <v>794</v>
      </c>
      <c r="N201" s="191" t="s">
        <v>830</v>
      </c>
      <c r="P201" s="1"/>
      <c r="Q201" t="s">
        <v>4266</v>
      </c>
    </row>
    <row r="202" spans="1:17" s="2" customFormat="1" ht="27.75" customHeight="1">
      <c r="A202" s="4">
        <v>199</v>
      </c>
      <c r="B202" s="5" t="s">
        <v>1705</v>
      </c>
      <c r="C202" s="5" t="s">
        <v>1705</v>
      </c>
      <c r="D202" s="5"/>
      <c r="E202" s="5" t="s">
        <v>1710</v>
      </c>
      <c r="F202" s="408"/>
      <c r="G202" s="409">
        <v>200000</v>
      </c>
      <c r="H202" s="8" t="s">
        <v>1711</v>
      </c>
      <c r="I202" s="1" t="s">
        <v>153</v>
      </c>
      <c r="J202" s="1" t="s">
        <v>155</v>
      </c>
      <c r="K202" s="1"/>
      <c r="L202" s="191"/>
      <c r="M202" s="1"/>
      <c r="N202" s="191" t="s">
        <v>794</v>
      </c>
      <c r="P202" s="1"/>
      <c r="Q202" t="s">
        <v>4266</v>
      </c>
    </row>
    <row r="203" spans="1:17" s="2" customFormat="1" ht="27.75" customHeight="1">
      <c r="A203" s="4">
        <v>200</v>
      </c>
      <c r="B203" s="5" t="s">
        <v>1705</v>
      </c>
      <c r="C203" s="5" t="s">
        <v>1705</v>
      </c>
      <c r="D203" s="5"/>
      <c r="E203" s="5" t="s">
        <v>1712</v>
      </c>
      <c r="F203" s="408"/>
      <c r="G203" s="409">
        <v>200000</v>
      </c>
      <c r="H203" s="8" t="s">
        <v>1713</v>
      </c>
      <c r="I203" s="1" t="s">
        <v>153</v>
      </c>
      <c r="J203" s="1" t="s">
        <v>156</v>
      </c>
      <c r="K203" s="1"/>
      <c r="L203" s="191"/>
      <c r="M203" s="1"/>
      <c r="N203" s="191" t="s">
        <v>794</v>
      </c>
      <c r="P203" s="1"/>
      <c r="Q203" t="s">
        <v>4266</v>
      </c>
    </row>
    <row r="204" spans="1:17" s="2" customFormat="1" ht="27.75" customHeight="1">
      <c r="A204" s="4">
        <v>201</v>
      </c>
      <c r="B204" s="5" t="s">
        <v>157</v>
      </c>
      <c r="C204" s="5" t="s">
        <v>157</v>
      </c>
      <c r="D204" s="1"/>
      <c r="E204" s="5" t="s">
        <v>158</v>
      </c>
      <c r="F204" s="416"/>
      <c r="G204" s="409">
        <v>120000</v>
      </c>
      <c r="H204" s="8" t="s">
        <v>160</v>
      </c>
      <c r="I204" s="1" t="s">
        <v>153</v>
      </c>
      <c r="J204" s="1" t="s">
        <v>311</v>
      </c>
      <c r="K204" s="1" t="s">
        <v>794</v>
      </c>
      <c r="L204" s="191"/>
      <c r="M204" s="1" t="s">
        <v>794</v>
      </c>
      <c r="N204" s="191" t="s">
        <v>794</v>
      </c>
      <c r="P204" s="1"/>
      <c r="Q204" t="s">
        <v>4266</v>
      </c>
    </row>
    <row r="205" spans="1:17" s="2" customFormat="1" ht="27.75" customHeight="1">
      <c r="A205" s="4">
        <v>202</v>
      </c>
      <c r="B205" s="5" t="s">
        <v>157</v>
      </c>
      <c r="C205" s="5" t="s">
        <v>157</v>
      </c>
      <c r="D205" s="1"/>
      <c r="E205" s="5" t="s">
        <v>161</v>
      </c>
      <c r="F205" s="416"/>
      <c r="G205" s="416">
        <v>200000</v>
      </c>
      <c r="H205" s="8" t="s">
        <v>162</v>
      </c>
      <c r="I205" s="1" t="s">
        <v>313</v>
      </c>
      <c r="J205" s="1" t="s">
        <v>312</v>
      </c>
      <c r="K205" s="1"/>
      <c r="L205" s="191"/>
      <c r="M205" s="1"/>
      <c r="N205" s="191" t="s">
        <v>794</v>
      </c>
      <c r="P205" s="1"/>
      <c r="Q205" t="s">
        <v>4266</v>
      </c>
    </row>
    <row r="206" spans="1:17" s="2" customFormat="1" ht="27.75" customHeight="1">
      <c r="A206" s="4">
        <v>203</v>
      </c>
      <c r="B206" s="5" t="s">
        <v>157</v>
      </c>
      <c r="C206" s="5" t="s">
        <v>157</v>
      </c>
      <c r="D206" s="1"/>
      <c r="E206" s="5" t="s">
        <v>163</v>
      </c>
      <c r="F206" s="416"/>
      <c r="G206" s="416">
        <v>175000</v>
      </c>
      <c r="H206" s="8" t="s">
        <v>164</v>
      </c>
      <c r="I206" s="1" t="s">
        <v>314</v>
      </c>
      <c r="J206" s="1" t="s">
        <v>315</v>
      </c>
      <c r="K206" s="1" t="s">
        <v>794</v>
      </c>
      <c r="L206" s="191"/>
      <c r="M206" s="1" t="s">
        <v>794</v>
      </c>
      <c r="N206" s="191" t="s">
        <v>3504</v>
      </c>
      <c r="P206" s="1"/>
      <c r="Q206" t="s">
        <v>4266</v>
      </c>
    </row>
    <row r="207" spans="1:17" s="2" customFormat="1" ht="27.75" customHeight="1">
      <c r="A207" s="4">
        <v>204</v>
      </c>
      <c r="B207" s="5" t="s">
        <v>157</v>
      </c>
      <c r="C207" s="5" t="s">
        <v>157</v>
      </c>
      <c r="D207" s="1"/>
      <c r="E207" s="5" t="s">
        <v>165</v>
      </c>
      <c r="F207" s="416"/>
      <c r="G207" s="416">
        <v>100000</v>
      </c>
      <c r="H207" s="8" t="s">
        <v>166</v>
      </c>
      <c r="I207" s="1" t="s">
        <v>316</v>
      </c>
      <c r="J207" s="1" t="s">
        <v>317</v>
      </c>
      <c r="K207" s="1"/>
      <c r="L207" s="191"/>
      <c r="M207" s="1"/>
      <c r="N207" s="191" t="s">
        <v>794</v>
      </c>
      <c r="P207" s="1" t="s">
        <v>794</v>
      </c>
      <c r="Q207" t="s">
        <v>4266</v>
      </c>
    </row>
    <row r="208" spans="1:17" s="2" customFormat="1" ht="27.75" customHeight="1">
      <c r="A208" s="4">
        <v>205</v>
      </c>
      <c r="B208" s="5" t="s">
        <v>157</v>
      </c>
      <c r="C208" s="5" t="s">
        <v>157</v>
      </c>
      <c r="D208" s="1"/>
      <c r="E208" s="5" t="s">
        <v>167</v>
      </c>
      <c r="F208" s="416"/>
      <c r="G208" s="416">
        <v>400000</v>
      </c>
      <c r="H208" s="8" t="s">
        <v>168</v>
      </c>
      <c r="I208" s="1" t="s">
        <v>102</v>
      </c>
      <c r="J208" s="1" t="s">
        <v>61</v>
      </c>
      <c r="K208" s="1"/>
      <c r="L208" s="191"/>
      <c r="M208" s="1"/>
      <c r="N208" s="191" t="s">
        <v>830</v>
      </c>
      <c r="P208" s="1"/>
      <c r="Q208" t="s">
        <v>4266</v>
      </c>
    </row>
    <row r="209" spans="1:17" s="2" customFormat="1" ht="27.75" customHeight="1">
      <c r="A209" s="4">
        <v>206</v>
      </c>
      <c r="B209" s="5" t="s">
        <v>157</v>
      </c>
      <c r="C209" s="5" t="s">
        <v>157</v>
      </c>
      <c r="D209" s="1"/>
      <c r="E209" s="5" t="s">
        <v>169</v>
      </c>
      <c r="F209" s="416"/>
      <c r="G209" s="416">
        <v>300000</v>
      </c>
      <c r="H209" s="8" t="s">
        <v>170</v>
      </c>
      <c r="I209" s="1" t="s">
        <v>899</v>
      </c>
      <c r="J209" s="1" t="s">
        <v>318</v>
      </c>
      <c r="K209" s="1" t="s">
        <v>794</v>
      </c>
      <c r="L209" s="191"/>
      <c r="M209" s="1" t="s">
        <v>794</v>
      </c>
      <c r="N209" s="191" t="s">
        <v>794</v>
      </c>
      <c r="P209" s="1" t="s">
        <v>3847</v>
      </c>
      <c r="Q209" t="s">
        <v>4266</v>
      </c>
    </row>
    <row r="210" spans="1:17" s="2" customFormat="1" ht="27.75" customHeight="1">
      <c r="A210" s="4">
        <v>207</v>
      </c>
      <c r="B210" s="5" t="s">
        <v>157</v>
      </c>
      <c r="C210" s="5" t="s">
        <v>157</v>
      </c>
      <c r="D210" s="1"/>
      <c r="E210" s="1" t="s">
        <v>171</v>
      </c>
      <c r="F210" s="416">
        <v>400000</v>
      </c>
      <c r="G210" s="416"/>
      <c r="H210" s="8" t="s">
        <v>172</v>
      </c>
      <c r="I210" s="1" t="s">
        <v>102</v>
      </c>
      <c r="J210" s="1" t="s">
        <v>61</v>
      </c>
      <c r="K210" s="1"/>
      <c r="L210" s="191"/>
      <c r="M210" s="1"/>
      <c r="N210" s="191" t="s">
        <v>830</v>
      </c>
      <c r="P210" s="1"/>
      <c r="Q210" t="s">
        <v>4266</v>
      </c>
    </row>
    <row r="211" spans="1:17" s="2" customFormat="1" ht="27.75" customHeight="1">
      <c r="A211" s="4">
        <v>208</v>
      </c>
      <c r="B211" s="5" t="s">
        <v>157</v>
      </c>
      <c r="C211" s="5" t="s">
        <v>157</v>
      </c>
      <c r="D211" s="1"/>
      <c r="E211" s="1" t="s">
        <v>173</v>
      </c>
      <c r="F211" s="409">
        <v>200000</v>
      </c>
      <c r="G211" s="416"/>
      <c r="H211" s="8" t="s">
        <v>174</v>
      </c>
      <c r="I211" s="1" t="s">
        <v>153</v>
      </c>
      <c r="J211" s="1" t="s">
        <v>154</v>
      </c>
      <c r="K211" s="1" t="s">
        <v>822</v>
      </c>
      <c r="L211" s="191"/>
      <c r="M211" s="1" t="s">
        <v>822</v>
      </c>
      <c r="N211" s="191" t="s">
        <v>830</v>
      </c>
      <c r="P211" s="1"/>
      <c r="Q211" t="s">
        <v>4266</v>
      </c>
    </row>
    <row r="212" spans="1:17" s="2" customFormat="1" ht="27.75" customHeight="1">
      <c r="A212" s="4">
        <v>209</v>
      </c>
      <c r="B212" s="5" t="s">
        <v>157</v>
      </c>
      <c r="C212" s="5" t="s">
        <v>157</v>
      </c>
      <c r="D212" s="1"/>
      <c r="E212" s="5" t="s">
        <v>175</v>
      </c>
      <c r="F212" s="416"/>
      <c r="G212" s="416">
        <v>10000</v>
      </c>
      <c r="H212" s="8" t="s">
        <v>176</v>
      </c>
      <c r="I212" s="1" t="s">
        <v>320</v>
      </c>
      <c r="J212" s="1" t="s">
        <v>321</v>
      </c>
      <c r="K212" s="1"/>
      <c r="L212" s="191"/>
      <c r="M212" s="1"/>
      <c r="N212" s="191" t="s">
        <v>794</v>
      </c>
      <c r="P212" s="1"/>
      <c r="Q212" t="s">
        <v>4266</v>
      </c>
    </row>
    <row r="213" spans="1:17" s="17" customFormat="1" ht="27.75" customHeight="1">
      <c r="A213" s="4">
        <v>210</v>
      </c>
      <c r="B213" s="13" t="s">
        <v>177</v>
      </c>
      <c r="C213" s="13" t="s">
        <v>178</v>
      </c>
      <c r="D213" s="16"/>
      <c r="E213" s="13" t="s">
        <v>179</v>
      </c>
      <c r="F213" s="417"/>
      <c r="G213" s="417">
        <v>150000</v>
      </c>
      <c r="H213" s="15" t="s">
        <v>180</v>
      </c>
      <c r="I213" s="16" t="s">
        <v>63</v>
      </c>
      <c r="J213" s="16" t="s">
        <v>54</v>
      </c>
      <c r="K213" s="16"/>
      <c r="L213" s="193"/>
      <c r="M213" s="1"/>
      <c r="N213" s="191" t="s">
        <v>3488</v>
      </c>
      <c r="P213" s="16"/>
      <c r="Q213" t="s">
        <v>4266</v>
      </c>
    </row>
    <row r="214" spans="1:17" s="2" customFormat="1" ht="27.75" customHeight="1">
      <c r="A214" s="4">
        <v>211</v>
      </c>
      <c r="B214" s="5" t="s">
        <v>181</v>
      </c>
      <c r="C214" s="5" t="s">
        <v>178</v>
      </c>
      <c r="D214" s="1"/>
      <c r="E214" s="5" t="s">
        <v>182</v>
      </c>
      <c r="F214" s="416"/>
      <c r="G214" s="416">
        <v>10000</v>
      </c>
      <c r="H214" s="8" t="s">
        <v>183</v>
      </c>
      <c r="I214" s="1" t="s">
        <v>320</v>
      </c>
      <c r="J214" s="1" t="s">
        <v>322</v>
      </c>
      <c r="K214" s="1" t="s">
        <v>794</v>
      </c>
      <c r="L214" s="191"/>
      <c r="M214" s="1" t="s">
        <v>794</v>
      </c>
      <c r="N214" s="191" t="s">
        <v>794</v>
      </c>
      <c r="P214" s="1"/>
      <c r="Q214" t="s">
        <v>4266</v>
      </c>
    </row>
    <row r="215" spans="1:17" s="17" customFormat="1" ht="27.75" customHeight="1">
      <c r="A215" s="4">
        <v>212</v>
      </c>
      <c r="B215" s="13" t="s">
        <v>181</v>
      </c>
      <c r="C215" s="13" t="s">
        <v>178</v>
      </c>
      <c r="D215" s="16"/>
      <c r="E215" s="13" t="s">
        <v>184</v>
      </c>
      <c r="F215" s="417"/>
      <c r="G215" s="417">
        <v>35000</v>
      </c>
      <c r="H215" s="15" t="s">
        <v>185</v>
      </c>
      <c r="I215" s="16" t="s">
        <v>379</v>
      </c>
      <c r="J215" s="16" t="s">
        <v>46</v>
      </c>
      <c r="K215" s="16"/>
      <c r="L215" s="193"/>
      <c r="M215" s="1"/>
      <c r="N215" s="191" t="s">
        <v>830</v>
      </c>
      <c r="P215" s="16" t="s">
        <v>3854</v>
      </c>
      <c r="Q215" t="s">
        <v>4266</v>
      </c>
    </row>
    <row r="216" spans="1:17" s="17" customFormat="1" ht="27.75" customHeight="1">
      <c r="A216" s="4">
        <v>213</v>
      </c>
      <c r="B216" s="13" t="s">
        <v>181</v>
      </c>
      <c r="C216" s="13" t="s">
        <v>178</v>
      </c>
      <c r="D216" s="16"/>
      <c r="E216" s="13" t="s">
        <v>186</v>
      </c>
      <c r="F216" s="417"/>
      <c r="G216" s="417">
        <v>20000</v>
      </c>
      <c r="H216" s="15" t="s">
        <v>187</v>
      </c>
      <c r="I216" s="16" t="s">
        <v>324</v>
      </c>
      <c r="J216" s="16" t="s">
        <v>46</v>
      </c>
      <c r="K216" s="16"/>
      <c r="L216" s="193"/>
      <c r="M216" s="1"/>
      <c r="N216" s="191" t="s">
        <v>831</v>
      </c>
      <c r="P216" s="1" t="s">
        <v>831</v>
      </c>
      <c r="Q216" t="s">
        <v>4266</v>
      </c>
    </row>
    <row r="217" spans="1:17" s="17" customFormat="1" ht="27.75" customHeight="1">
      <c r="A217" s="4">
        <v>214</v>
      </c>
      <c r="B217" s="13" t="s">
        <v>181</v>
      </c>
      <c r="C217" s="13" t="s">
        <v>178</v>
      </c>
      <c r="D217" s="16"/>
      <c r="E217" s="13" t="s">
        <v>188</v>
      </c>
      <c r="F217" s="417"/>
      <c r="G217" s="417">
        <v>25000</v>
      </c>
      <c r="H217" s="15" t="s">
        <v>189</v>
      </c>
      <c r="I217" s="16" t="s">
        <v>324</v>
      </c>
      <c r="J217" s="16" t="s">
        <v>46</v>
      </c>
      <c r="K217" s="16"/>
      <c r="L217" s="193"/>
      <c r="M217" s="1"/>
      <c r="N217" s="191" t="s">
        <v>831</v>
      </c>
      <c r="P217" s="1" t="s">
        <v>831</v>
      </c>
      <c r="Q217" t="s">
        <v>4266</v>
      </c>
    </row>
    <row r="218" spans="1:17" s="17" customFormat="1" ht="27.75" customHeight="1">
      <c r="A218" s="4">
        <v>215</v>
      </c>
      <c r="B218" s="13" t="s">
        <v>181</v>
      </c>
      <c r="C218" s="13" t="s">
        <v>178</v>
      </c>
      <c r="D218" s="16"/>
      <c r="E218" s="13" t="s">
        <v>190</v>
      </c>
      <c r="F218" s="417"/>
      <c r="G218" s="417">
        <v>20000</v>
      </c>
      <c r="H218" s="15" t="s">
        <v>191</v>
      </c>
      <c r="I218" s="16" t="s">
        <v>323</v>
      </c>
      <c r="J218" s="16" t="s">
        <v>46</v>
      </c>
      <c r="K218" s="16" t="s">
        <v>794</v>
      </c>
      <c r="L218" s="193"/>
      <c r="M218" s="1" t="s">
        <v>794</v>
      </c>
      <c r="N218" s="191" t="s">
        <v>831</v>
      </c>
      <c r="P218" s="1" t="s">
        <v>831</v>
      </c>
      <c r="Q218" t="s">
        <v>4266</v>
      </c>
    </row>
    <row r="219" spans="1:17" s="17" customFormat="1" ht="27.75" customHeight="1">
      <c r="A219" s="4">
        <v>216</v>
      </c>
      <c r="B219" s="13" t="s">
        <v>178</v>
      </c>
      <c r="C219" s="13" t="s">
        <v>178</v>
      </c>
      <c r="D219" s="16"/>
      <c r="E219" s="13" t="s">
        <v>192</v>
      </c>
      <c r="F219" s="417"/>
      <c r="G219" s="417">
        <v>40000</v>
      </c>
      <c r="H219" s="15" t="s">
        <v>193</v>
      </c>
      <c r="I219" s="16" t="s">
        <v>380</v>
      </c>
      <c r="J219" s="16" t="s">
        <v>46</v>
      </c>
      <c r="K219" s="16" t="s">
        <v>794</v>
      </c>
      <c r="L219" s="193"/>
      <c r="M219" s="1" t="s">
        <v>794</v>
      </c>
      <c r="N219" s="191" t="s">
        <v>794</v>
      </c>
      <c r="P219" s="16"/>
      <c r="Q219" t="s">
        <v>4266</v>
      </c>
    </row>
    <row r="220" spans="1:17" s="2" customFormat="1" ht="27.75" customHeight="1">
      <c r="A220" s="4">
        <v>217</v>
      </c>
      <c r="B220" s="5" t="s">
        <v>178</v>
      </c>
      <c r="C220" s="5" t="s">
        <v>178</v>
      </c>
      <c r="D220" s="1"/>
      <c r="E220" s="5" t="s">
        <v>194</v>
      </c>
      <c r="F220" s="416"/>
      <c r="G220" s="416">
        <v>95000</v>
      </c>
      <c r="H220" s="8" t="s">
        <v>195</v>
      </c>
      <c r="I220" s="1" t="s">
        <v>378</v>
      </c>
      <c r="J220" s="1" t="s">
        <v>112</v>
      </c>
      <c r="K220" s="1" t="s">
        <v>794</v>
      </c>
      <c r="L220" s="191"/>
      <c r="M220" s="1" t="s">
        <v>794</v>
      </c>
      <c r="N220" s="191" t="s">
        <v>3500</v>
      </c>
      <c r="P220" s="1" t="s">
        <v>3865</v>
      </c>
      <c r="Q220" t="s">
        <v>4266</v>
      </c>
    </row>
    <row r="221" spans="1:17" s="2" customFormat="1" ht="27.75" customHeight="1">
      <c r="A221" s="4">
        <v>218</v>
      </c>
      <c r="B221" s="5" t="s">
        <v>196</v>
      </c>
      <c r="C221" s="5" t="s">
        <v>196</v>
      </c>
      <c r="D221" s="1"/>
      <c r="E221" s="5" t="s">
        <v>197</v>
      </c>
      <c r="F221" s="416"/>
      <c r="G221" s="416">
        <v>75000</v>
      </c>
      <c r="H221" s="8" t="s">
        <v>198</v>
      </c>
      <c r="I221" s="1" t="s">
        <v>411</v>
      </c>
      <c r="J221" s="1" t="s">
        <v>31</v>
      </c>
      <c r="K221" s="1"/>
      <c r="L221" s="191"/>
      <c r="M221" s="1"/>
      <c r="N221" s="191" t="s">
        <v>794</v>
      </c>
      <c r="P221" s="1" t="s">
        <v>794</v>
      </c>
      <c r="Q221" t="s">
        <v>4266</v>
      </c>
    </row>
    <row r="222" spans="1:17" ht="27.75" customHeight="1">
      <c r="A222" s="622">
        <v>219</v>
      </c>
      <c r="B222" s="614" t="s">
        <v>196</v>
      </c>
      <c r="C222" s="614" t="s">
        <v>196</v>
      </c>
      <c r="D222" s="615"/>
      <c r="E222" s="614" t="s">
        <v>199</v>
      </c>
      <c r="F222" s="624">
        <v>291500</v>
      </c>
      <c r="G222" s="624"/>
      <c r="H222" s="625" t="s">
        <v>200</v>
      </c>
      <c r="I222" s="615" t="s">
        <v>325</v>
      </c>
      <c r="J222" s="615" t="s">
        <v>326</v>
      </c>
      <c r="K222" s="615" t="s">
        <v>794</v>
      </c>
      <c r="L222" s="621"/>
      <c r="M222" s="615" t="s">
        <v>794</v>
      </c>
      <c r="N222" s="621"/>
      <c r="P222" s="615" t="s">
        <v>3838</v>
      </c>
      <c r="Q222" s="612" t="s">
        <v>4278</v>
      </c>
    </row>
    <row r="223" spans="1:17" s="2" customFormat="1" ht="27.75" customHeight="1">
      <c r="A223" s="4">
        <v>220</v>
      </c>
      <c r="B223" s="5" t="s">
        <v>196</v>
      </c>
      <c r="C223" s="5" t="s">
        <v>196</v>
      </c>
      <c r="D223" s="1"/>
      <c r="E223" s="5" t="s">
        <v>201</v>
      </c>
      <c r="F223" s="416"/>
      <c r="G223" s="416">
        <v>60000</v>
      </c>
      <c r="H223" s="8" t="s">
        <v>202</v>
      </c>
      <c r="I223" s="1" t="s">
        <v>144</v>
      </c>
      <c r="J223" s="1" t="s">
        <v>143</v>
      </c>
      <c r="K223" s="1" t="s">
        <v>836</v>
      </c>
      <c r="L223" s="191"/>
      <c r="M223" s="1" t="s">
        <v>836</v>
      </c>
      <c r="N223" s="191" t="s">
        <v>3505</v>
      </c>
      <c r="P223" s="1"/>
      <c r="Q223" t="s">
        <v>4266</v>
      </c>
    </row>
    <row r="224" spans="1:17" s="2" customFormat="1" ht="27.75" customHeight="1">
      <c r="A224" s="4">
        <v>221</v>
      </c>
      <c r="B224" s="5" t="s">
        <v>196</v>
      </c>
      <c r="C224" s="5" t="s">
        <v>196</v>
      </c>
      <c r="D224" s="1"/>
      <c r="E224" s="5" t="s">
        <v>203</v>
      </c>
      <c r="F224" s="416"/>
      <c r="G224" s="416">
        <v>400000</v>
      </c>
      <c r="H224" s="8" t="s">
        <v>204</v>
      </c>
      <c r="I224" s="1" t="s">
        <v>102</v>
      </c>
      <c r="J224" s="1" t="s">
        <v>61</v>
      </c>
      <c r="K224" s="1"/>
      <c r="L224" s="191"/>
      <c r="M224" s="1"/>
      <c r="N224" s="191" t="s">
        <v>794</v>
      </c>
      <c r="P224" s="1"/>
      <c r="Q224" t="s">
        <v>4266</v>
      </c>
    </row>
    <row r="225" spans="1:17" s="2" customFormat="1" ht="27.75" customHeight="1">
      <c r="A225" s="4">
        <v>222</v>
      </c>
      <c r="B225" s="5" t="s">
        <v>196</v>
      </c>
      <c r="C225" s="5" t="s">
        <v>196</v>
      </c>
      <c r="D225" s="1"/>
      <c r="E225" s="5" t="s">
        <v>205</v>
      </c>
      <c r="F225" s="416"/>
      <c r="G225" s="416">
        <v>782600</v>
      </c>
      <c r="H225" s="8" t="s">
        <v>206</v>
      </c>
      <c r="I225" s="1" t="s">
        <v>137</v>
      </c>
      <c r="J225" s="1" t="s">
        <v>138</v>
      </c>
      <c r="K225" s="1" t="s">
        <v>823</v>
      </c>
      <c r="L225" s="191"/>
      <c r="M225" s="1" t="s">
        <v>823</v>
      </c>
      <c r="N225" s="191" t="s">
        <v>794</v>
      </c>
      <c r="P225" s="1" t="s">
        <v>3898</v>
      </c>
      <c r="Q225" t="s">
        <v>4266</v>
      </c>
    </row>
    <row r="226" spans="1:17" s="2" customFormat="1" ht="27.75" customHeight="1">
      <c r="A226" s="4">
        <v>223</v>
      </c>
      <c r="B226" s="5" t="s">
        <v>196</v>
      </c>
      <c r="C226" s="5" t="s">
        <v>196</v>
      </c>
      <c r="D226" s="1"/>
      <c r="E226" s="5" t="s">
        <v>207</v>
      </c>
      <c r="F226" s="416"/>
      <c r="G226" s="416">
        <v>300000</v>
      </c>
      <c r="H226" s="8" t="s">
        <v>208</v>
      </c>
      <c r="I226" s="1" t="s">
        <v>327</v>
      </c>
      <c r="J226" s="1" t="s">
        <v>328</v>
      </c>
      <c r="K226" s="1"/>
      <c r="L226" s="191"/>
      <c r="M226" s="1"/>
      <c r="N226" s="191" t="s">
        <v>3506</v>
      </c>
      <c r="P226" s="1"/>
      <c r="Q226" t="s">
        <v>4266</v>
      </c>
    </row>
    <row r="227" spans="1:17" s="2" customFormat="1" ht="27.75" customHeight="1">
      <c r="A227" s="4">
        <v>224</v>
      </c>
      <c r="B227" s="5" t="s">
        <v>209</v>
      </c>
      <c r="C227" s="5" t="s">
        <v>209</v>
      </c>
      <c r="D227" s="1"/>
      <c r="E227" s="1" t="s">
        <v>210</v>
      </c>
      <c r="F227" s="416"/>
      <c r="G227" s="416">
        <v>90000</v>
      </c>
      <c r="H227" s="8" t="s">
        <v>211</v>
      </c>
      <c r="I227" s="1" t="s">
        <v>329</v>
      </c>
      <c r="J227" s="1" t="s">
        <v>3582</v>
      </c>
      <c r="K227" s="1"/>
      <c r="L227" s="191"/>
      <c r="M227" s="1"/>
      <c r="N227" s="191" t="s">
        <v>794</v>
      </c>
      <c r="P227" s="1"/>
      <c r="Q227" t="s">
        <v>4266</v>
      </c>
    </row>
    <row r="228" spans="1:17" s="2" customFormat="1" ht="27.75" customHeight="1">
      <c r="A228" s="4">
        <v>225</v>
      </c>
      <c r="B228" s="5" t="s">
        <v>209</v>
      </c>
      <c r="C228" s="5" t="s">
        <v>209</v>
      </c>
      <c r="D228" s="1"/>
      <c r="E228" s="5" t="s">
        <v>212</v>
      </c>
      <c r="F228" s="416"/>
      <c r="G228" s="416">
        <v>50000</v>
      </c>
      <c r="H228" s="8" t="s">
        <v>213</v>
      </c>
      <c r="I228" s="1" t="s">
        <v>149</v>
      </c>
      <c r="J228" s="1" t="s">
        <v>150</v>
      </c>
      <c r="K228" s="1"/>
      <c r="L228" s="191"/>
      <c r="M228" s="1"/>
      <c r="N228" s="191" t="s">
        <v>794</v>
      </c>
      <c r="P228" s="1"/>
      <c r="Q228" t="s">
        <v>4266</v>
      </c>
    </row>
    <row r="229" spans="1:17" s="2" customFormat="1" ht="27.75" customHeight="1">
      <c r="A229" s="4">
        <v>226</v>
      </c>
      <c r="B229" s="5" t="s">
        <v>209</v>
      </c>
      <c r="C229" s="5" t="s">
        <v>209</v>
      </c>
      <c r="D229" s="1"/>
      <c r="E229" s="5" t="s">
        <v>214</v>
      </c>
      <c r="F229" s="416"/>
      <c r="G229" s="416">
        <v>50000</v>
      </c>
      <c r="H229" s="8" t="s">
        <v>215</v>
      </c>
      <c r="I229" s="1" t="s">
        <v>371</v>
      </c>
      <c r="J229" s="1" t="s">
        <v>697</v>
      </c>
      <c r="K229" s="1"/>
      <c r="L229" s="191"/>
      <c r="M229" s="1"/>
      <c r="N229" s="191" t="s">
        <v>794</v>
      </c>
      <c r="P229" s="1"/>
      <c r="Q229" t="s">
        <v>4275</v>
      </c>
    </row>
    <row r="230" spans="1:17" s="2" customFormat="1" ht="27.75" customHeight="1">
      <c r="A230" s="4">
        <v>227</v>
      </c>
      <c r="B230" s="5" t="s">
        <v>209</v>
      </c>
      <c r="C230" s="5" t="s">
        <v>209</v>
      </c>
      <c r="D230" s="1"/>
      <c r="E230" s="5" t="s">
        <v>216</v>
      </c>
      <c r="F230" s="416"/>
      <c r="G230" s="416">
        <v>40000</v>
      </c>
      <c r="H230" s="8" t="s">
        <v>217</v>
      </c>
      <c r="I230" s="1" t="s">
        <v>371</v>
      </c>
      <c r="J230" s="1" t="s">
        <v>697</v>
      </c>
      <c r="K230" s="1"/>
      <c r="L230" s="191"/>
      <c r="M230" s="1"/>
      <c r="N230" s="191" t="s">
        <v>794</v>
      </c>
      <c r="P230" s="1"/>
      <c r="Q230" t="s">
        <v>4275</v>
      </c>
    </row>
    <row r="231" spans="1:17" s="2" customFormat="1" ht="27.75" customHeight="1">
      <c r="A231" s="4">
        <v>228</v>
      </c>
      <c r="B231" s="5" t="s">
        <v>209</v>
      </c>
      <c r="C231" s="5" t="s">
        <v>209</v>
      </c>
      <c r="D231" s="1"/>
      <c r="E231" s="5" t="s">
        <v>218</v>
      </c>
      <c r="F231" s="416"/>
      <c r="G231" s="416">
        <v>500000</v>
      </c>
      <c r="H231" s="8" t="s">
        <v>219</v>
      </c>
      <c r="I231" s="1" t="s">
        <v>330</v>
      </c>
      <c r="J231" s="1" t="s">
        <v>697</v>
      </c>
      <c r="K231" s="1"/>
      <c r="L231" s="191"/>
      <c r="M231" s="1"/>
      <c r="N231" s="191" t="s">
        <v>3575</v>
      </c>
      <c r="P231" s="1"/>
      <c r="Q231" t="s">
        <v>4279</v>
      </c>
    </row>
    <row r="232" spans="1:17" s="2" customFormat="1" ht="27.75" customHeight="1">
      <c r="A232" s="4">
        <v>229</v>
      </c>
      <c r="B232" s="5" t="s">
        <v>209</v>
      </c>
      <c r="C232" s="5" t="s">
        <v>209</v>
      </c>
      <c r="D232" s="1"/>
      <c r="E232" s="5" t="s">
        <v>220</v>
      </c>
      <c r="F232" s="416"/>
      <c r="G232" s="416">
        <v>460000</v>
      </c>
      <c r="H232" s="8" t="s">
        <v>221</v>
      </c>
      <c r="I232" s="1" t="s">
        <v>330</v>
      </c>
      <c r="J232" s="1" t="s">
        <v>697</v>
      </c>
      <c r="K232" s="1"/>
      <c r="L232" s="191"/>
      <c r="M232" s="1"/>
      <c r="N232" s="191" t="s">
        <v>3575</v>
      </c>
      <c r="P232" s="1"/>
      <c r="Q232" t="s">
        <v>4279</v>
      </c>
    </row>
    <row r="233" spans="1:17" s="17" customFormat="1" ht="27.75" customHeight="1">
      <c r="A233" s="4">
        <v>230</v>
      </c>
      <c r="B233" s="13" t="s">
        <v>209</v>
      </c>
      <c r="C233" s="13" t="s">
        <v>209</v>
      </c>
      <c r="D233" s="16"/>
      <c r="E233" s="13" t="s">
        <v>222</v>
      </c>
      <c r="F233" s="417"/>
      <c r="G233" s="417">
        <v>381000</v>
      </c>
      <c r="H233" s="15" t="s">
        <v>223</v>
      </c>
      <c r="I233" s="16" t="s">
        <v>331</v>
      </c>
      <c r="J233" s="16" t="s">
        <v>95</v>
      </c>
      <c r="K233" s="16" t="s">
        <v>794</v>
      </c>
      <c r="L233" s="193"/>
      <c r="M233" s="1" t="s">
        <v>794</v>
      </c>
      <c r="N233" s="191" t="s">
        <v>3498</v>
      </c>
      <c r="P233" s="16"/>
      <c r="Q233" t="s">
        <v>4266</v>
      </c>
    </row>
    <row r="234" spans="1:17" s="2" customFormat="1" ht="27.75" customHeight="1">
      <c r="A234" s="4">
        <v>231</v>
      </c>
      <c r="B234" s="5" t="s">
        <v>209</v>
      </c>
      <c r="C234" s="5" t="s">
        <v>209</v>
      </c>
      <c r="D234" s="1"/>
      <c r="E234" s="5" t="s">
        <v>224</v>
      </c>
      <c r="F234" s="416"/>
      <c r="G234" s="416">
        <v>300000</v>
      </c>
      <c r="H234" s="8" t="s">
        <v>225</v>
      </c>
      <c r="I234" s="1" t="s">
        <v>332</v>
      </c>
      <c r="J234" s="1" t="s">
        <v>333</v>
      </c>
      <c r="K234" s="1"/>
      <c r="L234" s="191"/>
      <c r="M234" s="1"/>
      <c r="N234" s="191" t="s">
        <v>3507</v>
      </c>
      <c r="P234" s="1"/>
      <c r="Q234" t="s">
        <v>4266</v>
      </c>
    </row>
    <row r="235" spans="1:17" s="2" customFormat="1" ht="27.75" customHeight="1">
      <c r="A235" s="4">
        <v>232</v>
      </c>
      <c r="B235" s="5" t="s">
        <v>209</v>
      </c>
      <c r="C235" s="5" t="s">
        <v>209</v>
      </c>
      <c r="D235" s="1"/>
      <c r="E235" s="5" t="s">
        <v>226</v>
      </c>
      <c r="F235" s="416"/>
      <c r="G235" s="416">
        <v>86000</v>
      </c>
      <c r="H235" s="8" t="s">
        <v>227</v>
      </c>
      <c r="I235" s="1" t="s">
        <v>334</v>
      </c>
      <c r="J235" s="1" t="s">
        <v>335</v>
      </c>
      <c r="K235" s="1" t="s">
        <v>823</v>
      </c>
      <c r="L235" s="191"/>
      <c r="M235" s="1" t="s">
        <v>823</v>
      </c>
      <c r="N235" s="191" t="s">
        <v>3575</v>
      </c>
      <c r="P235" s="1" t="s">
        <v>794</v>
      </c>
      <c r="Q235" t="s">
        <v>4266</v>
      </c>
    </row>
    <row r="236" spans="1:17" s="17" customFormat="1" ht="27.75" customHeight="1">
      <c r="A236" s="4">
        <v>233</v>
      </c>
      <c r="B236" s="13" t="s">
        <v>209</v>
      </c>
      <c r="C236" s="13" t="s">
        <v>209</v>
      </c>
      <c r="D236" s="16"/>
      <c r="E236" s="13" t="s">
        <v>228</v>
      </c>
      <c r="F236" s="417"/>
      <c r="G236" s="417">
        <v>50000</v>
      </c>
      <c r="H236" s="15" t="s">
        <v>229</v>
      </c>
      <c r="I236" s="16" t="s">
        <v>376</v>
      </c>
      <c r="J236" s="16" t="s">
        <v>336</v>
      </c>
      <c r="K236" s="16" t="s">
        <v>794</v>
      </c>
      <c r="L236" s="193"/>
      <c r="M236" s="1" t="s">
        <v>794</v>
      </c>
      <c r="N236" s="191" t="s">
        <v>794</v>
      </c>
      <c r="P236" s="16"/>
      <c r="Q236" t="s">
        <v>4266</v>
      </c>
    </row>
    <row r="237" spans="1:17" s="2" customFormat="1" ht="27.75" customHeight="1">
      <c r="A237" s="4">
        <v>234</v>
      </c>
      <c r="B237" s="5" t="s">
        <v>209</v>
      </c>
      <c r="C237" s="5" t="s">
        <v>209</v>
      </c>
      <c r="D237" s="1"/>
      <c r="E237" s="5" t="s">
        <v>230</v>
      </c>
      <c r="F237" s="416"/>
      <c r="G237" s="416">
        <v>95000</v>
      </c>
      <c r="H237" s="8" t="s">
        <v>231</v>
      </c>
      <c r="I237" s="1" t="s">
        <v>378</v>
      </c>
      <c r="J237" s="1" t="s">
        <v>112</v>
      </c>
      <c r="K237" s="1" t="s">
        <v>794</v>
      </c>
      <c r="L237" s="191"/>
      <c r="M237" s="1" t="s">
        <v>794</v>
      </c>
      <c r="N237" s="191" t="s">
        <v>3500</v>
      </c>
      <c r="P237" s="1" t="s">
        <v>3865</v>
      </c>
      <c r="Q237" t="s">
        <v>4266</v>
      </c>
    </row>
    <row r="238" spans="1:17" s="2" customFormat="1" ht="27.75" customHeight="1">
      <c r="A238" s="4">
        <v>235</v>
      </c>
      <c r="B238" s="5" t="s">
        <v>232</v>
      </c>
      <c r="C238" s="5" t="s">
        <v>232</v>
      </c>
      <c r="D238" s="1"/>
      <c r="E238" s="5" t="s">
        <v>233</v>
      </c>
      <c r="F238" s="416"/>
      <c r="G238" s="409">
        <v>200000</v>
      </c>
      <c r="H238" s="8" t="s">
        <v>234</v>
      </c>
      <c r="I238" s="1" t="s">
        <v>153</v>
      </c>
      <c r="J238" s="1" t="s">
        <v>154</v>
      </c>
      <c r="K238" s="1"/>
      <c r="L238" s="191"/>
      <c r="M238" s="1"/>
      <c r="N238" s="191" t="s">
        <v>794</v>
      </c>
      <c r="P238" s="1"/>
      <c r="Q238" t="s">
        <v>4266</v>
      </c>
    </row>
    <row r="239" spans="1:17" s="2" customFormat="1" ht="27.75" customHeight="1">
      <c r="A239" s="4">
        <v>236</v>
      </c>
      <c r="B239" s="5" t="s">
        <v>232</v>
      </c>
      <c r="C239" s="5" t="s">
        <v>232</v>
      </c>
      <c r="D239" s="1"/>
      <c r="E239" s="5" t="s">
        <v>235</v>
      </c>
      <c r="F239" s="409">
        <v>1000000</v>
      </c>
      <c r="G239" s="416"/>
      <c r="H239" s="8" t="s">
        <v>237</v>
      </c>
      <c r="I239" s="1" t="s">
        <v>4</v>
      </c>
      <c r="J239" s="1" t="s">
        <v>337</v>
      </c>
      <c r="K239" s="1" t="s">
        <v>823</v>
      </c>
      <c r="L239" s="191"/>
      <c r="M239" s="1" t="s">
        <v>823</v>
      </c>
      <c r="N239" s="2" t="s">
        <v>3508</v>
      </c>
      <c r="P239" s="1"/>
      <c r="Q239" t="s">
        <v>4268</v>
      </c>
    </row>
    <row r="240" spans="1:17" s="2" customFormat="1" ht="27.75" customHeight="1">
      <c r="A240" s="4">
        <v>237</v>
      </c>
      <c r="B240" s="5" t="s">
        <v>232</v>
      </c>
      <c r="C240" s="5" t="s">
        <v>232</v>
      </c>
      <c r="D240" s="1"/>
      <c r="E240" s="5" t="s">
        <v>238</v>
      </c>
      <c r="F240" s="416"/>
      <c r="G240" s="416">
        <v>300000</v>
      </c>
      <c r="H240" s="8" t="s">
        <v>239</v>
      </c>
      <c r="I240" s="1" t="s">
        <v>338</v>
      </c>
      <c r="J240" s="1" t="s">
        <v>339</v>
      </c>
      <c r="K240" s="1" t="s">
        <v>794</v>
      </c>
      <c r="L240" s="191"/>
      <c r="M240" s="1" t="s">
        <v>794</v>
      </c>
      <c r="N240" s="191" t="s">
        <v>830</v>
      </c>
      <c r="P240" s="1"/>
      <c r="Q240" t="s">
        <v>4266</v>
      </c>
    </row>
    <row r="241" spans="1:17" s="2" customFormat="1" ht="27.75" customHeight="1">
      <c r="A241" s="4">
        <v>238</v>
      </c>
      <c r="B241" s="5" t="s">
        <v>232</v>
      </c>
      <c r="C241" s="5" t="s">
        <v>232</v>
      </c>
      <c r="D241" s="1"/>
      <c r="E241" s="5" t="s">
        <v>240</v>
      </c>
      <c r="F241" s="416"/>
      <c r="G241" s="416">
        <v>640000</v>
      </c>
      <c r="H241" s="8" t="s">
        <v>241</v>
      </c>
      <c r="I241" s="1" t="s">
        <v>340</v>
      </c>
      <c r="J241" s="1" t="s">
        <v>150</v>
      </c>
      <c r="K241" s="1"/>
      <c r="L241" s="191"/>
      <c r="M241" s="1"/>
      <c r="N241" s="191" t="s">
        <v>794</v>
      </c>
      <c r="P241" s="1"/>
      <c r="Q241" t="s">
        <v>4266</v>
      </c>
    </row>
    <row r="242" spans="1:17" s="2" customFormat="1" ht="27.75" customHeight="1">
      <c r="A242" s="4">
        <v>239</v>
      </c>
      <c r="B242" s="5" t="s">
        <v>232</v>
      </c>
      <c r="C242" s="5" t="s">
        <v>232</v>
      </c>
      <c r="D242" s="1"/>
      <c r="E242" s="5" t="s">
        <v>242</v>
      </c>
      <c r="F242" s="416"/>
      <c r="G242" s="416">
        <v>400000</v>
      </c>
      <c r="H242" s="8" t="s">
        <v>243</v>
      </c>
      <c r="I242" s="1" t="s">
        <v>341</v>
      </c>
      <c r="J242" s="1" t="s">
        <v>65</v>
      </c>
      <c r="K242" s="1" t="s">
        <v>810</v>
      </c>
      <c r="L242" s="191"/>
      <c r="M242" s="1" t="s">
        <v>810</v>
      </c>
      <c r="N242" s="191" t="s">
        <v>3575</v>
      </c>
      <c r="P242" s="1"/>
      <c r="Q242" t="s">
        <v>4266</v>
      </c>
    </row>
    <row r="243" spans="1:17" s="2" customFormat="1" ht="27.75" customHeight="1">
      <c r="A243" s="4">
        <v>240</v>
      </c>
      <c r="B243" s="5" t="s">
        <v>232</v>
      </c>
      <c r="C243" s="5" t="s">
        <v>232</v>
      </c>
      <c r="D243" s="1"/>
      <c r="E243" s="5" t="s">
        <v>244</v>
      </c>
      <c r="F243" s="416"/>
      <c r="G243" s="416">
        <v>150000</v>
      </c>
      <c r="H243" s="8" t="s">
        <v>245</v>
      </c>
      <c r="I243" s="1" t="s">
        <v>342</v>
      </c>
      <c r="J243" s="1" t="s">
        <v>96</v>
      </c>
      <c r="K243" s="1"/>
      <c r="L243" s="191"/>
      <c r="M243" s="1"/>
      <c r="N243" s="191" t="s">
        <v>794</v>
      </c>
      <c r="P243" s="1" t="s">
        <v>794</v>
      </c>
      <c r="Q243" t="s">
        <v>4266</v>
      </c>
    </row>
    <row r="244" spans="1:17" s="2" customFormat="1" ht="27.75" customHeight="1">
      <c r="A244" s="4">
        <v>241</v>
      </c>
      <c r="B244" s="5" t="s">
        <v>232</v>
      </c>
      <c r="C244" s="5" t="s">
        <v>232</v>
      </c>
      <c r="D244" s="1"/>
      <c r="E244" s="5" t="s">
        <v>246</v>
      </c>
      <c r="F244" s="416"/>
      <c r="G244" s="416">
        <v>200000</v>
      </c>
      <c r="H244" s="8" t="s">
        <v>247</v>
      </c>
      <c r="I244" s="1" t="s">
        <v>343</v>
      </c>
      <c r="J244" s="1" t="s">
        <v>335</v>
      </c>
      <c r="K244" s="1"/>
      <c r="L244" s="191"/>
      <c r="M244" s="1"/>
      <c r="N244" s="191" t="s">
        <v>794</v>
      </c>
      <c r="P244" s="1"/>
      <c r="Q244" t="s">
        <v>4266</v>
      </c>
    </row>
    <row r="245" spans="1:17" s="2" customFormat="1" ht="27.75" customHeight="1">
      <c r="A245" s="4">
        <v>242</v>
      </c>
      <c r="B245" s="5" t="s">
        <v>232</v>
      </c>
      <c r="C245" s="5" t="s">
        <v>232</v>
      </c>
      <c r="D245" s="1"/>
      <c r="E245" s="5" t="s">
        <v>248</v>
      </c>
      <c r="F245" s="416"/>
      <c r="G245" s="416">
        <v>331000</v>
      </c>
      <c r="H245" s="8" t="s">
        <v>249</v>
      </c>
      <c r="I245" s="1" t="s">
        <v>147</v>
      </c>
      <c r="J245" s="1" t="s">
        <v>148</v>
      </c>
      <c r="K245" s="1" t="s">
        <v>823</v>
      </c>
      <c r="L245" s="191"/>
      <c r="M245" s="1" t="s">
        <v>823</v>
      </c>
      <c r="N245" s="191" t="s">
        <v>794</v>
      </c>
      <c r="P245" s="1"/>
      <c r="Q245" t="s">
        <v>4266</v>
      </c>
    </row>
    <row r="246" spans="1:17" s="2" customFormat="1" ht="27.75" customHeight="1">
      <c r="A246" s="4">
        <v>243</v>
      </c>
      <c r="B246" s="5" t="s">
        <v>232</v>
      </c>
      <c r="C246" s="5" t="s">
        <v>232</v>
      </c>
      <c r="D246" s="1"/>
      <c r="E246" s="5" t="s">
        <v>250</v>
      </c>
      <c r="F246" s="416"/>
      <c r="G246" s="416">
        <v>100</v>
      </c>
      <c r="H246" s="8" t="s">
        <v>251</v>
      </c>
      <c r="I246" s="1" t="s">
        <v>344</v>
      </c>
      <c r="J246" s="1" t="s">
        <v>97</v>
      </c>
      <c r="K246" s="1" t="s">
        <v>810</v>
      </c>
      <c r="L246" s="191"/>
      <c r="M246" s="1" t="s">
        <v>810</v>
      </c>
      <c r="N246" s="191" t="s">
        <v>794</v>
      </c>
      <c r="P246" s="1"/>
      <c r="Q246" t="s">
        <v>4266</v>
      </c>
    </row>
    <row r="247" spans="1:17" s="2" customFormat="1" ht="27.75" customHeight="1">
      <c r="A247" s="4">
        <v>244</v>
      </c>
      <c r="B247" s="5" t="s">
        <v>232</v>
      </c>
      <c r="C247" s="5" t="s">
        <v>232</v>
      </c>
      <c r="D247" s="1"/>
      <c r="E247" s="1" t="s">
        <v>252</v>
      </c>
      <c r="F247" s="416">
        <v>300000</v>
      </c>
      <c r="G247" s="416"/>
      <c r="H247" s="8" t="s">
        <v>253</v>
      </c>
      <c r="I247" s="1" t="s">
        <v>338</v>
      </c>
      <c r="J247" s="1" t="s">
        <v>837</v>
      </c>
      <c r="K247" s="1" t="s">
        <v>823</v>
      </c>
      <c r="L247" s="191"/>
      <c r="M247" s="1" t="s">
        <v>823</v>
      </c>
      <c r="N247" s="191" t="s">
        <v>830</v>
      </c>
      <c r="P247" s="1"/>
      <c r="Q247" t="s">
        <v>4266</v>
      </c>
    </row>
    <row r="248" spans="1:17" s="2" customFormat="1" ht="27.75" customHeight="1">
      <c r="A248" s="4">
        <v>245</v>
      </c>
      <c r="B248" s="5" t="s">
        <v>232</v>
      </c>
      <c r="C248" s="5" t="s">
        <v>232</v>
      </c>
      <c r="D248" s="1"/>
      <c r="E248" s="5" t="s">
        <v>254</v>
      </c>
      <c r="F248" s="416"/>
      <c r="G248" s="416">
        <v>19900</v>
      </c>
      <c r="H248" s="8" t="s">
        <v>255</v>
      </c>
      <c r="I248" s="1" t="s">
        <v>344</v>
      </c>
      <c r="J248" s="1" t="s">
        <v>97</v>
      </c>
      <c r="K248" s="1" t="s">
        <v>823</v>
      </c>
      <c r="L248" s="191"/>
      <c r="M248" s="1" t="s">
        <v>823</v>
      </c>
      <c r="N248" s="191" t="s">
        <v>794</v>
      </c>
      <c r="P248" s="1"/>
      <c r="Q248" t="s">
        <v>4266</v>
      </c>
    </row>
    <row r="249" spans="1:17" s="2" customFormat="1" ht="27.75" customHeight="1">
      <c r="A249" s="4">
        <v>246</v>
      </c>
      <c r="B249" s="5" t="s">
        <v>232</v>
      </c>
      <c r="C249" s="5" t="s">
        <v>232</v>
      </c>
      <c r="D249" s="1"/>
      <c r="E249" s="5" t="s">
        <v>256</v>
      </c>
      <c r="F249" s="416"/>
      <c r="G249" s="416">
        <v>50000</v>
      </c>
      <c r="H249" s="8" t="s">
        <v>257</v>
      </c>
      <c r="I249" s="1" t="s">
        <v>371</v>
      </c>
      <c r="J249" s="1" t="s">
        <v>697</v>
      </c>
      <c r="K249" s="1"/>
      <c r="L249" s="191"/>
      <c r="M249" s="1"/>
      <c r="N249" s="191" t="s">
        <v>794</v>
      </c>
      <c r="P249" s="1"/>
      <c r="Q249" t="s">
        <v>4275</v>
      </c>
    </row>
    <row r="250" spans="1:17" s="2" customFormat="1" ht="27.75" customHeight="1">
      <c r="A250" s="4">
        <v>247</v>
      </c>
      <c r="B250" s="5" t="s">
        <v>232</v>
      </c>
      <c r="C250" s="5" t="s">
        <v>232</v>
      </c>
      <c r="D250" s="1"/>
      <c r="E250" s="5" t="s">
        <v>258</v>
      </c>
      <c r="F250" s="416"/>
      <c r="G250" s="416">
        <v>40000</v>
      </c>
      <c r="H250" s="8" t="s">
        <v>259</v>
      </c>
      <c r="I250" s="1" t="s">
        <v>371</v>
      </c>
      <c r="J250" s="1" t="s">
        <v>697</v>
      </c>
      <c r="K250" s="1"/>
      <c r="L250" s="191"/>
      <c r="M250" s="1"/>
      <c r="N250" s="191" t="s">
        <v>794</v>
      </c>
      <c r="P250" s="1"/>
      <c r="Q250" t="s">
        <v>4275</v>
      </c>
    </row>
    <row r="251" spans="1:17" s="2" customFormat="1" ht="27.75" customHeight="1">
      <c r="A251" s="4">
        <v>248</v>
      </c>
      <c r="B251" s="5" t="s">
        <v>232</v>
      </c>
      <c r="C251" s="386" t="s">
        <v>232</v>
      </c>
      <c r="D251" s="596"/>
      <c r="E251" s="386" t="s">
        <v>260</v>
      </c>
      <c r="F251" s="599">
        <v>300000</v>
      </c>
      <c r="G251" s="599"/>
      <c r="H251" s="598" t="s">
        <v>261</v>
      </c>
      <c r="I251" s="596" t="s">
        <v>2</v>
      </c>
      <c r="J251" s="596" t="s">
        <v>337</v>
      </c>
      <c r="K251" s="1" t="s">
        <v>794</v>
      </c>
      <c r="L251" s="191"/>
      <c r="M251" s="1" t="s">
        <v>794</v>
      </c>
      <c r="N251" s="191"/>
      <c r="P251" s="1"/>
      <c r="Q251" t="s">
        <v>4265</v>
      </c>
    </row>
    <row r="252" spans="1:17" s="2" customFormat="1" ht="27.75" customHeight="1">
      <c r="A252" s="4">
        <v>249</v>
      </c>
      <c r="B252" s="5" t="s">
        <v>262</v>
      </c>
      <c r="C252" s="5" t="s">
        <v>262</v>
      </c>
      <c r="D252" s="1"/>
      <c r="E252" s="5" t="s">
        <v>263</v>
      </c>
      <c r="F252" s="416"/>
      <c r="G252" s="416">
        <v>5000</v>
      </c>
      <c r="H252" s="8" t="s">
        <v>264</v>
      </c>
      <c r="I252" s="1" t="s">
        <v>378</v>
      </c>
      <c r="J252" s="1" t="s">
        <v>112</v>
      </c>
      <c r="K252" s="1"/>
      <c r="L252" s="191"/>
      <c r="M252" s="1"/>
      <c r="N252" s="191" t="s">
        <v>3500</v>
      </c>
      <c r="P252" s="1" t="s">
        <v>3865</v>
      </c>
      <c r="Q252" t="s">
        <v>4266</v>
      </c>
    </row>
    <row r="253" spans="1:17" ht="27.75" customHeight="1">
      <c r="A253" s="622">
        <v>250</v>
      </c>
      <c r="B253" s="614" t="s">
        <v>262</v>
      </c>
      <c r="C253" s="614" t="s">
        <v>262</v>
      </c>
      <c r="D253" s="615"/>
      <c r="E253" s="614" t="s">
        <v>265</v>
      </c>
      <c r="F253" s="667">
        <v>1000000</v>
      </c>
      <c r="G253" s="624"/>
      <c r="H253" s="625" t="s">
        <v>266</v>
      </c>
      <c r="I253" s="615" t="s">
        <v>345</v>
      </c>
      <c r="J253" s="615" t="s">
        <v>346</v>
      </c>
      <c r="K253" s="615"/>
      <c r="L253" s="621"/>
      <c r="M253" s="615"/>
      <c r="N253" s="621"/>
      <c r="P253" s="615"/>
      <c r="Q253" s="612" t="s">
        <v>4280</v>
      </c>
    </row>
    <row r="254" spans="1:17" ht="27.75" customHeight="1">
      <c r="A254" s="622">
        <v>251</v>
      </c>
      <c r="B254" s="614" t="s">
        <v>262</v>
      </c>
      <c r="C254" s="614" t="s">
        <v>262</v>
      </c>
      <c r="D254" s="615"/>
      <c r="E254" s="614" t="s">
        <v>267</v>
      </c>
      <c r="F254" s="624">
        <v>500000</v>
      </c>
      <c r="G254" s="624"/>
      <c r="H254" s="625" t="s">
        <v>268</v>
      </c>
      <c r="I254" s="615" t="s">
        <v>345</v>
      </c>
      <c r="J254" s="615" t="s">
        <v>346</v>
      </c>
      <c r="K254" s="615"/>
      <c r="L254" s="621"/>
      <c r="M254" s="615"/>
      <c r="N254" s="621"/>
      <c r="P254" s="615"/>
      <c r="Q254" s="612" t="s">
        <v>4280</v>
      </c>
    </row>
    <row r="255" spans="1:17" s="2" customFormat="1" ht="27.75" customHeight="1">
      <c r="A255" s="4">
        <v>252</v>
      </c>
      <c r="B255" s="5" t="s">
        <v>262</v>
      </c>
      <c r="C255" s="224" t="s">
        <v>262</v>
      </c>
      <c r="D255" s="1"/>
      <c r="E255" s="5" t="s">
        <v>269</v>
      </c>
      <c r="F255" s="416"/>
      <c r="G255" s="416">
        <v>300000</v>
      </c>
      <c r="H255" s="8" t="s">
        <v>270</v>
      </c>
      <c r="I255" s="1" t="s">
        <v>338</v>
      </c>
      <c r="J255" s="1" t="s">
        <v>339</v>
      </c>
      <c r="K255" s="225"/>
      <c r="L255" s="226"/>
      <c r="M255" s="1"/>
      <c r="N255" s="191" t="s">
        <v>830</v>
      </c>
      <c r="P255" s="1"/>
      <c r="Q255" t="s">
        <v>4266</v>
      </c>
    </row>
    <row r="256" spans="1:17" s="2" customFormat="1" ht="27.75" customHeight="1">
      <c r="A256" s="4">
        <v>253</v>
      </c>
      <c r="B256" s="5" t="s">
        <v>262</v>
      </c>
      <c r="C256" s="224" t="s">
        <v>262</v>
      </c>
      <c r="D256" s="1"/>
      <c r="E256" s="1" t="s">
        <v>252</v>
      </c>
      <c r="F256" s="416">
        <v>300000</v>
      </c>
      <c r="G256" s="416"/>
      <c r="H256" s="8" t="s">
        <v>268</v>
      </c>
      <c r="I256" s="1" t="s">
        <v>338</v>
      </c>
      <c r="J256" s="1" t="s">
        <v>339</v>
      </c>
      <c r="K256" s="225" t="s">
        <v>794</v>
      </c>
      <c r="L256" s="226"/>
      <c r="M256" s="1" t="s">
        <v>794</v>
      </c>
      <c r="N256" s="191" t="s">
        <v>830</v>
      </c>
      <c r="P256" s="1"/>
      <c r="Q256" t="s">
        <v>4266</v>
      </c>
    </row>
    <row r="257" spans="1:17" s="2" customFormat="1" ht="27.75" customHeight="1">
      <c r="A257" s="4">
        <v>254</v>
      </c>
      <c r="B257" s="5" t="s">
        <v>262</v>
      </c>
      <c r="C257" s="5" t="s">
        <v>262</v>
      </c>
      <c r="D257" s="1"/>
      <c r="E257" s="5" t="s">
        <v>271</v>
      </c>
      <c r="F257" s="416"/>
      <c r="G257" s="416">
        <v>50000</v>
      </c>
      <c r="H257" s="8" t="s">
        <v>272</v>
      </c>
      <c r="I257" s="1" t="s">
        <v>371</v>
      </c>
      <c r="J257" s="1" t="s">
        <v>697</v>
      </c>
      <c r="K257" s="1"/>
      <c r="L257" s="191"/>
      <c r="M257" s="1"/>
      <c r="N257" s="191" t="s">
        <v>794</v>
      </c>
      <c r="P257" s="1"/>
      <c r="Q257" t="s">
        <v>4275</v>
      </c>
    </row>
    <row r="258" spans="1:17" s="2" customFormat="1" ht="27.75" customHeight="1">
      <c r="A258" s="4">
        <v>255</v>
      </c>
      <c r="B258" s="5" t="s">
        <v>262</v>
      </c>
      <c r="C258" s="5" t="s">
        <v>262</v>
      </c>
      <c r="D258" s="1"/>
      <c r="E258" s="5" t="s">
        <v>273</v>
      </c>
      <c r="F258" s="416"/>
      <c r="G258" s="416">
        <v>40000</v>
      </c>
      <c r="H258" s="8" t="s">
        <v>274</v>
      </c>
      <c r="I258" s="1" t="s">
        <v>371</v>
      </c>
      <c r="J258" s="1" t="s">
        <v>697</v>
      </c>
      <c r="K258" s="1"/>
      <c r="L258" s="191"/>
      <c r="M258" s="1"/>
      <c r="N258" s="191" t="s">
        <v>794</v>
      </c>
      <c r="P258" s="1"/>
      <c r="Q258" t="s">
        <v>4275</v>
      </c>
    </row>
    <row r="259" spans="1:17" ht="27.75" customHeight="1">
      <c r="A259" s="622">
        <v>256</v>
      </c>
      <c r="B259" s="614" t="s">
        <v>275</v>
      </c>
      <c r="C259" s="614" t="s">
        <v>275</v>
      </c>
      <c r="D259" s="615"/>
      <c r="E259" s="614" t="s">
        <v>276</v>
      </c>
      <c r="F259" s="624">
        <v>200000</v>
      </c>
      <c r="G259" s="624"/>
      <c r="H259" s="625" t="s">
        <v>277</v>
      </c>
      <c r="I259" s="615" t="s">
        <v>347</v>
      </c>
      <c r="J259" s="615" t="s">
        <v>348</v>
      </c>
      <c r="K259" s="615" t="s">
        <v>794</v>
      </c>
      <c r="L259" s="621"/>
      <c r="M259" s="615" t="s">
        <v>794</v>
      </c>
      <c r="N259" s="621"/>
      <c r="P259" s="615"/>
      <c r="Q259" s="612" t="s">
        <v>4281</v>
      </c>
    </row>
    <row r="260" spans="1:17" s="2" customFormat="1" ht="27.75" customHeight="1">
      <c r="A260" s="4">
        <v>257</v>
      </c>
      <c r="B260" s="5" t="s">
        <v>275</v>
      </c>
      <c r="C260" s="5" t="s">
        <v>275</v>
      </c>
      <c r="D260" s="1"/>
      <c r="E260" s="5" t="s">
        <v>278</v>
      </c>
      <c r="F260" s="409">
        <v>100000</v>
      </c>
      <c r="G260" s="416"/>
      <c r="H260" s="8" t="s">
        <v>279</v>
      </c>
      <c r="I260" s="1" t="s">
        <v>4</v>
      </c>
      <c r="J260" s="1" t="s">
        <v>337</v>
      </c>
      <c r="K260" s="1" t="s">
        <v>823</v>
      </c>
      <c r="L260" s="191"/>
      <c r="M260" s="1" t="s">
        <v>823</v>
      </c>
      <c r="N260" s="2" t="s">
        <v>3508</v>
      </c>
      <c r="P260" s="1"/>
      <c r="Q260" t="s">
        <v>4268</v>
      </c>
    </row>
    <row r="261" spans="1:17" s="2" customFormat="1" ht="27.75" customHeight="1">
      <c r="A261" s="4">
        <v>258</v>
      </c>
      <c r="B261" s="5" t="s">
        <v>381</v>
      </c>
      <c r="C261" s="5" t="s">
        <v>381</v>
      </c>
      <c r="D261" s="1"/>
      <c r="E261" s="5" t="s">
        <v>382</v>
      </c>
      <c r="F261" s="416"/>
      <c r="G261" s="416">
        <v>40000</v>
      </c>
      <c r="H261" s="8" t="s">
        <v>383</v>
      </c>
      <c r="I261" s="1" t="s">
        <v>371</v>
      </c>
      <c r="J261" s="1" t="s">
        <v>697</v>
      </c>
      <c r="K261" s="1"/>
      <c r="L261" s="191"/>
      <c r="M261" s="1"/>
      <c r="N261" s="191" t="s">
        <v>794</v>
      </c>
      <c r="P261" s="1"/>
      <c r="Q261" t="s">
        <v>4275</v>
      </c>
    </row>
    <row r="262" spans="1:17" s="2" customFormat="1" ht="27.75" customHeight="1">
      <c r="A262" s="4">
        <v>259</v>
      </c>
      <c r="B262" s="5" t="s">
        <v>381</v>
      </c>
      <c r="C262" s="5" t="s">
        <v>381</v>
      </c>
      <c r="D262" s="1"/>
      <c r="E262" s="5" t="s">
        <v>384</v>
      </c>
      <c r="F262" s="409">
        <v>300000</v>
      </c>
      <c r="G262" s="416"/>
      <c r="H262" s="8" t="s">
        <v>385</v>
      </c>
      <c r="I262" s="1" t="s">
        <v>4</v>
      </c>
      <c r="J262" s="1" t="s">
        <v>337</v>
      </c>
      <c r="K262" s="1" t="s">
        <v>794</v>
      </c>
      <c r="L262" s="191"/>
      <c r="M262" s="1" t="s">
        <v>794</v>
      </c>
      <c r="N262" s="191"/>
      <c r="P262" s="1"/>
      <c r="Q262" t="s">
        <v>4268</v>
      </c>
    </row>
    <row r="263" spans="1:17" s="17" customFormat="1" ht="27.75" customHeight="1">
      <c r="A263" s="4">
        <v>260</v>
      </c>
      <c r="B263" s="13" t="s">
        <v>381</v>
      </c>
      <c r="C263" s="13" t="s">
        <v>381</v>
      </c>
      <c r="D263" s="16"/>
      <c r="E263" s="13" t="s">
        <v>386</v>
      </c>
      <c r="F263" s="417"/>
      <c r="G263" s="417">
        <v>100000</v>
      </c>
      <c r="H263" s="15" t="s">
        <v>387</v>
      </c>
      <c r="I263" s="16" t="s">
        <v>411</v>
      </c>
      <c r="J263" s="16" t="s">
        <v>412</v>
      </c>
      <c r="K263" s="16"/>
      <c r="L263" s="193"/>
      <c r="M263" s="1"/>
      <c r="N263" s="191" t="s">
        <v>822</v>
      </c>
      <c r="P263" s="16" t="s">
        <v>794</v>
      </c>
      <c r="Q263" t="s">
        <v>4266</v>
      </c>
    </row>
    <row r="264" spans="1:17" s="2" customFormat="1" ht="27.75" customHeight="1">
      <c r="A264" s="4">
        <v>261</v>
      </c>
      <c r="B264" s="5" t="s">
        <v>381</v>
      </c>
      <c r="C264" s="5" t="s">
        <v>381</v>
      </c>
      <c r="D264" s="1"/>
      <c r="E264" s="5" t="s">
        <v>388</v>
      </c>
      <c r="F264" s="416"/>
      <c r="G264" s="416">
        <v>100000</v>
      </c>
      <c r="H264" s="8" t="s">
        <v>389</v>
      </c>
      <c r="I264" s="1" t="s">
        <v>413</v>
      </c>
      <c r="J264" s="1" t="s">
        <v>65</v>
      </c>
      <c r="K264" s="1" t="s">
        <v>823</v>
      </c>
      <c r="L264" s="191"/>
      <c r="M264" s="1" t="s">
        <v>823</v>
      </c>
      <c r="N264" s="191" t="s">
        <v>794</v>
      </c>
      <c r="P264" s="1"/>
      <c r="Q264" t="s">
        <v>4266</v>
      </c>
    </row>
    <row r="265" spans="1:17" s="2" customFormat="1" ht="27.75" customHeight="1">
      <c r="A265" s="4">
        <v>262</v>
      </c>
      <c r="B265" s="5" t="s">
        <v>381</v>
      </c>
      <c r="C265" s="5" t="s">
        <v>381</v>
      </c>
      <c r="D265" s="1"/>
      <c r="E265" s="5" t="s">
        <v>390</v>
      </c>
      <c r="F265" s="416"/>
      <c r="G265" s="416">
        <v>400000</v>
      </c>
      <c r="H265" s="8" t="s">
        <v>391</v>
      </c>
      <c r="I265" s="1" t="s">
        <v>375</v>
      </c>
      <c r="J265" s="1" t="s">
        <v>122</v>
      </c>
      <c r="K265" s="1"/>
      <c r="L265" s="191"/>
      <c r="M265" s="1"/>
      <c r="N265" s="191" t="s">
        <v>794</v>
      </c>
      <c r="P265" s="1"/>
      <c r="Q265" t="s">
        <v>4266</v>
      </c>
    </row>
    <row r="266" spans="1:17" s="17" customFormat="1" ht="27.75" customHeight="1">
      <c r="A266" s="4">
        <v>263</v>
      </c>
      <c r="B266" s="13" t="s">
        <v>381</v>
      </c>
      <c r="C266" s="13" t="s">
        <v>381</v>
      </c>
      <c r="D266" s="16"/>
      <c r="E266" s="13" t="s">
        <v>392</v>
      </c>
      <c r="F266" s="417"/>
      <c r="G266" s="417">
        <v>350000</v>
      </c>
      <c r="H266" s="15" t="s">
        <v>393</v>
      </c>
      <c r="I266" s="16" t="s">
        <v>104</v>
      </c>
      <c r="J266" s="16" t="s">
        <v>105</v>
      </c>
      <c r="K266" s="16" t="s">
        <v>794</v>
      </c>
      <c r="L266" s="193"/>
      <c r="M266" s="1" t="s">
        <v>794</v>
      </c>
      <c r="N266" s="191" t="s">
        <v>3497</v>
      </c>
      <c r="P266" s="16"/>
      <c r="Q266" t="s">
        <v>4266</v>
      </c>
    </row>
    <row r="267" spans="1:17" s="2" customFormat="1" ht="27.75" customHeight="1">
      <c r="A267" s="4">
        <v>264</v>
      </c>
      <c r="B267" s="5" t="s">
        <v>381</v>
      </c>
      <c r="C267" s="5" t="s">
        <v>381</v>
      </c>
      <c r="D267" s="1"/>
      <c r="E267" s="5" t="s">
        <v>394</v>
      </c>
      <c r="F267" s="416"/>
      <c r="G267" s="416">
        <v>40000</v>
      </c>
      <c r="H267" s="8" t="s">
        <v>395</v>
      </c>
      <c r="I267" s="1" t="s">
        <v>414</v>
      </c>
      <c r="J267" s="1" t="s">
        <v>322</v>
      </c>
      <c r="K267" s="1" t="s">
        <v>794</v>
      </c>
      <c r="L267" s="191"/>
      <c r="M267" s="1" t="s">
        <v>794</v>
      </c>
      <c r="N267" s="191" t="s">
        <v>3509</v>
      </c>
      <c r="P267" s="1"/>
      <c r="Q267" t="s">
        <v>4266</v>
      </c>
    </row>
    <row r="268" spans="1:17" s="2" customFormat="1" ht="27.75" customHeight="1">
      <c r="A268" s="4">
        <v>265</v>
      </c>
      <c r="B268" s="5" t="s">
        <v>381</v>
      </c>
      <c r="C268" s="5" t="s">
        <v>381</v>
      </c>
      <c r="D268" s="1"/>
      <c r="E268" s="5" t="s">
        <v>396</v>
      </c>
      <c r="F268" s="416"/>
      <c r="G268" s="416">
        <v>60000</v>
      </c>
      <c r="H268" s="8" t="s">
        <v>397</v>
      </c>
      <c r="I268" s="1" t="s">
        <v>414</v>
      </c>
      <c r="J268" s="1" t="s">
        <v>322</v>
      </c>
      <c r="K268" s="1" t="s">
        <v>794</v>
      </c>
      <c r="L268" s="191"/>
      <c r="M268" s="1" t="s">
        <v>794</v>
      </c>
      <c r="N268" s="191" t="s">
        <v>3509</v>
      </c>
      <c r="P268" s="1"/>
      <c r="Q268" t="s">
        <v>4266</v>
      </c>
    </row>
    <row r="269" spans="1:17" ht="27.75" customHeight="1">
      <c r="A269" s="622">
        <v>266</v>
      </c>
      <c r="B269" s="614" t="s">
        <v>381</v>
      </c>
      <c r="C269" s="614" t="s">
        <v>381</v>
      </c>
      <c r="D269" s="615"/>
      <c r="E269" s="614" t="s">
        <v>398</v>
      </c>
      <c r="F269" s="624">
        <v>842752</v>
      </c>
      <c r="G269" s="624"/>
      <c r="H269" s="625" t="s">
        <v>399</v>
      </c>
      <c r="I269" s="615" t="s">
        <v>720</v>
      </c>
      <c r="J269" s="615" t="s">
        <v>346</v>
      </c>
      <c r="K269" s="615" t="s">
        <v>794</v>
      </c>
      <c r="L269" s="621"/>
      <c r="M269" s="615" t="s">
        <v>794</v>
      </c>
      <c r="N269" s="621"/>
      <c r="P269" s="615"/>
      <c r="Q269" s="612" t="s">
        <v>4280</v>
      </c>
    </row>
    <row r="270" spans="1:17" ht="27.75" customHeight="1">
      <c r="A270" s="622">
        <v>267</v>
      </c>
      <c r="B270" s="614" t="s">
        <v>381</v>
      </c>
      <c r="C270" s="614" t="s">
        <v>381</v>
      </c>
      <c r="D270" s="615"/>
      <c r="E270" s="614" t="s">
        <v>400</v>
      </c>
      <c r="F270" s="624">
        <v>606386</v>
      </c>
      <c r="G270" s="624"/>
      <c r="H270" s="625" t="s">
        <v>401</v>
      </c>
      <c r="I270" s="615" t="s">
        <v>721</v>
      </c>
      <c r="J270" s="615" t="s">
        <v>346</v>
      </c>
      <c r="K270" s="615" t="s">
        <v>794</v>
      </c>
      <c r="L270" s="621"/>
      <c r="M270" s="615" t="s">
        <v>794</v>
      </c>
      <c r="N270" s="621"/>
      <c r="P270" s="615"/>
      <c r="Q270" s="612" t="s">
        <v>4280</v>
      </c>
    </row>
    <row r="271" spans="1:17" s="17" customFormat="1" ht="27.75" customHeight="1">
      <c r="A271" s="4">
        <v>268</v>
      </c>
      <c r="B271" s="13" t="s">
        <v>402</v>
      </c>
      <c r="C271" s="13" t="s">
        <v>402</v>
      </c>
      <c r="D271" s="16"/>
      <c r="E271" s="13" t="s">
        <v>403</v>
      </c>
      <c r="F271" s="417"/>
      <c r="G271" s="417">
        <v>90000</v>
      </c>
      <c r="H271" s="15" t="s">
        <v>404</v>
      </c>
      <c r="I271" s="16" t="s">
        <v>52</v>
      </c>
      <c r="J271" s="16" t="s">
        <v>43</v>
      </c>
      <c r="K271" s="16" t="s">
        <v>794</v>
      </c>
      <c r="L271" s="193" t="s">
        <v>842</v>
      </c>
      <c r="M271" s="1" t="s">
        <v>794</v>
      </c>
      <c r="N271" s="191" t="s">
        <v>3486</v>
      </c>
      <c r="P271" s="16"/>
      <c r="Q271" t="s">
        <v>4266</v>
      </c>
    </row>
    <row r="272" spans="1:17" s="17" customFormat="1" ht="27.75" customHeight="1">
      <c r="A272" s="4">
        <v>269</v>
      </c>
      <c r="B272" s="13" t="s">
        <v>402</v>
      </c>
      <c r="C272" s="13" t="s">
        <v>402</v>
      </c>
      <c r="D272" s="16"/>
      <c r="E272" s="13" t="s">
        <v>405</v>
      </c>
      <c r="F272" s="417"/>
      <c r="G272" s="417">
        <v>100000</v>
      </c>
      <c r="H272" s="15" t="s">
        <v>406</v>
      </c>
      <c r="I272" s="16" t="s">
        <v>411</v>
      </c>
      <c r="J272" s="16" t="s">
        <v>415</v>
      </c>
      <c r="K272" s="16"/>
      <c r="L272" s="193"/>
      <c r="M272" s="1"/>
      <c r="N272" s="191" t="s">
        <v>822</v>
      </c>
      <c r="P272" s="16" t="s">
        <v>794</v>
      </c>
      <c r="Q272" t="s">
        <v>4266</v>
      </c>
    </row>
    <row r="273" spans="1:17" s="2" customFormat="1" ht="27.75" customHeight="1">
      <c r="A273" s="4">
        <v>270</v>
      </c>
      <c r="B273" s="5" t="s">
        <v>402</v>
      </c>
      <c r="C273" s="5" t="s">
        <v>402</v>
      </c>
      <c r="D273" s="1"/>
      <c r="E273" s="5" t="s">
        <v>407</v>
      </c>
      <c r="F273" s="416"/>
      <c r="G273" s="416">
        <v>100000</v>
      </c>
      <c r="H273" s="8" t="s">
        <v>408</v>
      </c>
      <c r="I273" s="1" t="s">
        <v>411</v>
      </c>
      <c r="J273" s="1" t="s">
        <v>416</v>
      </c>
      <c r="K273" s="1" t="s">
        <v>823</v>
      </c>
      <c r="L273" s="191"/>
      <c r="M273" s="1" t="s">
        <v>823</v>
      </c>
      <c r="N273" s="191" t="s">
        <v>822</v>
      </c>
      <c r="P273" s="1" t="s">
        <v>794</v>
      </c>
      <c r="Q273" t="s">
        <v>4266</v>
      </c>
    </row>
    <row r="274" spans="1:17" s="2" customFormat="1" ht="27.75" customHeight="1">
      <c r="A274" s="4">
        <v>271</v>
      </c>
      <c r="B274" s="5" t="s">
        <v>402</v>
      </c>
      <c r="C274" s="5" t="s">
        <v>402</v>
      </c>
      <c r="D274" s="1"/>
      <c r="E274" s="5" t="s">
        <v>409</v>
      </c>
      <c r="F274" s="416"/>
      <c r="G274" s="416">
        <v>100000</v>
      </c>
      <c r="H274" s="8" t="s">
        <v>410</v>
      </c>
      <c r="I274" s="1" t="s">
        <v>313</v>
      </c>
      <c r="J274" s="1" t="s">
        <v>312</v>
      </c>
      <c r="K274" s="1" t="s">
        <v>794</v>
      </c>
      <c r="L274" s="191"/>
      <c r="M274" s="1" t="s">
        <v>794</v>
      </c>
      <c r="N274" s="191" t="s">
        <v>794</v>
      </c>
      <c r="P274" s="1"/>
      <c r="Q274" t="s">
        <v>4266</v>
      </c>
    </row>
    <row r="275" spans="1:17" s="2" customFormat="1" ht="27.75" customHeight="1">
      <c r="A275" s="4">
        <v>272</v>
      </c>
      <c r="B275" s="5" t="s">
        <v>402</v>
      </c>
      <c r="C275" s="5" t="s">
        <v>402</v>
      </c>
      <c r="D275" s="1"/>
      <c r="E275" s="5" t="s">
        <v>418</v>
      </c>
      <c r="F275" s="416"/>
      <c r="G275" s="416">
        <v>400000</v>
      </c>
      <c r="H275" s="8" t="s">
        <v>419</v>
      </c>
      <c r="I275" s="1" t="s">
        <v>463</v>
      </c>
      <c r="J275" s="1" t="s">
        <v>61</v>
      </c>
      <c r="K275" s="1"/>
      <c r="L275" s="191"/>
      <c r="M275" s="1"/>
      <c r="N275" s="191" t="s">
        <v>794</v>
      </c>
      <c r="P275" s="1"/>
      <c r="Q275" t="s">
        <v>4266</v>
      </c>
    </row>
    <row r="276" spans="1:17" s="17" customFormat="1" ht="27.75" customHeight="1">
      <c r="A276" s="4">
        <v>273</v>
      </c>
      <c r="B276" s="13" t="s">
        <v>420</v>
      </c>
      <c r="C276" s="13" t="s">
        <v>420</v>
      </c>
      <c r="D276" s="16"/>
      <c r="E276" s="13" t="s">
        <v>421</v>
      </c>
      <c r="F276" s="417"/>
      <c r="G276" s="417">
        <v>180000</v>
      </c>
      <c r="H276" s="15" t="s">
        <v>422</v>
      </c>
      <c r="I276" s="16" t="s">
        <v>376</v>
      </c>
      <c r="J276" s="16" t="s">
        <v>336</v>
      </c>
      <c r="K276" s="16"/>
      <c r="L276" s="193"/>
      <c r="M276" s="1"/>
      <c r="N276" s="191" t="s">
        <v>794</v>
      </c>
      <c r="P276" s="16"/>
      <c r="Q276" t="s">
        <v>4266</v>
      </c>
    </row>
    <row r="277" spans="1:17" s="2" customFormat="1" ht="27.75" customHeight="1">
      <c r="A277" s="4">
        <v>274</v>
      </c>
      <c r="B277" s="5" t="s">
        <v>420</v>
      </c>
      <c r="C277" s="5" t="s">
        <v>420</v>
      </c>
      <c r="D277" s="1"/>
      <c r="E277" s="5" t="s">
        <v>423</v>
      </c>
      <c r="F277" s="416"/>
      <c r="G277" s="416">
        <v>5000</v>
      </c>
      <c r="H277" s="8" t="s">
        <v>424</v>
      </c>
      <c r="I277" s="1" t="s">
        <v>464</v>
      </c>
      <c r="J277" s="1" t="s">
        <v>465</v>
      </c>
      <c r="K277" s="1"/>
      <c r="L277" s="191"/>
      <c r="M277" s="1"/>
      <c r="N277" s="191" t="s">
        <v>794</v>
      </c>
      <c r="P277" s="1" t="s">
        <v>794</v>
      </c>
      <c r="Q277" t="s">
        <v>4266</v>
      </c>
    </row>
    <row r="278" spans="1:17" s="2" customFormat="1" ht="27.75" customHeight="1">
      <c r="A278" s="4">
        <v>275</v>
      </c>
      <c r="B278" s="5" t="s">
        <v>420</v>
      </c>
      <c r="C278" s="5" t="s">
        <v>420</v>
      </c>
      <c r="D278" s="1"/>
      <c r="E278" s="5" t="s">
        <v>425</v>
      </c>
      <c r="F278" s="416"/>
      <c r="G278" s="416">
        <v>5000</v>
      </c>
      <c r="H278" s="8" t="s">
        <v>426</v>
      </c>
      <c r="I278" s="1" t="s">
        <v>610</v>
      </c>
      <c r="J278" s="1" t="s">
        <v>467</v>
      </c>
      <c r="K278" s="1" t="s">
        <v>823</v>
      </c>
      <c r="L278" s="191"/>
      <c r="M278" s="1"/>
      <c r="N278" s="191" t="s">
        <v>794</v>
      </c>
      <c r="P278" s="1" t="s">
        <v>794</v>
      </c>
      <c r="Q278" t="s">
        <v>4266</v>
      </c>
    </row>
    <row r="279" spans="1:17" s="2" customFormat="1" ht="27.75" customHeight="1">
      <c r="A279" s="4">
        <v>276</v>
      </c>
      <c r="B279" s="5" t="s">
        <v>427</v>
      </c>
      <c r="C279" s="5" t="s">
        <v>427</v>
      </c>
      <c r="D279" s="1"/>
      <c r="E279" s="5" t="s">
        <v>428</v>
      </c>
      <c r="F279" s="416"/>
      <c r="G279" s="416">
        <v>92500</v>
      </c>
      <c r="H279" s="8" t="s">
        <v>429</v>
      </c>
      <c r="I279" s="1" t="s">
        <v>414</v>
      </c>
      <c r="J279" s="1" t="s">
        <v>322</v>
      </c>
      <c r="K279" s="1" t="s">
        <v>794</v>
      </c>
      <c r="L279" s="191"/>
      <c r="M279" s="1" t="s">
        <v>794</v>
      </c>
      <c r="N279" s="191" t="s">
        <v>3509</v>
      </c>
      <c r="P279" s="1"/>
      <c r="Q279" t="s">
        <v>4266</v>
      </c>
    </row>
    <row r="280" spans="1:17" ht="27.75" customHeight="1">
      <c r="A280" s="622">
        <v>277</v>
      </c>
      <c r="B280" s="614" t="s">
        <v>427</v>
      </c>
      <c r="C280" s="614" t="s">
        <v>427</v>
      </c>
      <c r="D280" s="615"/>
      <c r="E280" s="614" t="s">
        <v>430</v>
      </c>
      <c r="F280" s="624">
        <v>200000</v>
      </c>
      <c r="G280" s="624"/>
      <c r="H280" s="625" t="s">
        <v>431</v>
      </c>
      <c r="I280" s="615" t="s">
        <v>468</v>
      </c>
      <c r="J280" s="615" t="s">
        <v>469</v>
      </c>
      <c r="K280" s="615"/>
      <c r="L280" s="621"/>
      <c r="M280" s="615"/>
      <c r="N280" s="621"/>
      <c r="P280" s="615"/>
      <c r="Q280" s="612" t="s">
        <v>4281</v>
      </c>
    </row>
    <row r="281" spans="1:17" s="2" customFormat="1" ht="27.75" customHeight="1">
      <c r="A281" s="4">
        <v>278</v>
      </c>
      <c r="B281" s="5" t="s">
        <v>432</v>
      </c>
      <c r="C281" s="5" t="s">
        <v>432</v>
      </c>
      <c r="D281" s="1"/>
      <c r="E281" s="5" t="s">
        <v>433</v>
      </c>
      <c r="F281" s="416"/>
      <c r="G281" s="416">
        <v>720000</v>
      </c>
      <c r="H281" s="8" t="s">
        <v>434</v>
      </c>
      <c r="I281" s="1" t="s">
        <v>470</v>
      </c>
      <c r="J281" s="1" t="s">
        <v>471</v>
      </c>
      <c r="K281" s="1"/>
      <c r="L281" s="191"/>
      <c r="M281" s="1"/>
      <c r="N281" s="191" t="s">
        <v>822</v>
      </c>
      <c r="P281" s="1"/>
      <c r="Q281" t="s">
        <v>4266</v>
      </c>
    </row>
    <row r="282" spans="1:17" s="2" customFormat="1" ht="27.75" customHeight="1">
      <c r="A282" s="4">
        <v>279</v>
      </c>
      <c r="B282" s="5" t="s">
        <v>432</v>
      </c>
      <c r="C282" s="5" t="s">
        <v>432</v>
      </c>
      <c r="D282" s="1"/>
      <c r="E282" s="5" t="s">
        <v>238</v>
      </c>
      <c r="F282" s="416"/>
      <c r="G282" s="416">
        <v>300000</v>
      </c>
      <c r="H282" s="8" t="s">
        <v>435</v>
      </c>
      <c r="I282" s="1" t="s">
        <v>338</v>
      </c>
      <c r="J282" s="1" t="s">
        <v>339</v>
      </c>
      <c r="K282" s="1" t="s">
        <v>822</v>
      </c>
      <c r="L282" s="191"/>
      <c r="M282" s="1" t="s">
        <v>822</v>
      </c>
      <c r="N282" s="191" t="s">
        <v>794</v>
      </c>
      <c r="P282" s="1"/>
      <c r="Q282" t="s">
        <v>4266</v>
      </c>
    </row>
    <row r="283" spans="1:17" s="2" customFormat="1" ht="27.75" customHeight="1">
      <c r="A283" s="4">
        <v>280</v>
      </c>
      <c r="B283" s="5" t="s">
        <v>436</v>
      </c>
      <c r="C283" s="5" t="s">
        <v>436</v>
      </c>
      <c r="D283" s="1"/>
      <c r="E283" s="5" t="s">
        <v>437</v>
      </c>
      <c r="F283" s="416"/>
      <c r="G283" s="416">
        <v>178500</v>
      </c>
      <c r="H283" s="8" t="s">
        <v>438</v>
      </c>
      <c r="I283" s="1" t="s">
        <v>472</v>
      </c>
      <c r="J283" s="1" t="s">
        <v>92</v>
      </c>
      <c r="K283" s="1" t="s">
        <v>794</v>
      </c>
      <c r="L283" s="191"/>
      <c r="M283" s="1" t="s">
        <v>794</v>
      </c>
      <c r="N283" s="191" t="s">
        <v>794</v>
      </c>
      <c r="P283" s="1"/>
      <c r="Q283" t="s">
        <v>4266</v>
      </c>
    </row>
    <row r="284" spans="1:17" s="2" customFormat="1" ht="27.75" customHeight="1">
      <c r="A284" s="4">
        <v>281</v>
      </c>
      <c r="B284" s="5" t="s">
        <v>436</v>
      </c>
      <c r="C284" s="5" t="s">
        <v>436</v>
      </c>
      <c r="D284" s="1"/>
      <c r="E284" s="5" t="s">
        <v>439</v>
      </c>
      <c r="F284" s="416">
        <v>100000</v>
      </c>
      <c r="G284" s="416"/>
      <c r="H284" s="8" t="s">
        <v>440</v>
      </c>
      <c r="I284" s="1" t="s">
        <v>364</v>
      </c>
      <c r="J284" s="1" t="s">
        <v>473</v>
      </c>
      <c r="K284" s="1" t="s">
        <v>794</v>
      </c>
      <c r="L284" s="191"/>
      <c r="M284" s="1"/>
      <c r="N284" s="191" t="s">
        <v>840</v>
      </c>
      <c r="P284" s="1"/>
      <c r="Q284" t="s">
        <v>4266</v>
      </c>
    </row>
    <row r="285" spans="1:17" s="2" customFormat="1" ht="27.75" customHeight="1">
      <c r="A285" s="4">
        <v>282</v>
      </c>
      <c r="B285" s="5" t="s">
        <v>441</v>
      </c>
      <c r="C285" s="5" t="s">
        <v>441</v>
      </c>
      <c r="D285" s="1"/>
      <c r="E285" s="1" t="s">
        <v>442</v>
      </c>
      <c r="F285" s="416"/>
      <c r="G285" s="416">
        <v>160000</v>
      </c>
      <c r="H285" s="8" t="s">
        <v>443</v>
      </c>
      <c r="I285" s="1" t="s">
        <v>474</v>
      </c>
      <c r="J285" s="1" t="s">
        <v>90</v>
      </c>
      <c r="K285" s="1" t="s">
        <v>794</v>
      </c>
      <c r="L285" s="191"/>
      <c r="M285" s="1" t="s">
        <v>794</v>
      </c>
      <c r="N285" s="191" t="s">
        <v>3574</v>
      </c>
      <c r="P285" s="1"/>
      <c r="Q285" t="s">
        <v>4266</v>
      </c>
    </row>
    <row r="286" spans="1:17" ht="27.75" customHeight="1">
      <c r="A286" s="622">
        <v>283</v>
      </c>
      <c r="B286" s="614" t="s">
        <v>441</v>
      </c>
      <c r="C286" s="614" t="s">
        <v>441</v>
      </c>
      <c r="D286" s="615"/>
      <c r="E286" s="614" t="s">
        <v>444</v>
      </c>
      <c r="F286" s="624">
        <v>100000</v>
      </c>
      <c r="G286" s="624"/>
      <c r="H286" s="625" t="s">
        <v>445</v>
      </c>
      <c r="I286" s="615" t="s">
        <v>475</v>
      </c>
      <c r="J286" s="615" t="s">
        <v>725</v>
      </c>
      <c r="K286" s="615"/>
      <c r="L286" s="621"/>
      <c r="M286" s="615"/>
      <c r="N286" s="621"/>
      <c r="P286" s="615"/>
      <c r="Q286" s="612" t="s">
        <v>4282</v>
      </c>
    </row>
    <row r="287" spans="1:17" s="17" customFormat="1" ht="27.75" customHeight="1">
      <c r="A287" s="4">
        <v>284</v>
      </c>
      <c r="B287" s="13" t="s">
        <v>446</v>
      </c>
      <c r="C287" s="13" t="s">
        <v>446</v>
      </c>
      <c r="D287" s="16"/>
      <c r="E287" s="13" t="s">
        <v>447</v>
      </c>
      <c r="F287" s="417"/>
      <c r="G287" s="417">
        <v>120000</v>
      </c>
      <c r="H287" s="15" t="s">
        <v>448</v>
      </c>
      <c r="I287" s="16" t="s">
        <v>376</v>
      </c>
      <c r="J287" s="16" t="s">
        <v>336</v>
      </c>
      <c r="K287" s="16" t="s">
        <v>794</v>
      </c>
      <c r="L287" s="193"/>
      <c r="M287" s="1" t="s">
        <v>794</v>
      </c>
      <c r="N287" s="191" t="s">
        <v>794</v>
      </c>
      <c r="P287" s="16"/>
      <c r="Q287" t="s">
        <v>4266</v>
      </c>
    </row>
    <row r="288" spans="1:17" s="2" customFormat="1" ht="27.75" customHeight="1">
      <c r="A288" s="4">
        <v>285</v>
      </c>
      <c r="B288" s="5" t="s">
        <v>446</v>
      </c>
      <c r="C288" s="5" t="s">
        <v>446</v>
      </c>
      <c r="D288" s="1"/>
      <c r="E288" s="5" t="s">
        <v>449</v>
      </c>
      <c r="F288" s="416"/>
      <c r="G288" s="416">
        <v>90000</v>
      </c>
      <c r="H288" s="8" t="s">
        <v>450</v>
      </c>
      <c r="I288" s="1" t="s">
        <v>144</v>
      </c>
      <c r="J288" s="1" t="s">
        <v>143</v>
      </c>
      <c r="K288" s="1" t="s">
        <v>822</v>
      </c>
      <c r="L288" s="191"/>
      <c r="M288" s="1" t="s">
        <v>822</v>
      </c>
      <c r="N288" s="191" t="s">
        <v>3505</v>
      </c>
      <c r="P288" s="1"/>
      <c r="Q288" t="s">
        <v>4266</v>
      </c>
    </row>
    <row r="289" spans="1:17" ht="27.75" customHeight="1">
      <c r="A289" s="622">
        <v>286</v>
      </c>
      <c r="B289" s="614" t="s">
        <v>446</v>
      </c>
      <c r="C289" s="614" t="s">
        <v>446</v>
      </c>
      <c r="D289" s="615"/>
      <c r="E289" s="614" t="s">
        <v>451</v>
      </c>
      <c r="F289" s="667">
        <v>1000000</v>
      </c>
      <c r="G289" s="624"/>
      <c r="H289" s="625" t="s">
        <v>452</v>
      </c>
      <c r="I289" s="615" t="s">
        <v>621</v>
      </c>
      <c r="J289" s="615" t="s">
        <v>615</v>
      </c>
      <c r="K289" s="615" t="s">
        <v>794</v>
      </c>
      <c r="L289" s="621"/>
      <c r="M289" s="615" t="s">
        <v>794</v>
      </c>
      <c r="N289" s="621"/>
      <c r="P289" s="615"/>
      <c r="Q289" s="612" t="s">
        <v>4280</v>
      </c>
    </row>
    <row r="290" spans="1:17" ht="27.75" customHeight="1">
      <c r="A290" s="622">
        <v>287</v>
      </c>
      <c r="B290" s="614" t="s">
        <v>446</v>
      </c>
      <c r="C290" s="614" t="s">
        <v>446</v>
      </c>
      <c r="D290" s="615"/>
      <c r="E290" s="614" t="s">
        <v>453</v>
      </c>
      <c r="F290" s="624">
        <v>80000</v>
      </c>
      <c r="G290" s="624"/>
      <c r="H290" s="625" t="s">
        <v>454</v>
      </c>
      <c r="I290" s="615" t="s">
        <v>614</v>
      </c>
      <c r="J290" s="615" t="s">
        <v>597</v>
      </c>
      <c r="K290" s="615" t="s">
        <v>794</v>
      </c>
      <c r="L290" s="621"/>
      <c r="M290" s="615" t="s">
        <v>794</v>
      </c>
      <c r="N290" s="621"/>
      <c r="P290" s="615" t="s">
        <v>3838</v>
      </c>
      <c r="Q290" s="612" t="s">
        <v>821</v>
      </c>
    </row>
    <row r="291" spans="1:17" s="2" customFormat="1" ht="27.75" customHeight="1">
      <c r="A291" s="4">
        <v>288</v>
      </c>
      <c r="B291" s="5" t="s">
        <v>455</v>
      </c>
      <c r="C291" s="5" t="s">
        <v>455</v>
      </c>
      <c r="D291" s="1"/>
      <c r="E291" s="5" t="s">
        <v>456</v>
      </c>
      <c r="F291" s="416"/>
      <c r="G291" s="416">
        <v>90000</v>
      </c>
      <c r="H291" s="8" t="s">
        <v>457</v>
      </c>
      <c r="I291" s="1" t="s">
        <v>144</v>
      </c>
      <c r="J291" s="1" t="s">
        <v>143</v>
      </c>
      <c r="K291" s="1"/>
      <c r="L291" s="191"/>
      <c r="M291" s="1"/>
      <c r="N291" s="191" t="s">
        <v>3505</v>
      </c>
      <c r="P291" s="1"/>
      <c r="Q291" t="s">
        <v>4266</v>
      </c>
    </row>
    <row r="292" spans="1:17" ht="27.75" customHeight="1">
      <c r="A292" s="622">
        <v>289</v>
      </c>
      <c r="B292" s="614" t="s">
        <v>455</v>
      </c>
      <c r="C292" s="614" t="s">
        <v>455</v>
      </c>
      <c r="D292" s="615"/>
      <c r="E292" s="614" t="s">
        <v>458</v>
      </c>
      <c r="F292" s="624">
        <v>200000</v>
      </c>
      <c r="G292" s="624"/>
      <c r="H292" s="625" t="s">
        <v>459</v>
      </c>
      <c r="I292" s="615" t="s">
        <v>598</v>
      </c>
      <c r="J292" s="615" t="s">
        <v>725</v>
      </c>
      <c r="K292" s="615"/>
      <c r="L292" s="621"/>
      <c r="M292" s="615"/>
      <c r="N292" s="621"/>
      <c r="P292" s="615"/>
      <c r="Q292" s="612" t="s">
        <v>4282</v>
      </c>
    </row>
    <row r="293" spans="1:17" ht="27.75" customHeight="1">
      <c r="A293" s="622">
        <v>290</v>
      </c>
      <c r="B293" s="614" t="s">
        <v>455</v>
      </c>
      <c r="C293" s="614" t="s">
        <v>455</v>
      </c>
      <c r="D293" s="615"/>
      <c r="E293" s="614" t="s">
        <v>458</v>
      </c>
      <c r="F293" s="624"/>
      <c r="G293" s="624">
        <v>200000</v>
      </c>
      <c r="H293" s="625" t="s">
        <v>457</v>
      </c>
      <c r="I293" s="615" t="s">
        <v>598</v>
      </c>
      <c r="J293" s="615" t="s">
        <v>725</v>
      </c>
      <c r="K293" s="615"/>
      <c r="L293" s="621"/>
      <c r="M293" s="615"/>
      <c r="N293" s="621"/>
      <c r="P293" s="615"/>
      <c r="Q293" s="612" t="s">
        <v>4282</v>
      </c>
    </row>
    <row r="294" spans="1:17" ht="27.75" customHeight="1">
      <c r="A294" s="622">
        <v>291</v>
      </c>
      <c r="B294" s="614" t="s">
        <v>455</v>
      </c>
      <c r="C294" s="614" t="s">
        <v>455</v>
      </c>
      <c r="D294" s="615"/>
      <c r="E294" s="614" t="s">
        <v>460</v>
      </c>
      <c r="F294" s="624">
        <v>200000</v>
      </c>
      <c r="G294" s="624"/>
      <c r="H294" s="625" t="s">
        <v>459</v>
      </c>
      <c r="I294" s="615" t="s">
        <v>598</v>
      </c>
      <c r="J294" s="615" t="s">
        <v>725</v>
      </c>
      <c r="K294" s="615"/>
      <c r="L294" s="621"/>
      <c r="M294" s="615"/>
      <c r="N294" s="621"/>
      <c r="P294" s="615"/>
      <c r="Q294" s="612" t="s">
        <v>4282</v>
      </c>
    </row>
    <row r="295" spans="1:17" s="2" customFormat="1" ht="27.75" customHeight="1">
      <c r="A295" s="4">
        <v>292</v>
      </c>
      <c r="B295" s="5" t="s">
        <v>455</v>
      </c>
      <c r="C295" s="5" t="s">
        <v>455</v>
      </c>
      <c r="D295" s="1"/>
      <c r="E295" s="5" t="s">
        <v>461</v>
      </c>
      <c r="F295" s="416"/>
      <c r="G295" s="416">
        <v>500000</v>
      </c>
      <c r="H295" s="8" t="s">
        <v>462</v>
      </c>
      <c r="I295" s="1" t="s">
        <v>316</v>
      </c>
      <c r="J295" s="1" t="s">
        <v>317</v>
      </c>
      <c r="K295" s="1"/>
      <c r="L295" s="191"/>
      <c r="M295" s="1"/>
      <c r="N295" s="191" t="s">
        <v>794</v>
      </c>
      <c r="P295" s="1" t="s">
        <v>3895</v>
      </c>
      <c r="Q295" t="s">
        <v>4266</v>
      </c>
    </row>
    <row r="296" spans="1:17" s="2" customFormat="1" ht="27.75" customHeight="1">
      <c r="A296" s="4">
        <v>293</v>
      </c>
      <c r="B296" s="5" t="s">
        <v>476</v>
      </c>
      <c r="C296" s="5" t="s">
        <v>477</v>
      </c>
      <c r="D296" s="1"/>
      <c r="E296" s="5" t="s">
        <v>478</v>
      </c>
      <c r="F296" s="416"/>
      <c r="G296" s="416">
        <v>60000</v>
      </c>
      <c r="H296" s="8" t="s">
        <v>479</v>
      </c>
      <c r="I296" s="1" t="s">
        <v>144</v>
      </c>
      <c r="J296" s="1" t="s">
        <v>143</v>
      </c>
      <c r="K296" s="1"/>
      <c r="L296" s="191"/>
      <c r="M296" s="1"/>
      <c r="N296" s="191" t="s">
        <v>3505</v>
      </c>
      <c r="P296" s="1"/>
      <c r="Q296" t="s">
        <v>4266</v>
      </c>
    </row>
    <row r="297" spans="1:17" s="2" customFormat="1" ht="27.75" customHeight="1">
      <c r="A297" s="4">
        <v>294</v>
      </c>
      <c r="B297" s="5" t="s">
        <v>480</v>
      </c>
      <c r="C297" s="5" t="s">
        <v>477</v>
      </c>
      <c r="D297" s="1"/>
      <c r="E297" s="5" t="s">
        <v>481</v>
      </c>
      <c r="F297" s="416"/>
      <c r="G297" s="416">
        <v>100000</v>
      </c>
      <c r="H297" s="8" t="s">
        <v>482</v>
      </c>
      <c r="I297" s="1" t="s">
        <v>411</v>
      </c>
      <c r="J297" s="1" t="s">
        <v>367</v>
      </c>
      <c r="K297" s="1"/>
      <c r="L297" s="191"/>
      <c r="M297" s="1"/>
      <c r="N297" s="1" t="s">
        <v>794</v>
      </c>
      <c r="P297" s="1" t="s">
        <v>3840</v>
      </c>
      <c r="Q297" t="s">
        <v>4270</v>
      </c>
    </row>
    <row r="298" spans="1:17" s="2" customFormat="1" ht="27.75" customHeight="1">
      <c r="A298" s="4">
        <v>295</v>
      </c>
      <c r="B298" s="5" t="s">
        <v>483</v>
      </c>
      <c r="C298" s="5" t="s">
        <v>483</v>
      </c>
      <c r="D298" s="1"/>
      <c r="E298" s="5" t="s">
        <v>484</v>
      </c>
      <c r="F298" s="416"/>
      <c r="G298" s="416">
        <v>99999</v>
      </c>
      <c r="H298" s="8" t="s">
        <v>485</v>
      </c>
      <c r="I298" s="1" t="s">
        <v>616</v>
      </c>
      <c r="J298" s="1" t="s">
        <v>55</v>
      </c>
      <c r="K298" s="1" t="s">
        <v>823</v>
      </c>
      <c r="L298" s="191"/>
      <c r="M298" s="1" t="s">
        <v>823</v>
      </c>
      <c r="N298" s="191" t="s">
        <v>842</v>
      </c>
      <c r="P298" s="1"/>
      <c r="Q298" t="s">
        <v>4266</v>
      </c>
    </row>
    <row r="299" spans="1:17" s="2" customFormat="1" ht="27.75" customHeight="1">
      <c r="A299" s="4">
        <v>296</v>
      </c>
      <c r="B299" s="5" t="s">
        <v>483</v>
      </c>
      <c r="C299" s="5" t="s">
        <v>483</v>
      </c>
      <c r="D299" s="1"/>
      <c r="E299" s="5" t="s">
        <v>486</v>
      </c>
      <c r="F299" s="416"/>
      <c r="G299" s="416">
        <v>1</v>
      </c>
      <c r="H299" s="8" t="s">
        <v>487</v>
      </c>
      <c r="I299" s="1" t="s">
        <v>616</v>
      </c>
      <c r="J299" s="1" t="s">
        <v>55</v>
      </c>
      <c r="K299" s="1"/>
      <c r="L299" s="191"/>
      <c r="M299" s="1"/>
      <c r="N299" s="191" t="s">
        <v>842</v>
      </c>
      <c r="P299" s="1"/>
      <c r="Q299" t="s">
        <v>4266</v>
      </c>
    </row>
    <row r="300" spans="1:17" s="2" customFormat="1" ht="27.75" customHeight="1">
      <c r="A300" s="4">
        <v>297</v>
      </c>
      <c r="B300" s="5" t="s">
        <v>483</v>
      </c>
      <c r="C300" s="5" t="s">
        <v>483</v>
      </c>
      <c r="D300" s="1"/>
      <c r="E300" s="5" t="s">
        <v>488</v>
      </c>
      <c r="F300" s="416"/>
      <c r="G300" s="416">
        <v>57000</v>
      </c>
      <c r="H300" s="8" t="s">
        <v>489</v>
      </c>
      <c r="I300" s="1" t="s">
        <v>617</v>
      </c>
      <c r="J300" s="1" t="s">
        <v>55</v>
      </c>
      <c r="K300" s="1"/>
      <c r="L300" s="191"/>
      <c r="M300" s="1"/>
      <c r="N300" s="191" t="s">
        <v>842</v>
      </c>
      <c r="P300" s="1"/>
      <c r="Q300" t="s">
        <v>4266</v>
      </c>
    </row>
    <row r="301" spans="1:17" s="2" customFormat="1" ht="27.75" customHeight="1">
      <c r="A301" s="4">
        <v>298</v>
      </c>
      <c r="B301" s="5" t="s">
        <v>483</v>
      </c>
      <c r="C301" s="5" t="s">
        <v>483</v>
      </c>
      <c r="D301" s="1"/>
      <c r="E301" s="5" t="s">
        <v>490</v>
      </c>
      <c r="F301" s="416"/>
      <c r="G301" s="416">
        <v>23000</v>
      </c>
      <c r="H301" s="8" t="s">
        <v>491</v>
      </c>
      <c r="I301" s="1" t="s">
        <v>617</v>
      </c>
      <c r="J301" s="1" t="s">
        <v>55</v>
      </c>
      <c r="K301" s="1"/>
      <c r="L301" s="191"/>
      <c r="M301" s="1"/>
      <c r="N301" s="191" t="s">
        <v>842</v>
      </c>
      <c r="P301" s="1"/>
      <c r="Q301" t="s">
        <v>4266</v>
      </c>
    </row>
    <row r="302" spans="1:17" s="2" customFormat="1" ht="27.75" customHeight="1">
      <c r="A302" s="4">
        <v>299</v>
      </c>
      <c r="B302" s="5" t="s">
        <v>483</v>
      </c>
      <c r="C302" s="5" t="s">
        <v>483</v>
      </c>
      <c r="D302" s="1"/>
      <c r="E302" s="5" t="s">
        <v>492</v>
      </c>
      <c r="F302" s="416"/>
      <c r="G302" s="416">
        <v>30000</v>
      </c>
      <c r="H302" s="8" t="s">
        <v>493</v>
      </c>
      <c r="I302" s="1" t="s">
        <v>618</v>
      </c>
      <c r="J302" s="1" t="s">
        <v>55</v>
      </c>
      <c r="K302" s="1" t="s">
        <v>823</v>
      </c>
      <c r="L302" s="191"/>
      <c r="M302" s="1" t="s">
        <v>823</v>
      </c>
      <c r="N302" s="191" t="s">
        <v>842</v>
      </c>
      <c r="P302" s="1"/>
      <c r="Q302" t="s">
        <v>4266</v>
      </c>
    </row>
    <row r="303" spans="1:17" s="2" customFormat="1" ht="27.75" customHeight="1">
      <c r="A303" s="4">
        <v>300</v>
      </c>
      <c r="B303" s="5" t="s">
        <v>483</v>
      </c>
      <c r="C303" s="5" t="s">
        <v>483</v>
      </c>
      <c r="D303" s="1"/>
      <c r="E303" s="5" t="s">
        <v>494</v>
      </c>
      <c r="F303" s="416"/>
      <c r="G303" s="416">
        <v>1</v>
      </c>
      <c r="H303" s="8" t="s">
        <v>495</v>
      </c>
      <c r="I303" s="1" t="s">
        <v>619</v>
      </c>
      <c r="J303" s="1" t="s">
        <v>719</v>
      </c>
      <c r="K303" s="1"/>
      <c r="L303" s="191"/>
      <c r="M303" s="1"/>
      <c r="N303" s="191"/>
      <c r="P303" s="1"/>
      <c r="Q303" s="2" t="s">
        <v>4266</v>
      </c>
    </row>
    <row r="304" spans="1:17" s="17" customFormat="1" ht="27.75" customHeight="1">
      <c r="A304" s="4">
        <v>301</v>
      </c>
      <c r="B304" s="13" t="s">
        <v>483</v>
      </c>
      <c r="C304" s="13" t="s">
        <v>483</v>
      </c>
      <c r="D304" s="16"/>
      <c r="E304" s="13" t="s">
        <v>496</v>
      </c>
      <c r="F304" s="417"/>
      <c r="G304" s="417">
        <v>50000</v>
      </c>
      <c r="H304" s="15" t="s">
        <v>497</v>
      </c>
      <c r="I304" s="16" t="s">
        <v>599</v>
      </c>
      <c r="J304" s="16" t="s">
        <v>336</v>
      </c>
      <c r="K304" s="16" t="s">
        <v>823</v>
      </c>
      <c r="L304" s="193"/>
      <c r="M304" s="1" t="s">
        <v>823</v>
      </c>
      <c r="N304" s="191" t="s">
        <v>794</v>
      </c>
      <c r="P304" s="16"/>
      <c r="Q304" t="s">
        <v>4266</v>
      </c>
    </row>
    <row r="305" spans="1:17" s="17" customFormat="1" ht="27.75" customHeight="1">
      <c r="A305" s="4">
        <v>302</v>
      </c>
      <c r="B305" s="13" t="s">
        <v>483</v>
      </c>
      <c r="C305" s="13" t="s">
        <v>483</v>
      </c>
      <c r="D305" s="16"/>
      <c r="E305" s="13" t="s">
        <v>498</v>
      </c>
      <c r="F305" s="417"/>
      <c r="G305" s="417">
        <v>49000</v>
      </c>
      <c r="H305" s="15" t="s">
        <v>499</v>
      </c>
      <c r="I305" s="16" t="s">
        <v>599</v>
      </c>
      <c r="J305" s="16" t="s">
        <v>336</v>
      </c>
      <c r="K305" s="16"/>
      <c r="L305" s="193"/>
      <c r="M305" s="1"/>
      <c r="N305" s="191" t="s">
        <v>794</v>
      </c>
      <c r="P305" s="16"/>
      <c r="Q305" t="s">
        <v>4266</v>
      </c>
    </row>
    <row r="306" spans="1:17" s="2" customFormat="1" ht="27.75" customHeight="1">
      <c r="A306" s="4">
        <v>303</v>
      </c>
      <c r="B306" s="5" t="s">
        <v>500</v>
      </c>
      <c r="C306" s="5" t="s">
        <v>500</v>
      </c>
      <c r="D306" s="1"/>
      <c r="E306" s="5" t="s">
        <v>501</v>
      </c>
      <c r="F306" s="418">
        <v>1000000</v>
      </c>
      <c r="G306" s="416"/>
      <c r="H306" s="8" t="s">
        <v>502</v>
      </c>
      <c r="I306" s="1" t="s">
        <v>351</v>
      </c>
      <c r="J306" s="1" t="s">
        <v>350</v>
      </c>
      <c r="K306" s="1" t="s">
        <v>794</v>
      </c>
      <c r="L306" s="191"/>
      <c r="M306" s="1" t="s">
        <v>794</v>
      </c>
      <c r="N306" s="191"/>
      <c r="P306" s="1"/>
      <c r="Q306" t="s">
        <v>1345</v>
      </c>
    </row>
    <row r="307" spans="1:17" s="2" customFormat="1" ht="27.75" customHeight="1">
      <c r="A307" s="4">
        <v>304</v>
      </c>
      <c r="B307" s="5" t="s">
        <v>500</v>
      </c>
      <c r="C307" s="5" t="s">
        <v>500</v>
      </c>
      <c r="D307" s="1"/>
      <c r="E307" s="5" t="s">
        <v>503</v>
      </c>
      <c r="F307" s="418">
        <v>1000000</v>
      </c>
      <c r="G307" s="416"/>
      <c r="H307" s="8" t="s">
        <v>504</v>
      </c>
      <c r="I307" s="1" t="s">
        <v>351</v>
      </c>
      <c r="J307" s="1" t="s">
        <v>350</v>
      </c>
      <c r="K307" s="1" t="s">
        <v>794</v>
      </c>
      <c r="L307" s="191"/>
      <c r="M307" s="1" t="s">
        <v>794</v>
      </c>
      <c r="N307" s="191"/>
      <c r="P307" s="1"/>
      <c r="Q307" t="s">
        <v>1345</v>
      </c>
    </row>
    <row r="308" spans="1:17" s="2" customFormat="1" ht="27.75" customHeight="1">
      <c r="A308" s="4">
        <v>305</v>
      </c>
      <c r="B308" s="5" t="s">
        <v>500</v>
      </c>
      <c r="C308" s="5" t="s">
        <v>500</v>
      </c>
      <c r="D308" s="1"/>
      <c r="E308" s="5" t="s">
        <v>505</v>
      </c>
      <c r="F308" s="418">
        <v>1000000</v>
      </c>
      <c r="G308" s="416"/>
      <c r="H308" s="8" t="s">
        <v>506</v>
      </c>
      <c r="I308" s="1" t="s">
        <v>352</v>
      </c>
      <c r="J308" s="1" t="s">
        <v>350</v>
      </c>
      <c r="K308" s="1" t="s">
        <v>794</v>
      </c>
      <c r="L308" s="191"/>
      <c r="M308" s="1" t="s">
        <v>794</v>
      </c>
      <c r="N308" s="191"/>
      <c r="P308" s="1"/>
      <c r="Q308" t="s">
        <v>1345</v>
      </c>
    </row>
    <row r="309" spans="1:17" s="2" customFormat="1" ht="27.75" customHeight="1">
      <c r="A309" s="4">
        <v>306</v>
      </c>
      <c r="B309" s="5" t="s">
        <v>500</v>
      </c>
      <c r="C309" s="5" t="s">
        <v>500</v>
      </c>
      <c r="D309" s="1"/>
      <c r="E309" s="5" t="s">
        <v>507</v>
      </c>
      <c r="F309" s="418">
        <v>1000000</v>
      </c>
      <c r="G309" s="416"/>
      <c r="H309" s="8" t="s">
        <v>508</v>
      </c>
      <c r="I309" s="1" t="s">
        <v>352</v>
      </c>
      <c r="J309" s="1" t="s">
        <v>350</v>
      </c>
      <c r="K309" s="1" t="s">
        <v>823</v>
      </c>
      <c r="L309" s="191"/>
      <c r="M309" s="1" t="s">
        <v>823</v>
      </c>
      <c r="N309" s="191"/>
      <c r="P309" s="1"/>
      <c r="Q309" t="s">
        <v>1345</v>
      </c>
    </row>
    <row r="310" spans="1:17" s="2" customFormat="1" ht="27.75" customHeight="1">
      <c r="A310" s="4">
        <v>307</v>
      </c>
      <c r="B310" s="5" t="s">
        <v>500</v>
      </c>
      <c r="C310" s="5" t="s">
        <v>500</v>
      </c>
      <c r="D310" s="1"/>
      <c r="E310" s="5" t="s">
        <v>509</v>
      </c>
      <c r="F310" s="418">
        <v>1000000</v>
      </c>
      <c r="G310" s="416"/>
      <c r="H310" s="8" t="s">
        <v>510</v>
      </c>
      <c r="I310" s="1" t="s">
        <v>349</v>
      </c>
      <c r="J310" s="1" t="s">
        <v>350</v>
      </c>
      <c r="K310" s="1" t="s">
        <v>823</v>
      </c>
      <c r="L310" s="191"/>
      <c r="M310" s="1" t="s">
        <v>823</v>
      </c>
      <c r="N310" s="191"/>
      <c r="P310" s="1"/>
      <c r="Q310" t="s">
        <v>1345</v>
      </c>
    </row>
    <row r="311" spans="1:17" s="2" customFormat="1" ht="27.75" customHeight="1">
      <c r="A311" s="4">
        <v>308</v>
      </c>
      <c r="B311" s="5" t="s">
        <v>500</v>
      </c>
      <c r="C311" s="5" t="s">
        <v>500</v>
      </c>
      <c r="D311" s="1"/>
      <c r="E311" s="5" t="s">
        <v>511</v>
      </c>
      <c r="F311" s="418">
        <v>1000000</v>
      </c>
      <c r="G311" s="416"/>
      <c r="H311" s="8" t="s">
        <v>512</v>
      </c>
      <c r="I311" s="1" t="s">
        <v>349</v>
      </c>
      <c r="J311" s="1" t="s">
        <v>350</v>
      </c>
      <c r="K311" s="1" t="s">
        <v>794</v>
      </c>
      <c r="L311" s="191"/>
      <c r="M311" s="1" t="s">
        <v>794</v>
      </c>
      <c r="N311" s="191"/>
      <c r="P311" s="1"/>
      <c r="Q311" t="s">
        <v>1345</v>
      </c>
    </row>
    <row r="312" spans="1:17" s="2" customFormat="1" ht="27.75" customHeight="1">
      <c r="A312" s="4">
        <v>309</v>
      </c>
      <c r="B312" s="5" t="s">
        <v>500</v>
      </c>
      <c r="C312" s="5" t="s">
        <v>500</v>
      </c>
      <c r="D312" s="1"/>
      <c r="E312" s="5" t="s">
        <v>513</v>
      </c>
      <c r="F312" s="418">
        <v>1000000</v>
      </c>
      <c r="G312" s="416"/>
      <c r="H312" s="8" t="s">
        <v>514</v>
      </c>
      <c r="I312" s="1" t="s">
        <v>352</v>
      </c>
      <c r="J312" s="1" t="s">
        <v>350</v>
      </c>
      <c r="K312" s="1" t="s">
        <v>822</v>
      </c>
      <c r="L312" s="191"/>
      <c r="M312" s="1" t="s">
        <v>822</v>
      </c>
      <c r="N312" s="191"/>
      <c r="P312" s="1"/>
      <c r="Q312" t="s">
        <v>1345</v>
      </c>
    </row>
    <row r="313" spans="1:17" s="17" customFormat="1" ht="27.75" customHeight="1">
      <c r="A313" s="4">
        <v>310</v>
      </c>
      <c r="B313" s="13" t="s">
        <v>500</v>
      </c>
      <c r="C313" s="13" t="s">
        <v>500</v>
      </c>
      <c r="D313" s="16"/>
      <c r="E313" s="13" t="s">
        <v>515</v>
      </c>
      <c r="F313" s="417"/>
      <c r="G313" s="417">
        <v>49000</v>
      </c>
      <c r="H313" s="15" t="s">
        <v>516</v>
      </c>
      <c r="I313" s="16" t="s">
        <v>600</v>
      </c>
      <c r="J313" s="16" t="s">
        <v>46</v>
      </c>
      <c r="K313" s="16"/>
      <c r="L313" s="193"/>
      <c r="M313" s="1"/>
      <c r="N313" s="191" t="s">
        <v>794</v>
      </c>
      <c r="P313" s="16"/>
      <c r="Q313" t="s">
        <v>4266</v>
      </c>
    </row>
    <row r="314" spans="1:17" s="17" customFormat="1" ht="27.75" customHeight="1">
      <c r="A314" s="4">
        <v>311</v>
      </c>
      <c r="B314" s="13" t="s">
        <v>500</v>
      </c>
      <c r="C314" s="13" t="s">
        <v>500</v>
      </c>
      <c r="D314" s="16"/>
      <c r="E314" s="13" t="s">
        <v>517</v>
      </c>
      <c r="F314" s="417"/>
      <c r="G314" s="417">
        <v>10000</v>
      </c>
      <c r="H314" s="15" t="s">
        <v>518</v>
      </c>
      <c r="I314" s="16" t="s">
        <v>147</v>
      </c>
      <c r="J314" s="16" t="s">
        <v>46</v>
      </c>
      <c r="K314" s="16"/>
      <c r="L314" s="193"/>
      <c r="M314" s="1"/>
      <c r="N314" s="191" t="s">
        <v>794</v>
      </c>
      <c r="P314" s="16"/>
      <c r="Q314" t="s">
        <v>4266</v>
      </c>
    </row>
    <row r="315" spans="1:17" s="17" customFormat="1" ht="27.75" customHeight="1">
      <c r="A315" s="4">
        <v>312</v>
      </c>
      <c r="B315" s="13" t="s">
        <v>500</v>
      </c>
      <c r="C315" s="13" t="s">
        <v>500</v>
      </c>
      <c r="D315" s="16"/>
      <c r="E315" s="13" t="s">
        <v>519</v>
      </c>
      <c r="F315" s="417"/>
      <c r="G315" s="417">
        <v>20000</v>
      </c>
      <c r="H315" s="15" t="s">
        <v>520</v>
      </c>
      <c r="I315" s="16" t="s">
        <v>147</v>
      </c>
      <c r="J315" s="16" t="s">
        <v>46</v>
      </c>
      <c r="K315" s="16"/>
      <c r="L315" s="193"/>
      <c r="M315" s="1"/>
      <c r="N315" s="191" t="s">
        <v>794</v>
      </c>
      <c r="P315" s="16"/>
      <c r="Q315" t="s">
        <v>4266</v>
      </c>
    </row>
    <row r="316" spans="1:17" s="17" customFormat="1" ht="27.75" customHeight="1">
      <c r="A316" s="4">
        <v>313</v>
      </c>
      <c r="B316" s="13" t="s">
        <v>500</v>
      </c>
      <c r="C316" s="13" t="s">
        <v>500</v>
      </c>
      <c r="D316" s="16"/>
      <c r="E316" s="13" t="s">
        <v>521</v>
      </c>
      <c r="F316" s="417"/>
      <c r="G316" s="417">
        <v>20000</v>
      </c>
      <c r="H316" s="15" t="s">
        <v>522</v>
      </c>
      <c r="I316" s="16" t="s">
        <v>147</v>
      </c>
      <c r="J316" s="16" t="s">
        <v>46</v>
      </c>
      <c r="K316" s="16" t="s">
        <v>794</v>
      </c>
      <c r="L316" s="193"/>
      <c r="M316" s="1" t="s">
        <v>794</v>
      </c>
      <c r="N316" s="191" t="s">
        <v>794</v>
      </c>
      <c r="P316" s="16"/>
      <c r="Q316" t="s">
        <v>4266</v>
      </c>
    </row>
    <row r="317" spans="1:17" s="17" customFormat="1" ht="27.75" customHeight="1">
      <c r="A317" s="4">
        <v>314</v>
      </c>
      <c r="B317" s="13" t="s">
        <v>500</v>
      </c>
      <c r="C317" s="13" t="s">
        <v>500</v>
      </c>
      <c r="D317" s="16"/>
      <c r="E317" s="13" t="s">
        <v>523</v>
      </c>
      <c r="F317" s="417"/>
      <c r="G317" s="417">
        <v>25000</v>
      </c>
      <c r="H317" s="15" t="s">
        <v>524</v>
      </c>
      <c r="I317" s="16" t="s">
        <v>147</v>
      </c>
      <c r="J317" s="16" t="s">
        <v>46</v>
      </c>
      <c r="K317" s="16" t="s">
        <v>794</v>
      </c>
      <c r="L317" s="193"/>
      <c r="M317" s="1" t="s">
        <v>794</v>
      </c>
      <c r="N317" s="191" t="s">
        <v>794</v>
      </c>
      <c r="P317" s="16"/>
      <c r="Q317" t="s">
        <v>4266</v>
      </c>
    </row>
    <row r="318" spans="1:17" s="17" customFormat="1" ht="27.75" customHeight="1">
      <c r="A318" s="4">
        <v>315</v>
      </c>
      <c r="B318" s="13" t="s">
        <v>500</v>
      </c>
      <c r="C318" s="13" t="s">
        <v>500</v>
      </c>
      <c r="D318" s="16"/>
      <c r="E318" s="13" t="s">
        <v>525</v>
      </c>
      <c r="F318" s="417"/>
      <c r="G318" s="417">
        <v>20000</v>
      </c>
      <c r="H318" s="15" t="s">
        <v>526</v>
      </c>
      <c r="I318" s="16" t="s">
        <v>147</v>
      </c>
      <c r="J318" s="16" t="s">
        <v>46</v>
      </c>
      <c r="K318" s="16"/>
      <c r="L318" s="193"/>
      <c r="M318" s="1"/>
      <c r="N318" s="191" t="s">
        <v>794</v>
      </c>
      <c r="P318" s="16"/>
      <c r="Q318" t="s">
        <v>4266</v>
      </c>
    </row>
    <row r="319" spans="1:17" s="17" customFormat="1" ht="27.75" customHeight="1">
      <c r="A319" s="4">
        <v>316</v>
      </c>
      <c r="B319" s="13" t="s">
        <v>500</v>
      </c>
      <c r="C319" s="13" t="s">
        <v>500</v>
      </c>
      <c r="D319" s="16"/>
      <c r="E319" s="13" t="s">
        <v>527</v>
      </c>
      <c r="F319" s="417"/>
      <c r="G319" s="417">
        <v>4000</v>
      </c>
      <c r="H319" s="15" t="s">
        <v>528</v>
      </c>
      <c r="I319" s="16" t="s">
        <v>147</v>
      </c>
      <c r="J319" s="16" t="s">
        <v>46</v>
      </c>
      <c r="K319" s="16"/>
      <c r="L319" s="193"/>
      <c r="M319" s="1"/>
      <c r="N319" s="191" t="s">
        <v>794</v>
      </c>
      <c r="P319" s="16"/>
      <c r="Q319" t="s">
        <v>4266</v>
      </c>
    </row>
    <row r="320" spans="1:17" s="17" customFormat="1" ht="27.75" customHeight="1">
      <c r="A320" s="4">
        <v>317</v>
      </c>
      <c r="B320" s="13" t="s">
        <v>500</v>
      </c>
      <c r="C320" s="13" t="s">
        <v>500</v>
      </c>
      <c r="D320" s="16"/>
      <c r="E320" s="13" t="s">
        <v>529</v>
      </c>
      <c r="F320" s="417"/>
      <c r="G320" s="417">
        <v>25000</v>
      </c>
      <c r="H320" s="15" t="s">
        <v>530</v>
      </c>
      <c r="I320" s="16" t="s">
        <v>600</v>
      </c>
      <c r="J320" s="16" t="s">
        <v>46</v>
      </c>
      <c r="K320" s="16" t="s">
        <v>823</v>
      </c>
      <c r="L320" s="193"/>
      <c r="M320" s="1" t="s">
        <v>823</v>
      </c>
      <c r="N320" s="191" t="s">
        <v>794</v>
      </c>
      <c r="P320" s="16"/>
      <c r="Q320" t="s">
        <v>4266</v>
      </c>
    </row>
    <row r="321" spans="1:17" s="2" customFormat="1" ht="27.75" customHeight="1">
      <c r="A321" s="4">
        <v>318</v>
      </c>
      <c r="B321" s="5" t="s">
        <v>500</v>
      </c>
      <c r="C321" s="5" t="s">
        <v>500</v>
      </c>
      <c r="D321" s="1"/>
      <c r="E321" s="5" t="s">
        <v>531</v>
      </c>
      <c r="F321" s="418">
        <v>1000000</v>
      </c>
      <c r="G321" s="416"/>
      <c r="H321" s="8" t="s">
        <v>532</v>
      </c>
      <c r="I321" s="1" t="s">
        <v>352</v>
      </c>
      <c r="J321" s="1" t="s">
        <v>350</v>
      </c>
      <c r="K321" s="1" t="s">
        <v>823</v>
      </c>
      <c r="L321" s="191"/>
      <c r="M321" s="1" t="s">
        <v>823</v>
      </c>
      <c r="N321" s="191"/>
      <c r="P321" s="1"/>
      <c r="Q321" t="s">
        <v>1345</v>
      </c>
    </row>
    <row r="322" spans="1:17" s="2" customFormat="1" ht="27.75" customHeight="1">
      <c r="A322" s="4">
        <v>319</v>
      </c>
      <c r="B322" s="5" t="s">
        <v>500</v>
      </c>
      <c r="C322" s="5" t="s">
        <v>500</v>
      </c>
      <c r="D322" s="1"/>
      <c r="E322" s="5" t="s">
        <v>533</v>
      </c>
      <c r="F322" s="418">
        <v>1000000</v>
      </c>
      <c r="G322" s="416"/>
      <c r="H322" s="8" t="s">
        <v>534</v>
      </c>
      <c r="I322" s="1" t="s">
        <v>352</v>
      </c>
      <c r="J322" s="1" t="s">
        <v>350</v>
      </c>
      <c r="K322" s="1"/>
      <c r="L322" s="191"/>
      <c r="M322" s="1"/>
      <c r="N322" s="191"/>
      <c r="P322" s="1"/>
      <c r="Q322" t="s">
        <v>1345</v>
      </c>
    </row>
    <row r="323" spans="1:17" ht="27.75" customHeight="1">
      <c r="A323" s="622">
        <v>320</v>
      </c>
      <c r="B323" s="614" t="s">
        <v>535</v>
      </c>
      <c r="C323" s="614" t="s">
        <v>536</v>
      </c>
      <c r="D323" s="615"/>
      <c r="E323" s="614" t="s">
        <v>537</v>
      </c>
      <c r="F323" s="624">
        <v>100000</v>
      </c>
      <c r="G323" s="624"/>
      <c r="H323" s="625" t="s">
        <v>538</v>
      </c>
      <c r="I323" s="615" t="s">
        <v>145</v>
      </c>
      <c r="J323" s="615" t="s">
        <v>146</v>
      </c>
      <c r="K323" s="615" t="s">
        <v>823</v>
      </c>
      <c r="L323" s="621"/>
      <c r="M323" s="615" t="s">
        <v>823</v>
      </c>
      <c r="N323" s="621"/>
      <c r="P323" s="615"/>
      <c r="Q323" s="612" t="s">
        <v>4277</v>
      </c>
    </row>
    <row r="324" spans="1:17" ht="27.75" customHeight="1">
      <c r="A324" s="622">
        <v>321</v>
      </c>
      <c r="B324" s="614" t="s">
        <v>535</v>
      </c>
      <c r="C324" s="614" t="s">
        <v>536</v>
      </c>
      <c r="D324" s="615"/>
      <c r="E324" s="614" t="s">
        <v>539</v>
      </c>
      <c r="F324" s="624">
        <v>500000</v>
      </c>
      <c r="G324" s="624"/>
      <c r="H324" s="625" t="s">
        <v>540</v>
      </c>
      <c r="I324" s="615" t="s">
        <v>713</v>
      </c>
      <c r="J324" s="615" t="s">
        <v>601</v>
      </c>
      <c r="K324" s="615" t="s">
        <v>794</v>
      </c>
      <c r="L324" s="621"/>
      <c r="M324" s="615" t="s">
        <v>794</v>
      </c>
      <c r="N324" s="621"/>
      <c r="P324" s="615" t="s">
        <v>3838</v>
      </c>
      <c r="Q324" s="612" t="s">
        <v>4283</v>
      </c>
    </row>
    <row r="325" spans="1:17" ht="27.75" customHeight="1">
      <c r="A325" s="622">
        <v>322</v>
      </c>
      <c r="B325" s="614" t="s">
        <v>535</v>
      </c>
      <c r="C325" s="614" t="s">
        <v>536</v>
      </c>
      <c r="D325" s="615"/>
      <c r="E325" s="614" t="s">
        <v>541</v>
      </c>
      <c r="F325" s="624">
        <v>80000</v>
      </c>
      <c r="G325" s="624"/>
      <c r="H325" s="625" t="s">
        <v>542</v>
      </c>
      <c r="I325" s="615" t="s">
        <v>612</v>
      </c>
      <c r="J325" s="615" t="s">
        <v>602</v>
      </c>
      <c r="K325" s="615" t="s">
        <v>794</v>
      </c>
      <c r="L325" s="621"/>
      <c r="M325" s="615" t="s">
        <v>794</v>
      </c>
      <c r="N325" s="621"/>
      <c r="P325" s="615"/>
      <c r="Q325" s="612" t="s">
        <v>4284</v>
      </c>
    </row>
    <row r="326" spans="1:17" s="2" customFormat="1" ht="27.75" customHeight="1">
      <c r="A326" s="4">
        <v>323</v>
      </c>
      <c r="B326" s="5" t="s">
        <v>535</v>
      </c>
      <c r="C326" s="5" t="s">
        <v>536</v>
      </c>
      <c r="D326" s="1"/>
      <c r="E326" s="5" t="s">
        <v>543</v>
      </c>
      <c r="F326" s="419">
        <v>30000</v>
      </c>
      <c r="G326" s="419"/>
      <c r="H326" s="8" t="s">
        <v>544</v>
      </c>
      <c r="I326" s="1" t="s">
        <v>369</v>
      </c>
      <c r="J326" s="1" t="s">
        <v>603</v>
      </c>
      <c r="K326" s="1"/>
      <c r="L326" s="191"/>
      <c r="M326" s="1"/>
      <c r="N326" s="191"/>
      <c r="P326" s="1"/>
      <c r="Q326" t="s">
        <v>4285</v>
      </c>
    </row>
    <row r="327" spans="1:17" s="2" customFormat="1" ht="27.75" customHeight="1">
      <c r="A327" s="4">
        <v>324</v>
      </c>
      <c r="B327" s="5" t="s">
        <v>535</v>
      </c>
      <c r="C327" s="5" t="s">
        <v>536</v>
      </c>
      <c r="D327" s="1"/>
      <c r="E327" s="5" t="s">
        <v>543</v>
      </c>
      <c r="F327" s="419"/>
      <c r="G327" s="419">
        <v>30000</v>
      </c>
      <c r="H327" s="8" t="s">
        <v>542</v>
      </c>
      <c r="I327" s="1" t="s">
        <v>369</v>
      </c>
      <c r="J327" s="1" t="s">
        <v>603</v>
      </c>
      <c r="K327" s="1"/>
      <c r="L327" s="191"/>
      <c r="M327" s="1"/>
      <c r="N327" s="191"/>
      <c r="P327" s="1"/>
      <c r="Q327" t="s">
        <v>4285</v>
      </c>
    </row>
    <row r="328" spans="1:17" s="2" customFormat="1" ht="27.75" customHeight="1">
      <c r="A328" s="4">
        <v>325</v>
      </c>
      <c r="B328" s="5" t="s">
        <v>535</v>
      </c>
      <c r="C328" s="5" t="s">
        <v>536</v>
      </c>
      <c r="D328" s="1"/>
      <c r="E328" s="5" t="s">
        <v>545</v>
      </c>
      <c r="F328" s="419">
        <v>30000</v>
      </c>
      <c r="G328" s="419"/>
      <c r="H328" s="8" t="s">
        <v>544</v>
      </c>
      <c r="I328" s="1" t="s">
        <v>369</v>
      </c>
      <c r="J328" s="1" t="s">
        <v>603</v>
      </c>
      <c r="K328" s="1"/>
      <c r="L328" s="191"/>
      <c r="M328" s="1"/>
      <c r="N328" s="191"/>
      <c r="P328" s="1"/>
      <c r="Q328" t="s">
        <v>4285</v>
      </c>
    </row>
    <row r="329" spans="1:17" s="2" customFormat="1" ht="27.75" customHeight="1">
      <c r="A329" s="4">
        <v>326</v>
      </c>
      <c r="B329" s="5" t="s">
        <v>535</v>
      </c>
      <c r="C329" s="5" t="s">
        <v>536</v>
      </c>
      <c r="D329" s="1"/>
      <c r="E329" s="5" t="s">
        <v>545</v>
      </c>
      <c r="F329" s="419"/>
      <c r="G329" s="419">
        <v>30000</v>
      </c>
      <c r="H329" s="8" t="s">
        <v>542</v>
      </c>
      <c r="I329" s="1" t="s">
        <v>369</v>
      </c>
      <c r="J329" s="1" t="s">
        <v>603</v>
      </c>
      <c r="K329" s="1"/>
      <c r="L329" s="191"/>
      <c r="M329" s="1"/>
      <c r="N329" s="191"/>
      <c r="P329" s="1"/>
      <c r="Q329" t="s">
        <v>4285</v>
      </c>
    </row>
    <row r="330" spans="1:17" ht="27.75" customHeight="1">
      <c r="A330" s="622">
        <v>327</v>
      </c>
      <c r="B330" s="614" t="s">
        <v>535</v>
      </c>
      <c r="C330" s="614" t="s">
        <v>536</v>
      </c>
      <c r="D330" s="615"/>
      <c r="E330" s="614" t="s">
        <v>546</v>
      </c>
      <c r="F330" s="623">
        <v>30000</v>
      </c>
      <c r="G330" s="624"/>
      <c r="H330" s="625" t="s">
        <v>544</v>
      </c>
      <c r="I330" s="615" t="s">
        <v>3253</v>
      </c>
      <c r="J330" s="615" t="s">
        <v>603</v>
      </c>
      <c r="K330" s="615"/>
      <c r="L330" s="621"/>
      <c r="M330" s="615"/>
      <c r="N330" s="621"/>
      <c r="P330" s="615"/>
      <c r="Q330" s="612" t="s">
        <v>4286</v>
      </c>
    </row>
    <row r="331" spans="1:17" s="2" customFormat="1" ht="27.75" customHeight="1">
      <c r="A331" s="4">
        <v>328</v>
      </c>
      <c r="B331" s="5" t="s">
        <v>535</v>
      </c>
      <c r="C331" s="5" t="s">
        <v>536</v>
      </c>
      <c r="D331" s="1"/>
      <c r="E331" s="5" t="s">
        <v>547</v>
      </c>
      <c r="F331" s="416">
        <v>30000</v>
      </c>
      <c r="G331" s="416"/>
      <c r="H331" s="8" t="s">
        <v>548</v>
      </c>
      <c r="I331" s="1" t="s">
        <v>605</v>
      </c>
      <c r="J331" s="1" t="s">
        <v>603</v>
      </c>
      <c r="K331" s="1"/>
      <c r="L331" s="191"/>
      <c r="M331" s="1"/>
      <c r="N331" s="191"/>
      <c r="P331" s="1"/>
      <c r="Q331" t="s">
        <v>4285</v>
      </c>
    </row>
    <row r="332" spans="1:17" s="2" customFormat="1" ht="27.75" customHeight="1">
      <c r="A332" s="4">
        <v>329</v>
      </c>
      <c r="B332" s="5" t="s">
        <v>535</v>
      </c>
      <c r="C332" s="5" t="s">
        <v>536</v>
      </c>
      <c r="D332" s="1"/>
      <c r="E332" s="5" t="s">
        <v>549</v>
      </c>
      <c r="F332" s="419">
        <v>30000</v>
      </c>
      <c r="G332" s="416"/>
      <c r="H332" s="8" t="s">
        <v>550</v>
      </c>
      <c r="I332" s="1" t="s">
        <v>11</v>
      </c>
      <c r="J332" s="1" t="s">
        <v>603</v>
      </c>
      <c r="K332" s="1"/>
      <c r="L332" s="191" t="s">
        <v>1274</v>
      </c>
      <c r="M332" s="1"/>
      <c r="N332" s="191"/>
      <c r="P332" s="1"/>
      <c r="Q332" t="s">
        <v>4285</v>
      </c>
    </row>
    <row r="333" spans="1:17" s="2" customFormat="1" ht="27.75" customHeight="1">
      <c r="A333" s="4">
        <v>330</v>
      </c>
      <c r="B333" s="5" t="s">
        <v>535</v>
      </c>
      <c r="C333" s="5" t="s">
        <v>536</v>
      </c>
      <c r="D333" s="1"/>
      <c r="E333" s="5" t="s">
        <v>551</v>
      </c>
      <c r="F333" s="420">
        <v>30000</v>
      </c>
      <c r="G333" s="416"/>
      <c r="H333" s="8" t="s">
        <v>552</v>
      </c>
      <c r="I333" s="1" t="s">
        <v>606</v>
      </c>
      <c r="J333" s="1" t="s">
        <v>603</v>
      </c>
      <c r="K333" s="1"/>
      <c r="L333" s="191"/>
      <c r="M333" s="1"/>
      <c r="N333" s="191"/>
      <c r="P333" s="1"/>
      <c r="Q333" t="s">
        <v>4285</v>
      </c>
    </row>
    <row r="334" spans="1:17" s="2" customFormat="1" ht="27.75" customHeight="1">
      <c r="A334" s="4">
        <v>331</v>
      </c>
      <c r="B334" s="5" t="s">
        <v>535</v>
      </c>
      <c r="C334" s="5" t="s">
        <v>536</v>
      </c>
      <c r="D334" s="1"/>
      <c r="E334" s="5" t="s">
        <v>553</v>
      </c>
      <c r="F334" s="416">
        <v>30000</v>
      </c>
      <c r="G334" s="416"/>
      <c r="H334" s="8" t="s">
        <v>554</v>
      </c>
      <c r="I334" s="1" t="s">
        <v>86</v>
      </c>
      <c r="J334" s="1" t="s">
        <v>603</v>
      </c>
      <c r="K334" s="1"/>
      <c r="L334" s="191"/>
      <c r="M334" s="1"/>
      <c r="N334" s="191"/>
      <c r="P334" s="1"/>
      <c r="Q334" t="s">
        <v>4285</v>
      </c>
    </row>
    <row r="335" spans="1:17" s="2" customFormat="1" ht="27.75" customHeight="1">
      <c r="A335" s="4">
        <v>332</v>
      </c>
      <c r="B335" s="5" t="s">
        <v>535</v>
      </c>
      <c r="C335" s="5" t="s">
        <v>536</v>
      </c>
      <c r="D335" s="1"/>
      <c r="E335" s="5" t="s">
        <v>555</v>
      </c>
      <c r="F335" s="416">
        <v>30000</v>
      </c>
      <c r="G335" s="416"/>
      <c r="H335" s="8" t="s">
        <v>556</v>
      </c>
      <c r="I335" s="1" t="s">
        <v>411</v>
      </c>
      <c r="J335" s="1" t="s">
        <v>603</v>
      </c>
      <c r="K335" s="1"/>
      <c r="L335" s="191"/>
      <c r="M335" s="1"/>
      <c r="N335" s="191"/>
      <c r="P335" s="1"/>
      <c r="Q335" t="s">
        <v>4285</v>
      </c>
    </row>
    <row r="336" spans="1:17" s="2" customFormat="1" ht="27.75" customHeight="1">
      <c r="A336" s="4">
        <v>333</v>
      </c>
      <c r="B336" s="5" t="s">
        <v>535</v>
      </c>
      <c r="C336" s="5" t="s">
        <v>536</v>
      </c>
      <c r="D336" s="1"/>
      <c r="E336" s="5" t="s">
        <v>557</v>
      </c>
      <c r="F336" s="419">
        <v>30000</v>
      </c>
      <c r="G336" s="416"/>
      <c r="H336" s="8" t="s">
        <v>558</v>
      </c>
      <c r="I336" s="1" t="s">
        <v>149</v>
      </c>
      <c r="J336" s="1" t="s">
        <v>603</v>
      </c>
      <c r="K336" s="1"/>
      <c r="L336" s="191"/>
      <c r="M336" s="1"/>
      <c r="N336" s="191"/>
      <c r="P336" s="1"/>
      <c r="Q336" t="s">
        <v>4285</v>
      </c>
    </row>
    <row r="337" spans="1:17" s="2" customFormat="1" ht="27.75" customHeight="1">
      <c r="A337" s="4">
        <v>334</v>
      </c>
      <c r="B337" s="5" t="s">
        <v>535</v>
      </c>
      <c r="C337" s="5" t="s">
        <v>536</v>
      </c>
      <c r="D337" s="1"/>
      <c r="E337" s="5" t="s">
        <v>559</v>
      </c>
      <c r="F337" s="421">
        <v>30000</v>
      </c>
      <c r="G337" s="416"/>
      <c r="H337" s="8" t="s">
        <v>560</v>
      </c>
      <c r="I337" s="1" t="s">
        <v>365</v>
      </c>
      <c r="J337" s="1" t="s">
        <v>603</v>
      </c>
      <c r="K337" s="1"/>
      <c r="L337" s="191"/>
      <c r="M337" s="1"/>
      <c r="N337" s="191"/>
      <c r="P337" s="1"/>
      <c r="Q337" t="s">
        <v>4285</v>
      </c>
    </row>
    <row r="338" spans="1:17" s="2" customFormat="1" ht="27.75" customHeight="1">
      <c r="A338" s="4">
        <v>335</v>
      </c>
      <c r="B338" s="5" t="s">
        <v>535</v>
      </c>
      <c r="C338" s="5" t="s">
        <v>536</v>
      </c>
      <c r="D338" s="1"/>
      <c r="E338" s="5" t="s">
        <v>561</v>
      </c>
      <c r="F338" s="419">
        <v>30000</v>
      </c>
      <c r="G338" s="416"/>
      <c r="H338" s="8" t="s">
        <v>562</v>
      </c>
      <c r="I338" s="1" t="s">
        <v>369</v>
      </c>
      <c r="J338" s="1" t="s">
        <v>603</v>
      </c>
      <c r="K338" s="1"/>
      <c r="L338" s="191"/>
      <c r="M338" s="1"/>
      <c r="N338" s="191"/>
      <c r="P338" s="1"/>
      <c r="Q338" t="s">
        <v>4285</v>
      </c>
    </row>
    <row r="339" spans="1:17" s="2" customFormat="1" ht="27.75" customHeight="1">
      <c r="A339" s="4">
        <v>336</v>
      </c>
      <c r="B339" s="5" t="s">
        <v>535</v>
      </c>
      <c r="C339" s="5" t="s">
        <v>536</v>
      </c>
      <c r="D339" s="1"/>
      <c r="E339" s="5" t="s">
        <v>563</v>
      </c>
      <c r="F339" s="419">
        <v>30000</v>
      </c>
      <c r="G339" s="416"/>
      <c r="H339" s="8" t="s">
        <v>564</v>
      </c>
      <c r="I339" s="1" t="s">
        <v>37</v>
      </c>
      <c r="J339" s="1" t="s">
        <v>603</v>
      </c>
      <c r="K339" s="1"/>
      <c r="L339" s="191"/>
      <c r="M339" s="1"/>
      <c r="N339" s="191"/>
      <c r="P339" s="1"/>
      <c r="Q339" t="s">
        <v>4285</v>
      </c>
    </row>
    <row r="340" spans="1:17" ht="27.75" customHeight="1">
      <c r="A340" s="622">
        <v>337</v>
      </c>
      <c r="B340" s="614" t="s">
        <v>565</v>
      </c>
      <c r="C340" s="614" t="s">
        <v>536</v>
      </c>
      <c r="D340" s="615"/>
      <c r="E340" s="614" t="s">
        <v>566</v>
      </c>
      <c r="F340" s="624">
        <v>35000</v>
      </c>
      <c r="G340" s="624"/>
      <c r="H340" s="625" t="s">
        <v>567</v>
      </c>
      <c r="I340" s="615" t="s">
        <v>612</v>
      </c>
      <c r="J340" s="615" t="s">
        <v>602</v>
      </c>
      <c r="K340" s="615"/>
      <c r="L340" s="621"/>
      <c r="M340" s="615"/>
      <c r="N340" s="621"/>
      <c r="P340" s="615"/>
      <c r="Q340" s="612" t="s">
        <v>4284</v>
      </c>
    </row>
    <row r="341" spans="1:17" ht="27.75" customHeight="1">
      <c r="A341" s="622">
        <v>338</v>
      </c>
      <c r="B341" s="614" t="s">
        <v>565</v>
      </c>
      <c r="C341" s="614" t="s">
        <v>536</v>
      </c>
      <c r="D341" s="615"/>
      <c r="E341" s="614" t="s">
        <v>568</v>
      </c>
      <c r="F341" s="624">
        <v>100000</v>
      </c>
      <c r="G341" s="624"/>
      <c r="H341" s="625" t="s">
        <v>569</v>
      </c>
      <c r="I341" s="615" t="s">
        <v>613</v>
      </c>
      <c r="J341" s="615" t="s">
        <v>602</v>
      </c>
      <c r="K341" s="615" t="s">
        <v>794</v>
      </c>
      <c r="L341" s="621"/>
      <c r="M341" s="615" t="s">
        <v>794</v>
      </c>
      <c r="N341" s="621"/>
      <c r="P341" s="615"/>
      <c r="Q341" s="612" t="s">
        <v>4284</v>
      </c>
    </row>
    <row r="342" spans="1:17" s="2" customFormat="1" ht="27.75" customHeight="1">
      <c r="A342" s="4">
        <v>339</v>
      </c>
      <c r="B342" s="5" t="s">
        <v>536</v>
      </c>
      <c r="C342" s="5" t="s">
        <v>536</v>
      </c>
      <c r="D342" s="1"/>
      <c r="E342" s="5" t="s">
        <v>570</v>
      </c>
      <c r="F342" s="416">
        <v>30000</v>
      </c>
      <c r="G342" s="416"/>
      <c r="H342" s="8" t="s">
        <v>571</v>
      </c>
      <c r="I342" s="1" t="s">
        <v>607</v>
      </c>
      <c r="J342" s="1" t="s">
        <v>603</v>
      </c>
      <c r="K342" s="1"/>
      <c r="L342" s="191"/>
      <c r="M342" s="1"/>
      <c r="N342" s="191"/>
      <c r="P342" s="1"/>
      <c r="Q342" t="s">
        <v>4285</v>
      </c>
    </row>
    <row r="343" spans="1:17" ht="27.75" customHeight="1">
      <c r="A343" s="622">
        <v>340</v>
      </c>
      <c r="B343" s="614" t="s">
        <v>536</v>
      </c>
      <c r="C343" s="614" t="s">
        <v>536</v>
      </c>
      <c r="D343" s="615"/>
      <c r="E343" s="614" t="s">
        <v>572</v>
      </c>
      <c r="F343" s="624">
        <v>38000</v>
      </c>
      <c r="G343" s="624"/>
      <c r="H343" s="625" t="s">
        <v>573</v>
      </c>
      <c r="I343" s="615" t="s">
        <v>611</v>
      </c>
      <c r="J343" s="615" t="s">
        <v>602</v>
      </c>
      <c r="K343" s="615" t="s">
        <v>823</v>
      </c>
      <c r="L343" s="621"/>
      <c r="M343" s="615" t="s">
        <v>823</v>
      </c>
      <c r="N343" s="621"/>
      <c r="P343" s="615" t="s">
        <v>3838</v>
      </c>
      <c r="Q343" s="612" t="s">
        <v>4284</v>
      </c>
    </row>
    <row r="344" spans="1:17" ht="27.75" customHeight="1">
      <c r="A344" s="622">
        <v>341</v>
      </c>
      <c r="B344" s="614" t="s">
        <v>536</v>
      </c>
      <c r="C344" s="614" t="s">
        <v>536</v>
      </c>
      <c r="D344" s="615"/>
      <c r="E344" s="614" t="s">
        <v>574</v>
      </c>
      <c r="F344" s="624">
        <v>80000</v>
      </c>
      <c r="G344" s="624"/>
      <c r="H344" s="625" t="s">
        <v>575</v>
      </c>
      <c r="I344" s="615" t="s">
        <v>612</v>
      </c>
      <c r="J344" s="615" t="s">
        <v>602</v>
      </c>
      <c r="K344" s="615" t="s">
        <v>823</v>
      </c>
      <c r="L344" s="621"/>
      <c r="M344" s="615" t="s">
        <v>823</v>
      </c>
      <c r="N344" s="621"/>
      <c r="P344" s="615"/>
      <c r="Q344" s="612" t="s">
        <v>4284</v>
      </c>
    </row>
    <row r="345" spans="1:17" ht="27.75" customHeight="1">
      <c r="A345" s="622">
        <v>342</v>
      </c>
      <c r="B345" s="614" t="s">
        <v>576</v>
      </c>
      <c r="C345" s="614" t="s">
        <v>576</v>
      </c>
      <c r="D345" s="615"/>
      <c r="E345" s="614" t="s">
        <v>577</v>
      </c>
      <c r="F345" s="624">
        <v>32000</v>
      </c>
      <c r="G345" s="624"/>
      <c r="H345" s="625" t="s">
        <v>578</v>
      </c>
      <c r="I345" s="615" t="s">
        <v>613</v>
      </c>
      <c r="J345" s="615" t="s">
        <v>602</v>
      </c>
      <c r="K345" s="615" t="s">
        <v>823</v>
      </c>
      <c r="L345" s="621"/>
      <c r="M345" s="615" t="s">
        <v>823</v>
      </c>
      <c r="N345" s="621"/>
      <c r="P345" s="615"/>
      <c r="Q345" s="612" t="s">
        <v>4284</v>
      </c>
    </row>
    <row r="346" spans="1:17" ht="27.75" customHeight="1">
      <c r="A346" s="622">
        <v>343</v>
      </c>
      <c r="B346" s="614" t="s">
        <v>576</v>
      </c>
      <c r="C346" s="614" t="s">
        <v>576</v>
      </c>
      <c r="D346" s="615"/>
      <c r="E346" s="614" t="s">
        <v>579</v>
      </c>
      <c r="F346" s="624">
        <v>67000</v>
      </c>
      <c r="G346" s="624"/>
      <c r="H346" s="625" t="s">
        <v>580</v>
      </c>
      <c r="I346" s="615" t="s">
        <v>611</v>
      </c>
      <c r="J346" s="615" t="s">
        <v>602</v>
      </c>
      <c r="K346" s="615" t="s">
        <v>823</v>
      </c>
      <c r="L346" s="621"/>
      <c r="M346" s="615" t="s">
        <v>823</v>
      </c>
      <c r="N346" s="621"/>
      <c r="P346" s="615" t="s">
        <v>3838</v>
      </c>
      <c r="Q346" s="612" t="s">
        <v>4284</v>
      </c>
    </row>
    <row r="347" spans="1:17" ht="27.75" customHeight="1">
      <c r="A347" s="622">
        <v>344</v>
      </c>
      <c r="B347" s="614" t="s">
        <v>576</v>
      </c>
      <c r="C347" s="614" t="s">
        <v>576</v>
      </c>
      <c r="D347" s="615"/>
      <c r="E347" s="614" t="s">
        <v>581</v>
      </c>
      <c r="F347" s="624">
        <v>85000</v>
      </c>
      <c r="G347" s="624"/>
      <c r="H347" s="625" t="s">
        <v>582</v>
      </c>
      <c r="I347" s="615" t="s">
        <v>612</v>
      </c>
      <c r="J347" s="615" t="s">
        <v>602</v>
      </c>
      <c r="K347" s="615" t="s">
        <v>794</v>
      </c>
      <c r="L347" s="621" t="s">
        <v>835</v>
      </c>
      <c r="M347" s="615" t="s">
        <v>794</v>
      </c>
      <c r="N347" s="621" t="s">
        <v>835</v>
      </c>
      <c r="P347" s="615"/>
      <c r="Q347" s="612" t="s">
        <v>4284</v>
      </c>
    </row>
    <row r="348" spans="1:17" s="17" customFormat="1" ht="27.75" customHeight="1">
      <c r="A348" s="4">
        <v>345</v>
      </c>
      <c r="B348" s="13" t="s">
        <v>583</v>
      </c>
      <c r="C348" s="13" t="s">
        <v>583</v>
      </c>
      <c r="D348" s="16"/>
      <c r="E348" s="13" t="s">
        <v>584</v>
      </c>
      <c r="F348" s="417"/>
      <c r="G348" s="409">
        <v>100000</v>
      </c>
      <c r="H348" s="239" t="s">
        <v>585</v>
      </c>
      <c r="I348" s="16" t="s">
        <v>153</v>
      </c>
      <c r="J348" s="16" t="s">
        <v>608</v>
      </c>
      <c r="K348" s="267" t="s">
        <v>823</v>
      </c>
      <c r="L348" s="193"/>
      <c r="M348" s="1" t="s">
        <v>823</v>
      </c>
      <c r="N348" s="191" t="s">
        <v>794</v>
      </c>
      <c r="P348" s="16"/>
      <c r="Q348" t="s">
        <v>4266</v>
      </c>
    </row>
    <row r="349" spans="1:17" s="2" customFormat="1" ht="27.75" customHeight="1">
      <c r="A349" s="4">
        <v>346</v>
      </c>
      <c r="B349" s="5" t="s">
        <v>583</v>
      </c>
      <c r="C349" s="5" t="s">
        <v>583</v>
      </c>
      <c r="D349" s="1"/>
      <c r="E349" s="5" t="s">
        <v>586</v>
      </c>
      <c r="F349" s="416"/>
      <c r="G349" s="409">
        <v>100000</v>
      </c>
      <c r="H349" s="240" t="s">
        <v>587</v>
      </c>
      <c r="I349" s="1" t="s">
        <v>153</v>
      </c>
      <c r="J349" s="1" t="s">
        <v>311</v>
      </c>
      <c r="K349" s="268"/>
      <c r="L349" s="191"/>
      <c r="M349" s="1"/>
      <c r="N349" s="191" t="s">
        <v>794</v>
      </c>
      <c r="P349" s="1"/>
      <c r="Q349" t="s">
        <v>4266</v>
      </c>
    </row>
    <row r="350" spans="1:17" ht="27.75" customHeight="1">
      <c r="A350" s="622">
        <v>347</v>
      </c>
      <c r="B350" s="614" t="s">
        <v>583</v>
      </c>
      <c r="C350" s="614" t="s">
        <v>583</v>
      </c>
      <c r="D350" s="615"/>
      <c r="E350" s="614" t="s">
        <v>588</v>
      </c>
      <c r="F350" s="624">
        <v>98000</v>
      </c>
      <c r="G350" s="624"/>
      <c r="H350" s="630" t="s">
        <v>589</v>
      </c>
      <c r="I350" s="615" t="s">
        <v>475</v>
      </c>
      <c r="J350" s="615" t="s">
        <v>620</v>
      </c>
      <c r="K350" s="629"/>
      <c r="L350" s="621"/>
      <c r="M350" s="615"/>
      <c r="N350" s="621"/>
      <c r="P350" s="615"/>
      <c r="Q350" s="612" t="s">
        <v>4282</v>
      </c>
    </row>
    <row r="351" spans="1:17" ht="27.75" customHeight="1">
      <c r="A351" s="622">
        <v>348</v>
      </c>
      <c r="B351" s="614" t="s">
        <v>583</v>
      </c>
      <c r="C351" s="614" t="s">
        <v>583</v>
      </c>
      <c r="D351" s="615"/>
      <c r="E351" s="614" t="s">
        <v>590</v>
      </c>
      <c r="F351" s="624">
        <v>61500</v>
      </c>
      <c r="G351" s="624"/>
      <c r="H351" s="630" t="s">
        <v>591</v>
      </c>
      <c r="I351" s="615" t="s">
        <v>609</v>
      </c>
      <c r="J351" s="615" t="s">
        <v>146</v>
      </c>
      <c r="K351" s="629" t="s">
        <v>823</v>
      </c>
      <c r="L351" s="621"/>
      <c r="M351" s="615" t="s">
        <v>823</v>
      </c>
      <c r="N351" s="621"/>
      <c r="P351" s="615" t="s">
        <v>3838</v>
      </c>
      <c r="Q351" s="612" t="s">
        <v>4277</v>
      </c>
    </row>
    <row r="352" spans="1:17" ht="27.75" customHeight="1">
      <c r="A352" s="622">
        <v>349</v>
      </c>
      <c r="B352" s="614" t="s">
        <v>583</v>
      </c>
      <c r="C352" s="614" t="s">
        <v>583</v>
      </c>
      <c r="D352" s="615"/>
      <c r="E352" s="614" t="s">
        <v>592</v>
      </c>
      <c r="F352" s="624">
        <v>80000</v>
      </c>
      <c r="G352" s="624"/>
      <c r="H352" s="668">
        <v>996785.9</v>
      </c>
      <c r="I352" s="615" t="s">
        <v>611</v>
      </c>
      <c r="J352" s="615" t="s">
        <v>602</v>
      </c>
      <c r="K352" s="629" t="s">
        <v>794</v>
      </c>
      <c r="L352" s="621"/>
      <c r="M352" s="615" t="s">
        <v>794</v>
      </c>
      <c r="N352" s="621"/>
      <c r="P352" s="615" t="s">
        <v>3838</v>
      </c>
      <c r="Q352" s="612" t="s">
        <v>4284</v>
      </c>
    </row>
    <row r="353" spans="1:17" s="2" customFormat="1" ht="27.75" customHeight="1">
      <c r="A353" s="4">
        <v>350</v>
      </c>
      <c r="B353" s="5" t="s">
        <v>583</v>
      </c>
      <c r="C353" s="5" t="s">
        <v>583</v>
      </c>
      <c r="D353" s="1"/>
      <c r="E353" s="1" t="s">
        <v>593</v>
      </c>
      <c r="F353" s="416"/>
      <c r="G353" s="416">
        <v>374354</v>
      </c>
      <c r="H353" s="240" t="s">
        <v>594</v>
      </c>
      <c r="I353" s="1" t="s">
        <v>610</v>
      </c>
      <c r="J353" s="1" t="s">
        <v>465</v>
      </c>
      <c r="K353" s="268"/>
      <c r="L353" s="191"/>
      <c r="M353" s="1"/>
      <c r="N353" s="191" t="s">
        <v>794</v>
      </c>
      <c r="P353" s="1" t="s">
        <v>794</v>
      </c>
      <c r="Q353" t="s">
        <v>4266</v>
      </c>
    </row>
    <row r="354" spans="1:17" s="2" customFormat="1" ht="27.75" customHeight="1">
      <c r="A354" s="4">
        <v>351</v>
      </c>
      <c r="B354" s="5" t="s">
        <v>583</v>
      </c>
      <c r="C354" s="5" t="s">
        <v>583</v>
      </c>
      <c r="D354" s="1"/>
      <c r="E354" s="1" t="s">
        <v>595</v>
      </c>
      <c r="F354" s="416"/>
      <c r="G354" s="416">
        <v>322661</v>
      </c>
      <c r="H354" s="240" t="s">
        <v>596</v>
      </c>
      <c r="I354" s="1" t="s">
        <v>610</v>
      </c>
      <c r="J354" s="1" t="s">
        <v>467</v>
      </c>
      <c r="K354" s="268" t="s">
        <v>823</v>
      </c>
      <c r="L354" s="191"/>
      <c r="M354" s="1" t="s">
        <v>823</v>
      </c>
      <c r="N354" s="191" t="s">
        <v>794</v>
      </c>
      <c r="P354" s="1" t="s">
        <v>794</v>
      </c>
      <c r="Q354" t="s">
        <v>4266</v>
      </c>
    </row>
    <row r="355" spans="1:17" ht="27.75" customHeight="1">
      <c r="A355" s="622">
        <v>352</v>
      </c>
      <c r="B355" s="614" t="s">
        <v>622</v>
      </c>
      <c r="C355" s="614" t="s">
        <v>622</v>
      </c>
      <c r="D355" s="615"/>
      <c r="E355" s="614" t="s">
        <v>623</v>
      </c>
      <c r="F355" s="624">
        <v>29000</v>
      </c>
      <c r="G355" s="624"/>
      <c r="H355" s="630" t="s">
        <v>624</v>
      </c>
      <c r="I355" s="615" t="s">
        <v>614</v>
      </c>
      <c r="J355" s="615" t="s">
        <v>597</v>
      </c>
      <c r="K355" s="629" t="s">
        <v>829</v>
      </c>
      <c r="L355" s="621"/>
      <c r="M355" s="615" t="s">
        <v>829</v>
      </c>
      <c r="N355" s="621"/>
      <c r="P355" s="615" t="s">
        <v>3838</v>
      </c>
      <c r="Q355" s="612" t="s">
        <v>821</v>
      </c>
    </row>
    <row r="356" spans="1:17" ht="27.75" customHeight="1">
      <c r="A356" s="622">
        <v>353</v>
      </c>
      <c r="B356" s="614" t="s">
        <v>622</v>
      </c>
      <c r="C356" s="614" t="s">
        <v>622</v>
      </c>
      <c r="D356" s="615"/>
      <c r="E356" s="614" t="s">
        <v>625</v>
      </c>
      <c r="F356" s="624">
        <v>34000</v>
      </c>
      <c r="G356" s="624"/>
      <c r="H356" s="630" t="s">
        <v>626</v>
      </c>
      <c r="I356" s="615" t="s">
        <v>613</v>
      </c>
      <c r="J356" s="615" t="s">
        <v>696</v>
      </c>
      <c r="K356" s="629" t="s">
        <v>794</v>
      </c>
      <c r="L356" s="621"/>
      <c r="M356" s="615" t="s">
        <v>794</v>
      </c>
      <c r="N356" s="621"/>
      <c r="P356" s="615"/>
      <c r="Q356" s="612" t="s">
        <v>4284</v>
      </c>
    </row>
    <row r="357" spans="1:17" s="2" customFormat="1" ht="27.75" customHeight="1">
      <c r="A357" s="4">
        <v>354</v>
      </c>
      <c r="B357" s="5" t="s">
        <v>622</v>
      </c>
      <c r="C357" s="5" t="s">
        <v>622</v>
      </c>
      <c r="D357" s="1"/>
      <c r="E357" s="5" t="s">
        <v>627</v>
      </c>
      <c r="F357" s="416"/>
      <c r="G357" s="416">
        <v>400000</v>
      </c>
      <c r="H357" s="240" t="s">
        <v>628</v>
      </c>
      <c r="I357" s="1" t="s">
        <v>718</v>
      </c>
      <c r="J357" s="1" t="s">
        <v>697</v>
      </c>
      <c r="K357" s="268"/>
      <c r="L357" s="191"/>
      <c r="M357" s="1"/>
      <c r="N357" s="191" t="s">
        <v>3574</v>
      </c>
      <c r="P357" s="1"/>
      <c r="Q357" t="s">
        <v>4287</v>
      </c>
    </row>
    <row r="358" spans="1:17" ht="27.75" customHeight="1">
      <c r="A358" s="622">
        <v>355</v>
      </c>
      <c r="B358" s="614" t="s">
        <v>622</v>
      </c>
      <c r="C358" s="614" t="s">
        <v>622</v>
      </c>
      <c r="D358" s="615"/>
      <c r="E358" s="614" t="s">
        <v>629</v>
      </c>
      <c r="F358" s="624">
        <v>35000</v>
      </c>
      <c r="G358" s="624"/>
      <c r="H358" s="630" t="s">
        <v>630</v>
      </c>
      <c r="I358" s="615" t="s">
        <v>611</v>
      </c>
      <c r="J358" s="615" t="s">
        <v>696</v>
      </c>
      <c r="K358" s="629" t="s">
        <v>823</v>
      </c>
      <c r="L358" s="621"/>
      <c r="M358" s="615" t="s">
        <v>823</v>
      </c>
      <c r="N358" s="621"/>
      <c r="P358" s="615" t="s">
        <v>3838</v>
      </c>
      <c r="Q358" s="612" t="s">
        <v>4288</v>
      </c>
    </row>
    <row r="359" spans="1:17" ht="27.75" customHeight="1">
      <c r="A359" s="622">
        <v>356</v>
      </c>
      <c r="B359" s="614" t="s">
        <v>622</v>
      </c>
      <c r="C359" s="614" t="s">
        <v>622</v>
      </c>
      <c r="D359" s="615"/>
      <c r="E359" s="614" t="s">
        <v>631</v>
      </c>
      <c r="F359" s="624">
        <v>80000</v>
      </c>
      <c r="G359" s="624"/>
      <c r="H359" s="630" t="s">
        <v>632</v>
      </c>
      <c r="I359" s="615" t="s">
        <v>612</v>
      </c>
      <c r="J359" s="615" t="s">
        <v>696</v>
      </c>
      <c r="K359" s="629" t="s">
        <v>794</v>
      </c>
      <c r="L359" s="621"/>
      <c r="M359" s="615" t="s">
        <v>794</v>
      </c>
      <c r="N359" s="621"/>
      <c r="P359" s="615"/>
      <c r="Q359" s="612" t="s">
        <v>4288</v>
      </c>
    </row>
    <row r="360" spans="1:17" ht="27.75" customHeight="1">
      <c r="A360" s="622">
        <v>357</v>
      </c>
      <c r="B360" s="614" t="s">
        <v>622</v>
      </c>
      <c r="C360" s="614" t="s">
        <v>622</v>
      </c>
      <c r="D360" s="615"/>
      <c r="E360" s="614" t="s">
        <v>633</v>
      </c>
      <c r="F360" s="624">
        <v>235000</v>
      </c>
      <c r="G360" s="624"/>
      <c r="H360" s="630" t="s">
        <v>634</v>
      </c>
      <c r="I360" s="615" t="s">
        <v>614</v>
      </c>
      <c r="J360" s="615" t="s">
        <v>597</v>
      </c>
      <c r="K360" s="629" t="s">
        <v>830</v>
      </c>
      <c r="L360" s="621"/>
      <c r="M360" s="615" t="s">
        <v>830</v>
      </c>
      <c r="N360" s="621"/>
      <c r="P360" s="615" t="s">
        <v>3838</v>
      </c>
      <c r="Q360" s="612" t="s">
        <v>821</v>
      </c>
    </row>
    <row r="361" spans="1:17" s="2" customFormat="1" ht="27.75" customHeight="1">
      <c r="A361" s="4">
        <v>358</v>
      </c>
      <c r="B361" s="5" t="s">
        <v>622</v>
      </c>
      <c r="C361" s="5" t="s">
        <v>622</v>
      </c>
      <c r="D361" s="1"/>
      <c r="E361" s="5" t="s">
        <v>635</v>
      </c>
      <c r="F361" s="416"/>
      <c r="G361" s="416">
        <v>30000</v>
      </c>
      <c r="H361" s="240" t="s">
        <v>636</v>
      </c>
      <c r="I361" s="1" t="s">
        <v>147</v>
      </c>
      <c r="J361" s="1" t="s">
        <v>697</v>
      </c>
      <c r="K361" s="268"/>
      <c r="L361" s="191"/>
      <c r="M361" s="1"/>
      <c r="N361" s="191" t="s">
        <v>794</v>
      </c>
      <c r="P361" s="1"/>
      <c r="Q361" t="s">
        <v>4289</v>
      </c>
    </row>
    <row r="362" spans="1:17" s="2" customFormat="1" ht="27.75" customHeight="1">
      <c r="A362" s="4">
        <v>359</v>
      </c>
      <c r="B362" s="5" t="s">
        <v>622</v>
      </c>
      <c r="C362" s="5" t="s">
        <v>622</v>
      </c>
      <c r="D362" s="1"/>
      <c r="E362" s="5" t="s">
        <v>637</v>
      </c>
      <c r="F362" s="416"/>
      <c r="G362" s="416">
        <v>30000</v>
      </c>
      <c r="H362" s="240" t="s">
        <v>638</v>
      </c>
      <c r="I362" s="1" t="s">
        <v>147</v>
      </c>
      <c r="J362" s="1" t="s">
        <v>697</v>
      </c>
      <c r="K362" s="268"/>
      <c r="L362" s="191"/>
      <c r="M362" s="1"/>
      <c r="N362" s="191" t="s">
        <v>794</v>
      </c>
      <c r="P362" s="1"/>
      <c r="Q362" t="s">
        <v>4289</v>
      </c>
    </row>
    <row r="363" spans="1:17" s="2" customFormat="1" ht="27.75" customHeight="1">
      <c r="A363" s="4">
        <v>360</v>
      </c>
      <c r="B363" s="5" t="s">
        <v>622</v>
      </c>
      <c r="C363" s="5" t="s">
        <v>622</v>
      </c>
      <c r="D363" s="1"/>
      <c r="E363" s="5" t="s">
        <v>639</v>
      </c>
      <c r="F363" s="416">
        <v>100000</v>
      </c>
      <c r="G363" s="416"/>
      <c r="H363" s="240" t="s">
        <v>640</v>
      </c>
      <c r="I363" s="1" t="s">
        <v>2</v>
      </c>
      <c r="J363" s="1" t="s">
        <v>603</v>
      </c>
      <c r="K363" s="268"/>
      <c r="L363" s="191"/>
      <c r="M363" s="1"/>
      <c r="N363" s="191"/>
      <c r="P363" s="1"/>
      <c r="Q363" t="s">
        <v>4285</v>
      </c>
    </row>
    <row r="364" spans="1:17" s="2" customFormat="1" ht="27.75" customHeight="1">
      <c r="A364" s="4">
        <v>361</v>
      </c>
      <c r="B364" s="5" t="s">
        <v>622</v>
      </c>
      <c r="C364" s="5" t="s">
        <v>622</v>
      </c>
      <c r="D364" s="1"/>
      <c r="E364" s="5" t="s">
        <v>641</v>
      </c>
      <c r="F364" s="409">
        <v>100000</v>
      </c>
      <c r="G364" s="416"/>
      <c r="H364" s="240" t="s">
        <v>642</v>
      </c>
      <c r="I364" s="1" t="s">
        <v>4</v>
      </c>
      <c r="J364" s="1" t="s">
        <v>603</v>
      </c>
      <c r="K364" s="268"/>
      <c r="L364" s="191"/>
      <c r="M364" s="1"/>
      <c r="N364" s="191"/>
      <c r="P364" s="1"/>
      <c r="Q364" t="s">
        <v>4285</v>
      </c>
    </row>
    <row r="365" spans="1:17" s="2" customFormat="1" ht="27.75" customHeight="1">
      <c r="A365" s="4">
        <v>362</v>
      </c>
      <c r="B365" s="5" t="s">
        <v>622</v>
      </c>
      <c r="C365" s="5" t="s">
        <v>622</v>
      </c>
      <c r="D365" s="1"/>
      <c r="E365" s="5" t="s">
        <v>643</v>
      </c>
      <c r="F365" s="416"/>
      <c r="G365" s="416">
        <v>40000</v>
      </c>
      <c r="H365" s="240" t="s">
        <v>644</v>
      </c>
      <c r="I365" s="1" t="s">
        <v>147</v>
      </c>
      <c r="J365" s="1" t="s">
        <v>697</v>
      </c>
      <c r="K365" s="268"/>
      <c r="L365" s="191"/>
      <c r="M365" s="1"/>
      <c r="N365" s="191" t="s">
        <v>794</v>
      </c>
      <c r="P365" s="1"/>
      <c r="Q365" t="s">
        <v>4289</v>
      </c>
    </row>
    <row r="366" spans="1:17" s="2" customFormat="1" ht="27.75" customHeight="1">
      <c r="A366" s="4">
        <v>363</v>
      </c>
      <c r="B366" s="5" t="s">
        <v>622</v>
      </c>
      <c r="C366" s="5" t="s">
        <v>622</v>
      </c>
      <c r="D366" s="1"/>
      <c r="E366" s="1" t="s">
        <v>645</v>
      </c>
      <c r="F366" s="416"/>
      <c r="G366" s="416">
        <v>50000</v>
      </c>
      <c r="H366" s="240" t="s">
        <v>626</v>
      </c>
      <c r="I366" s="1" t="s">
        <v>320</v>
      </c>
      <c r="J366" s="1" t="s">
        <v>697</v>
      </c>
      <c r="K366" s="268"/>
      <c r="L366" s="191"/>
      <c r="M366" s="1"/>
      <c r="N366" s="191" t="s">
        <v>794</v>
      </c>
      <c r="P366" s="1"/>
      <c r="Q366" t="s">
        <v>4290</v>
      </c>
    </row>
    <row r="367" spans="1:17" ht="27.75" customHeight="1">
      <c r="A367" s="622">
        <v>364</v>
      </c>
      <c r="B367" s="614" t="s">
        <v>646</v>
      </c>
      <c r="C367" s="614" t="s">
        <v>646</v>
      </c>
      <c r="D367" s="615"/>
      <c r="E367" s="614" t="s">
        <v>647</v>
      </c>
      <c r="F367" s="624">
        <v>70000</v>
      </c>
      <c r="G367" s="624"/>
      <c r="H367" s="630" t="s">
        <v>648</v>
      </c>
      <c r="I367" s="615" t="s">
        <v>611</v>
      </c>
      <c r="J367" s="615" t="s">
        <v>696</v>
      </c>
      <c r="K367" s="629" t="s">
        <v>794</v>
      </c>
      <c r="L367" s="621"/>
      <c r="M367" s="615" t="s">
        <v>794</v>
      </c>
      <c r="N367" s="621"/>
      <c r="P367" s="615" t="s">
        <v>3838</v>
      </c>
      <c r="Q367" s="612" t="s">
        <v>4284</v>
      </c>
    </row>
    <row r="368" spans="1:17" s="2" customFormat="1" ht="27.75" customHeight="1">
      <c r="A368" s="4">
        <v>365</v>
      </c>
      <c r="B368" s="5" t="s">
        <v>646</v>
      </c>
      <c r="C368" s="5" t="s">
        <v>646</v>
      </c>
      <c r="D368" s="1"/>
      <c r="E368" s="1" t="s">
        <v>649</v>
      </c>
      <c r="F368" s="416"/>
      <c r="G368" s="416">
        <v>150000</v>
      </c>
      <c r="H368" s="240" t="s">
        <v>636</v>
      </c>
      <c r="I368" s="1" t="s">
        <v>320</v>
      </c>
      <c r="J368" s="1" t="s">
        <v>697</v>
      </c>
      <c r="K368" s="268"/>
      <c r="L368" s="191"/>
      <c r="M368" s="1"/>
      <c r="N368" s="191" t="s">
        <v>794</v>
      </c>
      <c r="P368" s="1"/>
      <c r="Q368" t="s">
        <v>4290</v>
      </c>
    </row>
    <row r="369" spans="1:17" s="2" customFormat="1" ht="27.75" customHeight="1">
      <c r="A369" s="4">
        <v>366</v>
      </c>
      <c r="B369" s="5" t="s">
        <v>650</v>
      </c>
      <c r="C369" s="5" t="s">
        <v>650</v>
      </c>
      <c r="D369" s="1"/>
      <c r="E369" s="5" t="s">
        <v>651</v>
      </c>
      <c r="F369" s="416"/>
      <c r="G369" s="416">
        <v>30000</v>
      </c>
      <c r="H369" s="240" t="s">
        <v>638</v>
      </c>
      <c r="I369" s="1" t="s">
        <v>147</v>
      </c>
      <c r="J369" s="1" t="s">
        <v>697</v>
      </c>
      <c r="K369" s="268"/>
      <c r="L369" s="191"/>
      <c r="M369" s="1"/>
      <c r="N369" s="191" t="s">
        <v>794</v>
      </c>
      <c r="P369" s="1"/>
      <c r="Q369" t="s">
        <v>4289</v>
      </c>
    </row>
    <row r="370" spans="1:17" s="2" customFormat="1" ht="27.75" customHeight="1">
      <c r="A370" s="4">
        <v>367</v>
      </c>
      <c r="B370" s="5" t="s">
        <v>650</v>
      </c>
      <c r="C370" s="5" t="s">
        <v>650</v>
      </c>
      <c r="D370" s="1"/>
      <c r="E370" s="5" t="s">
        <v>652</v>
      </c>
      <c r="F370" s="416"/>
      <c r="G370" s="416">
        <v>30000</v>
      </c>
      <c r="H370" s="240" t="s">
        <v>653</v>
      </c>
      <c r="I370" s="1" t="s">
        <v>147</v>
      </c>
      <c r="J370" s="1" t="s">
        <v>697</v>
      </c>
      <c r="K370" s="268"/>
      <c r="L370" s="191"/>
      <c r="M370" s="1"/>
      <c r="N370" s="191" t="s">
        <v>794</v>
      </c>
      <c r="P370" s="1"/>
      <c r="Q370" t="s">
        <v>4289</v>
      </c>
    </row>
    <row r="371" spans="1:17" s="2" customFormat="1" ht="27.75" customHeight="1">
      <c r="A371" s="4">
        <v>368</v>
      </c>
      <c r="B371" s="5" t="s">
        <v>650</v>
      </c>
      <c r="C371" s="5" t="s">
        <v>650</v>
      </c>
      <c r="D371" s="1"/>
      <c r="E371" s="5" t="s">
        <v>654</v>
      </c>
      <c r="F371" s="416"/>
      <c r="G371" s="416">
        <v>40000</v>
      </c>
      <c r="H371" s="240" t="s">
        <v>655</v>
      </c>
      <c r="I371" s="1" t="s">
        <v>147</v>
      </c>
      <c r="J371" s="1" t="s">
        <v>697</v>
      </c>
      <c r="K371" s="268"/>
      <c r="L371" s="191"/>
      <c r="M371" s="1"/>
      <c r="N371" s="191" t="s">
        <v>794</v>
      </c>
      <c r="P371" s="1"/>
      <c r="Q371" t="s">
        <v>4289</v>
      </c>
    </row>
    <row r="372" spans="1:17" ht="27.75" customHeight="1">
      <c r="A372" s="622">
        <v>369</v>
      </c>
      <c r="B372" s="614" t="s">
        <v>650</v>
      </c>
      <c r="C372" s="614" t="s">
        <v>650</v>
      </c>
      <c r="D372" s="615"/>
      <c r="E372" s="614" t="s">
        <v>656</v>
      </c>
      <c r="F372" s="624">
        <v>73000</v>
      </c>
      <c r="G372" s="624"/>
      <c r="H372" s="630" t="s">
        <v>657</v>
      </c>
      <c r="I372" s="615" t="s">
        <v>611</v>
      </c>
      <c r="J372" s="615" t="s">
        <v>696</v>
      </c>
      <c r="K372" s="629" t="s">
        <v>823</v>
      </c>
      <c r="L372" s="621"/>
      <c r="M372" s="615" t="s">
        <v>823</v>
      </c>
      <c r="N372" s="621"/>
      <c r="P372" s="615" t="s">
        <v>3838</v>
      </c>
      <c r="Q372" s="612" t="s">
        <v>4284</v>
      </c>
    </row>
    <row r="373" spans="1:17" ht="27.75" customHeight="1">
      <c r="A373" s="622">
        <v>370</v>
      </c>
      <c r="B373" s="614" t="s">
        <v>650</v>
      </c>
      <c r="C373" s="614" t="s">
        <v>650</v>
      </c>
      <c r="D373" s="615"/>
      <c r="E373" s="614" t="s">
        <v>658</v>
      </c>
      <c r="F373" s="624">
        <v>27500</v>
      </c>
      <c r="G373" s="624"/>
      <c r="H373" s="630" t="s">
        <v>659</v>
      </c>
      <c r="I373" s="615" t="s">
        <v>698</v>
      </c>
      <c r="J373" s="615" t="s">
        <v>699</v>
      </c>
      <c r="K373" s="629" t="s">
        <v>830</v>
      </c>
      <c r="L373" s="621"/>
      <c r="M373" s="615" t="s">
        <v>830</v>
      </c>
      <c r="N373" s="621"/>
      <c r="P373" s="615"/>
      <c r="Q373" s="612" t="s">
        <v>4291</v>
      </c>
    </row>
    <row r="374" spans="1:17" s="2" customFormat="1" ht="27.75" customHeight="1">
      <c r="A374" s="4">
        <v>371</v>
      </c>
      <c r="B374" s="5" t="s">
        <v>650</v>
      </c>
      <c r="C374" s="5" t="s">
        <v>650</v>
      </c>
      <c r="D374" s="1"/>
      <c r="E374" s="5" t="s">
        <v>660</v>
      </c>
      <c r="F374" s="419">
        <v>30000</v>
      </c>
      <c r="G374" s="416"/>
      <c r="H374" s="240" t="s">
        <v>661</v>
      </c>
      <c r="I374" s="1" t="s">
        <v>700</v>
      </c>
      <c r="J374" s="1" t="s">
        <v>603</v>
      </c>
      <c r="K374" s="268"/>
      <c r="L374" s="191"/>
      <c r="M374" s="1"/>
      <c r="N374" s="191"/>
      <c r="P374" s="1"/>
      <c r="Q374" t="s">
        <v>4285</v>
      </c>
    </row>
    <row r="375" spans="1:17" ht="27.75" customHeight="1">
      <c r="A375" s="622">
        <v>372</v>
      </c>
      <c r="B375" s="614" t="s">
        <v>662</v>
      </c>
      <c r="C375" s="614" t="s">
        <v>662</v>
      </c>
      <c r="D375" s="615"/>
      <c r="E375" s="614" t="s">
        <v>663</v>
      </c>
      <c r="F375" s="624">
        <v>75000</v>
      </c>
      <c r="G375" s="624"/>
      <c r="H375" s="630" t="s">
        <v>664</v>
      </c>
      <c r="I375" s="615" t="s">
        <v>612</v>
      </c>
      <c r="J375" s="615" t="s">
        <v>696</v>
      </c>
      <c r="K375" s="629"/>
      <c r="L375" s="621"/>
      <c r="M375" s="615"/>
      <c r="N375" s="621"/>
      <c r="P375" s="615"/>
      <c r="Q375" s="612" t="s">
        <v>4284</v>
      </c>
    </row>
    <row r="376" spans="1:17" ht="27.75" customHeight="1">
      <c r="A376" s="622">
        <v>373</v>
      </c>
      <c r="B376" s="614" t="s">
        <v>662</v>
      </c>
      <c r="C376" s="614" t="s">
        <v>662</v>
      </c>
      <c r="D376" s="615"/>
      <c r="E376" s="614" t="s">
        <v>665</v>
      </c>
      <c r="F376" s="624">
        <v>50000</v>
      </c>
      <c r="G376" s="624"/>
      <c r="H376" s="630" t="s">
        <v>666</v>
      </c>
      <c r="I376" s="615" t="s">
        <v>614</v>
      </c>
      <c r="J376" s="615" t="s">
        <v>597</v>
      </c>
      <c r="K376" s="629" t="s">
        <v>794</v>
      </c>
      <c r="L376" s="621"/>
      <c r="M376" s="615" t="s">
        <v>794</v>
      </c>
      <c r="N376" s="621"/>
      <c r="P376" s="615" t="s">
        <v>3838</v>
      </c>
      <c r="Q376" s="612" t="s">
        <v>821</v>
      </c>
    </row>
    <row r="377" spans="1:17" ht="27.75" customHeight="1">
      <c r="A377" s="622">
        <v>374</v>
      </c>
      <c r="B377" s="614" t="s">
        <v>662</v>
      </c>
      <c r="C377" s="614" t="s">
        <v>662</v>
      </c>
      <c r="D377" s="615"/>
      <c r="E377" s="614" t="s">
        <v>667</v>
      </c>
      <c r="F377" s="624">
        <v>25000</v>
      </c>
      <c r="G377" s="624"/>
      <c r="H377" s="630" t="s">
        <v>668</v>
      </c>
      <c r="I377" s="615" t="s">
        <v>701</v>
      </c>
      <c r="J377" s="615" t="s">
        <v>702</v>
      </c>
      <c r="K377" s="629" t="s">
        <v>794</v>
      </c>
      <c r="L377" s="621"/>
      <c r="M377" s="615" t="s">
        <v>794</v>
      </c>
      <c r="N377" s="621"/>
      <c r="P377" s="615"/>
      <c r="Q377" s="612" t="s">
        <v>4292</v>
      </c>
    </row>
    <row r="378" spans="1:17" s="17" customFormat="1" ht="27.75" customHeight="1">
      <c r="A378" s="4">
        <v>375</v>
      </c>
      <c r="B378" s="13" t="s">
        <v>662</v>
      </c>
      <c r="C378" s="13" t="s">
        <v>662</v>
      </c>
      <c r="D378" s="16"/>
      <c r="E378" s="13" t="s">
        <v>669</v>
      </c>
      <c r="F378" s="417"/>
      <c r="G378" s="422">
        <v>300000</v>
      </c>
      <c r="H378" s="239" t="s">
        <v>670</v>
      </c>
      <c r="I378" s="16" t="s">
        <v>715</v>
      </c>
      <c r="J378" s="16" t="s">
        <v>717</v>
      </c>
      <c r="K378" s="267"/>
      <c r="L378" s="193"/>
      <c r="M378" s="1"/>
      <c r="N378" s="191" t="s">
        <v>794</v>
      </c>
      <c r="P378" s="16" t="s">
        <v>3859</v>
      </c>
      <c r="Q378" t="s">
        <v>4266</v>
      </c>
    </row>
    <row r="379" spans="1:17" ht="27.75" customHeight="1">
      <c r="A379" s="622">
        <v>376</v>
      </c>
      <c r="B379" s="614" t="s">
        <v>671</v>
      </c>
      <c r="C379" s="614" t="s">
        <v>671</v>
      </c>
      <c r="D379" s="615"/>
      <c r="E379" s="614" t="s">
        <v>672</v>
      </c>
      <c r="F379" s="624">
        <v>150000</v>
      </c>
      <c r="G379" s="624"/>
      <c r="H379" s="630" t="s">
        <v>661</v>
      </c>
      <c r="I379" s="615" t="s">
        <v>611</v>
      </c>
      <c r="J379" s="615" t="s">
        <v>696</v>
      </c>
      <c r="K379" s="629" t="s">
        <v>794</v>
      </c>
      <c r="L379" s="621"/>
      <c r="M379" s="615" t="s">
        <v>794</v>
      </c>
      <c r="N379" s="621"/>
      <c r="P379" s="615" t="s">
        <v>3838</v>
      </c>
      <c r="Q379" s="612" t="s">
        <v>4284</v>
      </c>
    </row>
    <row r="380" spans="1:17" ht="27.75" customHeight="1">
      <c r="A380" s="622">
        <v>377</v>
      </c>
      <c r="B380" s="614" t="s">
        <v>671</v>
      </c>
      <c r="C380" s="614" t="s">
        <v>671</v>
      </c>
      <c r="D380" s="615"/>
      <c r="E380" s="614" t="s">
        <v>673</v>
      </c>
      <c r="F380" s="624">
        <v>142750</v>
      </c>
      <c r="G380" s="624"/>
      <c r="H380" s="630" t="s">
        <v>674</v>
      </c>
      <c r="I380" s="615" t="s">
        <v>722</v>
      </c>
      <c r="J380" s="615" t="s">
        <v>703</v>
      </c>
      <c r="K380" s="629" t="s">
        <v>794</v>
      </c>
      <c r="L380" s="621"/>
      <c r="M380" s="615" t="s">
        <v>794</v>
      </c>
      <c r="N380" s="621"/>
      <c r="P380" s="615"/>
      <c r="Q380" s="612" t="s">
        <v>4280</v>
      </c>
    </row>
    <row r="381" spans="1:17" s="17" customFormat="1" ht="27.75" customHeight="1">
      <c r="A381" s="4">
        <v>378</v>
      </c>
      <c r="B381" s="13" t="s">
        <v>675</v>
      </c>
      <c r="C381" s="13" t="s">
        <v>675</v>
      </c>
      <c r="D381" s="16"/>
      <c r="E381" s="16" t="s">
        <v>301</v>
      </c>
      <c r="F381" s="417"/>
      <c r="G381" s="417">
        <v>100000</v>
      </c>
      <c r="H381" s="239" t="s">
        <v>676</v>
      </c>
      <c r="I381" s="16" t="s">
        <v>58</v>
      </c>
      <c r="J381" s="16" t="s">
        <v>59</v>
      </c>
      <c r="K381" s="267"/>
      <c r="L381" s="193"/>
      <c r="M381" s="1"/>
      <c r="N381" s="191" t="s">
        <v>841</v>
      </c>
      <c r="P381" s="16" t="s">
        <v>3870</v>
      </c>
      <c r="Q381" t="s">
        <v>4266</v>
      </c>
    </row>
    <row r="382" spans="1:17" s="2" customFormat="1" ht="27.75" customHeight="1">
      <c r="A382" s="4">
        <v>379</v>
      </c>
      <c r="B382" s="5" t="s">
        <v>677</v>
      </c>
      <c r="C382" s="5" t="s">
        <v>677</v>
      </c>
      <c r="D382" s="1"/>
      <c r="E382" s="5" t="s">
        <v>678</v>
      </c>
      <c r="F382" s="416"/>
      <c r="G382" s="416">
        <v>150000</v>
      </c>
      <c r="H382" s="240" t="s">
        <v>679</v>
      </c>
      <c r="I382" s="1" t="s">
        <v>1206</v>
      </c>
      <c r="J382" s="1" t="s">
        <v>704</v>
      </c>
      <c r="K382" s="268"/>
      <c r="L382" s="191"/>
      <c r="M382" s="1"/>
      <c r="N382" s="191" t="s">
        <v>3482</v>
      </c>
      <c r="P382" s="1" t="s">
        <v>3482</v>
      </c>
      <c r="Q382" t="s">
        <v>4266</v>
      </c>
    </row>
    <row r="383" spans="1:17" s="2" customFormat="1" ht="27.75" customHeight="1">
      <c r="A383" s="4">
        <v>380</v>
      </c>
      <c r="B383" s="5" t="s">
        <v>677</v>
      </c>
      <c r="C383" s="5" t="s">
        <v>677</v>
      </c>
      <c r="D383" s="1"/>
      <c r="E383" s="5" t="s">
        <v>680</v>
      </c>
      <c r="F383" s="416"/>
      <c r="G383" s="416">
        <v>150000</v>
      </c>
      <c r="H383" s="240" t="s">
        <v>681</v>
      </c>
      <c r="I383" s="1" t="s">
        <v>706</v>
      </c>
      <c r="J383" s="1" t="s">
        <v>704</v>
      </c>
      <c r="K383" s="268" t="s">
        <v>794</v>
      </c>
      <c r="L383" s="191"/>
      <c r="M383" s="1" t="s">
        <v>794</v>
      </c>
      <c r="N383" s="191" t="s">
        <v>3482</v>
      </c>
      <c r="P383" s="1"/>
      <c r="Q383" t="s">
        <v>4266</v>
      </c>
    </row>
    <row r="384" spans="1:17" ht="27.75" customHeight="1">
      <c r="A384" s="622">
        <v>381</v>
      </c>
      <c r="B384" s="614" t="s">
        <v>682</v>
      </c>
      <c r="C384" s="614" t="s">
        <v>682</v>
      </c>
      <c r="D384" s="615"/>
      <c r="E384" s="614" t="s">
        <v>683</v>
      </c>
      <c r="F384" s="624">
        <v>80000</v>
      </c>
      <c r="G384" s="624"/>
      <c r="H384" s="630" t="s">
        <v>684</v>
      </c>
      <c r="I384" s="615" t="s">
        <v>614</v>
      </c>
      <c r="J384" s="615" t="s">
        <v>597</v>
      </c>
      <c r="K384" s="629" t="s">
        <v>823</v>
      </c>
      <c r="L384" s="621"/>
      <c r="M384" s="615" t="s">
        <v>823</v>
      </c>
      <c r="N384" s="621"/>
      <c r="P384" s="615" t="s">
        <v>3838</v>
      </c>
      <c r="Q384" s="612" t="s">
        <v>821</v>
      </c>
    </row>
    <row r="385" spans="1:17" s="17" customFormat="1" ht="27.75" customHeight="1">
      <c r="A385" s="4">
        <v>382</v>
      </c>
      <c r="B385" s="13" t="s">
        <v>685</v>
      </c>
      <c r="C385" s="13" t="s">
        <v>685</v>
      </c>
      <c r="D385" s="16"/>
      <c r="E385" s="13" t="s">
        <v>686</v>
      </c>
      <c r="F385" s="417"/>
      <c r="G385" s="417">
        <v>200000</v>
      </c>
      <c r="H385" s="239" t="s">
        <v>687</v>
      </c>
      <c r="I385" s="16" t="s">
        <v>708</v>
      </c>
      <c r="J385" s="16" t="s">
        <v>707</v>
      </c>
      <c r="K385" s="267"/>
      <c r="L385" s="193"/>
      <c r="M385" s="1"/>
      <c r="N385" s="191" t="s">
        <v>794</v>
      </c>
      <c r="P385" s="16"/>
      <c r="Q385" t="s">
        <v>4266</v>
      </c>
    </row>
    <row r="386" spans="1:17" ht="27.75" customHeight="1">
      <c r="A386" s="622">
        <v>383</v>
      </c>
      <c r="B386" s="614" t="s">
        <v>685</v>
      </c>
      <c r="C386" s="614" t="s">
        <v>685</v>
      </c>
      <c r="D386" s="615"/>
      <c r="E386" s="614" t="s">
        <v>688</v>
      </c>
      <c r="F386" s="624">
        <v>35000</v>
      </c>
      <c r="G386" s="624"/>
      <c r="H386" s="630" t="s">
        <v>689</v>
      </c>
      <c r="I386" s="615" t="s">
        <v>709</v>
      </c>
      <c r="J386" s="615" t="s">
        <v>725</v>
      </c>
      <c r="K386" s="629"/>
      <c r="L386" s="621"/>
      <c r="M386" s="615"/>
      <c r="N386" s="621"/>
      <c r="P386" s="615"/>
      <c r="Q386" s="612" t="s">
        <v>4282</v>
      </c>
    </row>
    <row r="387" spans="1:17" s="2" customFormat="1" ht="27.75" customHeight="1">
      <c r="A387" s="4">
        <v>384</v>
      </c>
      <c r="B387" s="5" t="s">
        <v>685</v>
      </c>
      <c r="C387" s="5" t="s">
        <v>685</v>
      </c>
      <c r="D387" s="1"/>
      <c r="E387" s="5" t="s">
        <v>690</v>
      </c>
      <c r="F387" s="416"/>
      <c r="G387" s="416">
        <v>300000</v>
      </c>
      <c r="H387" s="240" t="s">
        <v>691</v>
      </c>
      <c r="I387" s="1" t="s">
        <v>710</v>
      </c>
      <c r="J387" s="1" t="s">
        <v>697</v>
      </c>
      <c r="K387" s="268"/>
      <c r="L387" s="191"/>
      <c r="M387" s="1"/>
      <c r="N387" s="191" t="s">
        <v>794</v>
      </c>
      <c r="P387" s="1" t="s">
        <v>794</v>
      </c>
      <c r="Q387" t="s">
        <v>4293</v>
      </c>
    </row>
    <row r="388" spans="1:17" ht="27.75" customHeight="1">
      <c r="A388" s="622">
        <v>385</v>
      </c>
      <c r="B388" s="614" t="s">
        <v>685</v>
      </c>
      <c r="C388" s="614" t="s">
        <v>685</v>
      </c>
      <c r="D388" s="615"/>
      <c r="E388" s="614" t="s">
        <v>692</v>
      </c>
      <c r="F388" s="624">
        <v>12200</v>
      </c>
      <c r="G388" s="624"/>
      <c r="H388" s="630" t="s">
        <v>693</v>
      </c>
      <c r="I388" s="615" t="s">
        <v>711</v>
      </c>
      <c r="J388" s="615" t="s">
        <v>712</v>
      </c>
      <c r="K388" s="629" t="s">
        <v>794</v>
      </c>
      <c r="L388" s="621"/>
      <c r="M388" s="615" t="s">
        <v>794</v>
      </c>
      <c r="N388" s="621"/>
      <c r="P388" s="615" t="s">
        <v>3838</v>
      </c>
      <c r="Q388" s="612" t="s">
        <v>4294</v>
      </c>
    </row>
    <row r="389" spans="1:17" ht="27.75" customHeight="1">
      <c r="A389" s="622">
        <v>386</v>
      </c>
      <c r="B389" s="614" t="s">
        <v>685</v>
      </c>
      <c r="C389" s="614" t="s">
        <v>685</v>
      </c>
      <c r="D389" s="615"/>
      <c r="E389" s="614" t="s">
        <v>694</v>
      </c>
      <c r="F389" s="624">
        <v>500000</v>
      </c>
      <c r="G389" s="624"/>
      <c r="H389" s="630" t="s">
        <v>695</v>
      </c>
      <c r="I389" s="615" t="s">
        <v>713</v>
      </c>
      <c r="J389" s="615" t="s">
        <v>601</v>
      </c>
      <c r="K389" s="629" t="s">
        <v>830</v>
      </c>
      <c r="L389" s="621"/>
      <c r="M389" s="615" t="s">
        <v>830</v>
      </c>
      <c r="N389" s="621"/>
      <c r="P389" s="615" t="s">
        <v>3838</v>
      </c>
      <c r="Q389" s="612" t="s">
        <v>4283</v>
      </c>
    </row>
    <row r="390" spans="1:17" ht="27.75" customHeight="1">
      <c r="A390" s="622">
        <v>387</v>
      </c>
      <c r="B390" s="614" t="s">
        <v>4455</v>
      </c>
      <c r="C390" s="614" t="s">
        <v>4455</v>
      </c>
      <c r="D390" s="614"/>
      <c r="E390" s="614" t="s">
        <v>4456</v>
      </c>
      <c r="F390" s="626">
        <v>148500</v>
      </c>
      <c r="G390" s="627"/>
      <c r="H390" s="630" t="s">
        <v>4457</v>
      </c>
      <c r="I390" s="615" t="s">
        <v>598</v>
      </c>
      <c r="J390" s="615" t="s">
        <v>725</v>
      </c>
      <c r="K390" s="629"/>
      <c r="L390" s="621" t="s">
        <v>1275</v>
      </c>
      <c r="M390" s="615"/>
      <c r="N390" s="621" t="s">
        <v>1275</v>
      </c>
      <c r="O390" s="612" t="s">
        <v>4261</v>
      </c>
      <c r="P390" s="615"/>
      <c r="Q390" s="612" t="s">
        <v>4282</v>
      </c>
    </row>
    <row r="391" spans="1:17" s="2" customFormat="1" ht="27.75" customHeight="1">
      <c r="A391" s="4">
        <v>388</v>
      </c>
      <c r="B391" s="5" t="s">
        <v>1714</v>
      </c>
      <c r="C391" s="5" t="s">
        <v>1714</v>
      </c>
      <c r="D391" s="5"/>
      <c r="E391" s="5" t="s">
        <v>1715</v>
      </c>
      <c r="F391" s="409">
        <v>260000</v>
      </c>
      <c r="G391" s="408"/>
      <c r="H391" s="240" t="s">
        <v>1716</v>
      </c>
      <c r="I391" s="1" t="s">
        <v>351</v>
      </c>
      <c r="J391" s="1" t="s">
        <v>350</v>
      </c>
      <c r="K391" s="268"/>
      <c r="L391" s="191"/>
      <c r="M391" s="1"/>
      <c r="N391" s="191"/>
      <c r="P391" s="1"/>
      <c r="Q391" t="s">
        <v>1345</v>
      </c>
    </row>
    <row r="392" spans="1:17" s="2" customFormat="1" ht="27.75" customHeight="1">
      <c r="A392" s="4">
        <v>389</v>
      </c>
      <c r="B392" s="5" t="s">
        <v>1714</v>
      </c>
      <c r="C392" s="5" t="s">
        <v>1714</v>
      </c>
      <c r="D392" s="5"/>
      <c r="E392" s="5" t="s">
        <v>1717</v>
      </c>
      <c r="F392" s="409">
        <v>515000</v>
      </c>
      <c r="G392" s="408"/>
      <c r="H392" s="241">
        <v>886850.9</v>
      </c>
      <c r="I392" s="1" t="s">
        <v>349</v>
      </c>
      <c r="J392" s="1" t="s">
        <v>350</v>
      </c>
      <c r="K392" s="268" t="s">
        <v>823</v>
      </c>
      <c r="L392" s="191"/>
      <c r="M392" s="1" t="s">
        <v>823</v>
      </c>
      <c r="N392" s="191"/>
      <c r="P392" s="1"/>
      <c r="Q392" t="s">
        <v>1345</v>
      </c>
    </row>
    <row r="393" spans="1:17" ht="27.75" customHeight="1">
      <c r="A393" s="622">
        <v>390</v>
      </c>
      <c r="B393" s="614" t="s">
        <v>4455</v>
      </c>
      <c r="C393" s="614" t="s">
        <v>4455</v>
      </c>
      <c r="D393" s="614"/>
      <c r="E393" s="614" t="s">
        <v>4458</v>
      </c>
      <c r="F393" s="626">
        <v>230000</v>
      </c>
      <c r="G393" s="627"/>
      <c r="H393" s="628">
        <v>656850.9</v>
      </c>
      <c r="I393" s="615" t="s">
        <v>714</v>
      </c>
      <c r="J393" s="615" t="s">
        <v>723</v>
      </c>
      <c r="K393" s="629" t="s">
        <v>823</v>
      </c>
      <c r="L393" s="621"/>
      <c r="M393" s="615" t="s">
        <v>823</v>
      </c>
      <c r="N393" s="621"/>
      <c r="O393" s="612" t="s">
        <v>4261</v>
      </c>
      <c r="P393" s="615"/>
      <c r="Q393" s="612" t="s">
        <v>1031</v>
      </c>
    </row>
    <row r="394" spans="1:17" s="2" customFormat="1" ht="27.75" customHeight="1">
      <c r="A394" s="4">
        <v>391</v>
      </c>
      <c r="B394" s="5" t="s">
        <v>1718</v>
      </c>
      <c r="C394" s="5" t="s">
        <v>1718</v>
      </c>
      <c r="D394" s="7"/>
      <c r="E394" s="5" t="s">
        <v>1719</v>
      </c>
      <c r="F394" s="408"/>
      <c r="G394" s="409">
        <v>10</v>
      </c>
      <c r="H394" s="241">
        <v>656860.9</v>
      </c>
      <c r="I394" s="1" t="s">
        <v>716</v>
      </c>
      <c r="J394" s="1" t="s">
        <v>61</v>
      </c>
      <c r="K394" s="268"/>
      <c r="L394" s="191"/>
      <c r="M394" s="1"/>
      <c r="N394" s="191" t="s">
        <v>794</v>
      </c>
      <c r="P394" s="1"/>
      <c r="Q394" t="s">
        <v>4266</v>
      </c>
    </row>
    <row r="395" spans="1:17" s="2" customFormat="1" ht="27.75" customHeight="1">
      <c r="A395" s="4">
        <v>392</v>
      </c>
      <c r="B395" s="5" t="s">
        <v>1718</v>
      </c>
      <c r="C395" s="5" t="s">
        <v>1718</v>
      </c>
      <c r="D395" s="7"/>
      <c r="E395" s="5" t="s">
        <v>1720</v>
      </c>
      <c r="F395" s="408"/>
      <c r="G395" s="409">
        <v>300000</v>
      </c>
      <c r="H395" s="241">
        <v>956860.9</v>
      </c>
      <c r="I395" s="1" t="s">
        <v>716</v>
      </c>
      <c r="J395" s="1" t="s">
        <v>61</v>
      </c>
      <c r="K395" s="268"/>
      <c r="L395" s="191"/>
      <c r="M395" s="1"/>
      <c r="N395" s="191" t="s">
        <v>3575</v>
      </c>
      <c r="P395" s="1"/>
      <c r="Q395" t="s">
        <v>4266</v>
      </c>
    </row>
    <row r="396" spans="1:17" ht="27.75" customHeight="1">
      <c r="A396" s="622">
        <v>393</v>
      </c>
      <c r="B396" s="614" t="s">
        <v>4459</v>
      </c>
      <c r="C396" s="614" t="s">
        <v>4460</v>
      </c>
      <c r="D396" s="614"/>
      <c r="E396" s="614" t="s">
        <v>4461</v>
      </c>
      <c r="F396" s="669">
        <v>100000</v>
      </c>
      <c r="G396" s="627"/>
      <c r="H396" s="670">
        <v>856860.9</v>
      </c>
      <c r="I396" s="615" t="s">
        <v>475</v>
      </c>
      <c r="J396" s="615" t="s">
        <v>725</v>
      </c>
      <c r="K396" s="629"/>
      <c r="L396" s="621"/>
      <c r="M396" s="615"/>
      <c r="N396" s="621"/>
      <c r="O396" s="612" t="s">
        <v>4261</v>
      </c>
      <c r="P396" s="615"/>
      <c r="Q396" s="612" t="s">
        <v>4282</v>
      </c>
    </row>
    <row r="397" spans="1:17" ht="27.75" customHeight="1">
      <c r="A397" s="622">
        <v>394</v>
      </c>
      <c r="B397" s="614" t="s">
        <v>4460</v>
      </c>
      <c r="C397" s="614" t="s">
        <v>4460</v>
      </c>
      <c r="D397" s="614"/>
      <c r="E397" s="614" t="s">
        <v>4462</v>
      </c>
      <c r="F397" s="626">
        <v>41790</v>
      </c>
      <c r="G397" s="627"/>
      <c r="H397" s="628">
        <v>815070.9</v>
      </c>
      <c r="I397" s="615" t="s">
        <v>612</v>
      </c>
      <c r="J397" s="615" t="s">
        <v>602</v>
      </c>
      <c r="K397" s="629" t="s">
        <v>823</v>
      </c>
      <c r="L397" s="621"/>
      <c r="M397" s="615" t="s">
        <v>823</v>
      </c>
      <c r="N397" s="621"/>
      <c r="O397" s="612" t="s">
        <v>4261</v>
      </c>
      <c r="P397" s="615"/>
      <c r="Q397" s="612" t="s">
        <v>4284</v>
      </c>
    </row>
    <row r="398" spans="1:17" ht="27.75" customHeight="1">
      <c r="A398" s="622">
        <v>395</v>
      </c>
      <c r="B398" s="614" t="s">
        <v>4463</v>
      </c>
      <c r="C398" s="614" t="s">
        <v>4463</v>
      </c>
      <c r="D398" s="614"/>
      <c r="E398" s="614" t="s">
        <v>4464</v>
      </c>
      <c r="F398" s="626">
        <v>10000</v>
      </c>
      <c r="G398" s="627"/>
      <c r="H398" s="628">
        <v>805070.9</v>
      </c>
      <c r="I398" s="615" t="s">
        <v>724</v>
      </c>
      <c r="J398" s="615" t="s">
        <v>733</v>
      </c>
      <c r="K398" s="629"/>
      <c r="L398" s="621"/>
      <c r="M398" s="615"/>
      <c r="N398" s="621"/>
      <c r="O398" s="612" t="s">
        <v>4261</v>
      </c>
      <c r="P398" s="615"/>
      <c r="Q398" s="612" t="s">
        <v>4282</v>
      </c>
    </row>
    <row r="399" spans="1:17" s="2" customFormat="1" ht="27.75" customHeight="1">
      <c r="A399" s="4">
        <v>396</v>
      </c>
      <c r="B399" s="5" t="s">
        <v>1721</v>
      </c>
      <c r="C399" s="5" t="s">
        <v>1721</v>
      </c>
      <c r="D399" s="5"/>
      <c r="E399" s="5" t="s">
        <v>1722</v>
      </c>
      <c r="F399" s="409">
        <v>30000</v>
      </c>
      <c r="G399" s="408"/>
      <c r="H399" s="241">
        <v>775070.9</v>
      </c>
      <c r="I399" s="1" t="s">
        <v>149</v>
      </c>
      <c r="J399" s="1" t="s">
        <v>603</v>
      </c>
      <c r="K399" s="268"/>
      <c r="L399" s="191"/>
      <c r="M399" s="1"/>
      <c r="N399" s="191"/>
      <c r="P399" s="1"/>
      <c r="Q399" t="s">
        <v>4285</v>
      </c>
    </row>
    <row r="400" spans="1:17" ht="27.75" customHeight="1">
      <c r="A400" s="622">
        <v>397</v>
      </c>
      <c r="B400" s="614" t="s">
        <v>4463</v>
      </c>
      <c r="C400" s="614" t="s">
        <v>4463</v>
      </c>
      <c r="D400" s="614"/>
      <c r="E400" s="614" t="s">
        <v>4465</v>
      </c>
      <c r="F400" s="626">
        <v>88000</v>
      </c>
      <c r="G400" s="627"/>
      <c r="H400" s="628">
        <v>687070.9</v>
      </c>
      <c r="I400" s="615" t="s">
        <v>731</v>
      </c>
      <c r="J400" s="615" t="s">
        <v>732</v>
      </c>
      <c r="K400" s="629"/>
      <c r="L400" s="621"/>
      <c r="M400" s="615"/>
      <c r="N400" s="621"/>
      <c r="O400" s="612" t="s">
        <v>4261</v>
      </c>
      <c r="P400" s="615"/>
      <c r="Q400" s="612" t="s">
        <v>4282</v>
      </c>
    </row>
    <row r="401" spans="1:17" ht="27.75" customHeight="1">
      <c r="A401" s="622">
        <v>398</v>
      </c>
      <c r="B401" s="614" t="s">
        <v>4428</v>
      </c>
      <c r="C401" s="614" t="s">
        <v>4428</v>
      </c>
      <c r="D401" s="614"/>
      <c r="E401" s="614" t="s">
        <v>4429</v>
      </c>
      <c r="F401" s="626">
        <v>30000</v>
      </c>
      <c r="G401" s="627"/>
      <c r="H401" s="628">
        <v>657070.9</v>
      </c>
      <c r="I401" s="615" t="s">
        <v>3253</v>
      </c>
      <c r="J401" s="615" t="s">
        <v>603</v>
      </c>
      <c r="K401" s="629"/>
      <c r="L401" s="621"/>
      <c r="M401" s="615"/>
      <c r="N401" s="621"/>
      <c r="P401" s="615"/>
      <c r="Q401" s="612" t="s">
        <v>4286</v>
      </c>
    </row>
    <row r="402" spans="1:17" s="2" customFormat="1" ht="27.75" customHeight="1">
      <c r="A402" s="4">
        <v>399</v>
      </c>
      <c r="B402" s="5" t="s">
        <v>1723</v>
      </c>
      <c r="C402" s="5" t="s">
        <v>1723</v>
      </c>
      <c r="D402" s="5"/>
      <c r="E402" s="5" t="s">
        <v>1724</v>
      </c>
      <c r="F402" s="408"/>
      <c r="G402" s="409">
        <v>45000</v>
      </c>
      <c r="H402" s="241">
        <v>702070.9</v>
      </c>
      <c r="I402" s="1" t="s">
        <v>730</v>
      </c>
      <c r="J402" s="1" t="s">
        <v>55</v>
      </c>
      <c r="K402" s="268"/>
      <c r="L402" s="191"/>
      <c r="M402" s="1"/>
      <c r="N402" s="191" t="s">
        <v>842</v>
      </c>
      <c r="P402" s="1" t="s">
        <v>3874</v>
      </c>
      <c r="Q402" t="s">
        <v>4266</v>
      </c>
    </row>
    <row r="403" spans="1:17" s="2" customFormat="1" ht="27.75" customHeight="1">
      <c r="A403" s="4">
        <v>400</v>
      </c>
      <c r="B403" s="5" t="s">
        <v>1723</v>
      </c>
      <c r="C403" s="5" t="s">
        <v>1723</v>
      </c>
      <c r="D403" s="5"/>
      <c r="E403" s="5" t="s">
        <v>1725</v>
      </c>
      <c r="F403" s="408"/>
      <c r="G403" s="409">
        <v>70000</v>
      </c>
      <c r="H403" s="241">
        <v>772070.9</v>
      </c>
      <c r="I403" s="1" t="s">
        <v>616</v>
      </c>
      <c r="J403" s="1" t="s">
        <v>55</v>
      </c>
      <c r="K403" s="268" t="s">
        <v>823</v>
      </c>
      <c r="L403" s="191"/>
      <c r="M403" s="1" t="s">
        <v>823</v>
      </c>
      <c r="N403" s="191" t="s">
        <v>842</v>
      </c>
      <c r="P403" s="1"/>
      <c r="Q403" t="s">
        <v>4266</v>
      </c>
    </row>
    <row r="404" spans="1:17" s="17" customFormat="1" ht="27.75" customHeight="1">
      <c r="A404" s="4">
        <v>401</v>
      </c>
      <c r="B404" s="13" t="s">
        <v>1726</v>
      </c>
      <c r="C404" s="13" t="s">
        <v>1726</v>
      </c>
      <c r="D404" s="13"/>
      <c r="E404" s="13" t="s">
        <v>1727</v>
      </c>
      <c r="F404" s="411"/>
      <c r="G404" s="412">
        <v>100000</v>
      </c>
      <c r="H404" s="242">
        <v>872070.9</v>
      </c>
      <c r="I404" s="16" t="s">
        <v>121</v>
      </c>
      <c r="J404" s="16" t="s">
        <v>726</v>
      </c>
      <c r="K404" s="267"/>
      <c r="L404" s="193"/>
      <c r="M404" s="1"/>
      <c r="N404" s="191" t="s">
        <v>794</v>
      </c>
      <c r="P404" s="1" t="s">
        <v>3894</v>
      </c>
      <c r="Q404" t="s">
        <v>4266</v>
      </c>
    </row>
    <row r="405" spans="1:17" ht="27.75" customHeight="1">
      <c r="A405" s="622">
        <v>402</v>
      </c>
      <c r="B405" s="614" t="s">
        <v>4466</v>
      </c>
      <c r="C405" s="614" t="s">
        <v>4466</v>
      </c>
      <c r="D405" s="614"/>
      <c r="E405" s="614" t="s">
        <v>4467</v>
      </c>
      <c r="F405" s="626">
        <v>41980</v>
      </c>
      <c r="G405" s="627"/>
      <c r="H405" s="628">
        <v>830090.9</v>
      </c>
      <c r="I405" s="615" t="s">
        <v>612</v>
      </c>
      <c r="J405" s="615" t="s">
        <v>602</v>
      </c>
      <c r="K405" s="629" t="s">
        <v>823</v>
      </c>
      <c r="L405" s="621"/>
      <c r="M405" s="615" t="s">
        <v>823</v>
      </c>
      <c r="N405" s="621"/>
      <c r="O405" s="612" t="s">
        <v>4261</v>
      </c>
      <c r="P405" s="615"/>
      <c r="Q405" s="612" t="s">
        <v>4284</v>
      </c>
    </row>
    <row r="406" spans="1:17" ht="27.75" customHeight="1">
      <c r="A406" s="622">
        <v>403</v>
      </c>
      <c r="B406" s="614" t="s">
        <v>4466</v>
      </c>
      <c r="C406" s="614" t="s">
        <v>4466</v>
      </c>
      <c r="D406" s="614"/>
      <c r="E406" s="614" t="s">
        <v>4468</v>
      </c>
      <c r="F406" s="626">
        <v>100000</v>
      </c>
      <c r="G406" s="627"/>
      <c r="H406" s="628">
        <v>730090.9</v>
      </c>
      <c r="I406" s="615" t="s">
        <v>727</v>
      </c>
      <c r="J406" s="615" t="s">
        <v>728</v>
      </c>
      <c r="K406" s="629" t="s">
        <v>794</v>
      </c>
      <c r="L406" s="621"/>
      <c r="M406" s="615" t="s">
        <v>794</v>
      </c>
      <c r="N406" s="621"/>
      <c r="O406" s="612" t="s">
        <v>4261</v>
      </c>
      <c r="P406" s="615"/>
      <c r="Q406" s="612" t="s">
        <v>4295</v>
      </c>
    </row>
    <row r="407" spans="1:17" ht="27.75" customHeight="1">
      <c r="A407" s="622">
        <v>404</v>
      </c>
      <c r="B407" s="614" t="s">
        <v>4469</v>
      </c>
      <c r="C407" s="614" t="s">
        <v>4469</v>
      </c>
      <c r="D407" s="614"/>
      <c r="E407" s="614" t="s">
        <v>4470</v>
      </c>
      <c r="F407" s="626">
        <v>21000</v>
      </c>
      <c r="G407" s="627"/>
      <c r="H407" s="628">
        <v>709090.9</v>
      </c>
      <c r="I407" s="615" t="s">
        <v>612</v>
      </c>
      <c r="J407" s="615" t="s">
        <v>602</v>
      </c>
      <c r="K407" s="629" t="s">
        <v>794</v>
      </c>
      <c r="L407" s="621"/>
      <c r="M407" s="615" t="s">
        <v>794</v>
      </c>
      <c r="N407" s="621"/>
      <c r="O407" s="612" t="s">
        <v>4261</v>
      </c>
      <c r="P407" s="615"/>
      <c r="Q407" s="612" t="s">
        <v>4284</v>
      </c>
    </row>
    <row r="408" spans="1:17" ht="27.75" customHeight="1">
      <c r="A408" s="622">
        <v>405</v>
      </c>
      <c r="B408" s="614" t="s">
        <v>4469</v>
      </c>
      <c r="C408" s="614" t="s">
        <v>4469</v>
      </c>
      <c r="D408" s="614"/>
      <c r="E408" s="614" t="s">
        <v>4471</v>
      </c>
      <c r="F408" s="626">
        <v>23000</v>
      </c>
      <c r="G408" s="627"/>
      <c r="H408" s="628">
        <v>686090.9</v>
      </c>
      <c r="I408" s="615" t="s">
        <v>611</v>
      </c>
      <c r="J408" s="615" t="s">
        <v>602</v>
      </c>
      <c r="K408" s="629" t="s">
        <v>794</v>
      </c>
      <c r="L408" s="621"/>
      <c r="M408" s="615" t="s">
        <v>794</v>
      </c>
      <c r="N408" s="621"/>
      <c r="O408" s="612" t="s">
        <v>4261</v>
      </c>
      <c r="P408" s="615" t="s">
        <v>3838</v>
      </c>
      <c r="Q408" s="612" t="s">
        <v>4284</v>
      </c>
    </row>
    <row r="409" spans="1:17" s="2" customFormat="1" ht="27.75" customHeight="1">
      <c r="A409" s="4">
        <v>406</v>
      </c>
      <c r="B409" s="5" t="s">
        <v>1728</v>
      </c>
      <c r="C409" s="5" t="s">
        <v>1728</v>
      </c>
      <c r="D409" s="5"/>
      <c r="E409" s="5" t="s">
        <v>1729</v>
      </c>
      <c r="F409" s="408"/>
      <c r="G409" s="409">
        <v>60000</v>
      </c>
      <c r="H409" s="241">
        <v>746090.9</v>
      </c>
      <c r="I409" s="1" t="s">
        <v>378</v>
      </c>
      <c r="J409" s="1" t="s">
        <v>112</v>
      </c>
      <c r="K409" s="268"/>
      <c r="L409" s="191"/>
      <c r="M409" s="1"/>
      <c r="N409" s="191" t="s">
        <v>3500</v>
      </c>
      <c r="P409" s="1" t="s">
        <v>3865</v>
      </c>
      <c r="Q409" t="s">
        <v>4266</v>
      </c>
    </row>
    <row r="410" spans="1:17" ht="27.75" customHeight="1">
      <c r="A410" s="622">
        <v>407</v>
      </c>
      <c r="B410" s="614" t="s">
        <v>4472</v>
      </c>
      <c r="C410" s="614" t="s">
        <v>4472</v>
      </c>
      <c r="D410" s="614"/>
      <c r="E410" s="614" t="s">
        <v>4473</v>
      </c>
      <c r="F410" s="626">
        <v>270000</v>
      </c>
      <c r="G410" s="627"/>
      <c r="H410" s="628">
        <v>476090.9</v>
      </c>
      <c r="I410" s="615" t="s">
        <v>614</v>
      </c>
      <c r="J410" s="615" t="s">
        <v>597</v>
      </c>
      <c r="K410" s="629" t="s">
        <v>794</v>
      </c>
      <c r="L410" s="621"/>
      <c r="M410" s="615" t="s">
        <v>794</v>
      </c>
      <c r="N410" s="621"/>
      <c r="O410" s="612" t="s">
        <v>4261</v>
      </c>
      <c r="P410" s="615" t="s">
        <v>3838</v>
      </c>
      <c r="Q410" s="612" t="s">
        <v>821</v>
      </c>
    </row>
    <row r="411" spans="1:17" s="2" customFormat="1" ht="27.75" customHeight="1">
      <c r="A411" s="4">
        <v>408</v>
      </c>
      <c r="B411" s="5" t="s">
        <v>1730</v>
      </c>
      <c r="C411" s="5" t="s">
        <v>1731</v>
      </c>
      <c r="D411" s="5"/>
      <c r="E411" s="3" t="s">
        <v>1347</v>
      </c>
      <c r="F411" s="408"/>
      <c r="G411" s="409">
        <v>100000</v>
      </c>
      <c r="H411" s="241">
        <v>576090.9</v>
      </c>
      <c r="I411" s="1" t="s">
        <v>729</v>
      </c>
      <c r="J411" s="1" t="s">
        <v>465</v>
      </c>
      <c r="K411" s="268"/>
      <c r="L411" s="191"/>
      <c r="M411" s="1"/>
      <c r="N411" s="191" t="s">
        <v>3575</v>
      </c>
      <c r="P411" s="1"/>
      <c r="Q411" t="s">
        <v>4266</v>
      </c>
    </row>
    <row r="412" spans="1:17" s="2" customFormat="1" ht="27.75" customHeight="1">
      <c r="A412" s="4">
        <v>409</v>
      </c>
      <c r="B412" s="5" t="s">
        <v>1731</v>
      </c>
      <c r="C412" s="5" t="s">
        <v>1731</v>
      </c>
      <c r="D412" s="5"/>
      <c r="E412" s="5" t="s">
        <v>1732</v>
      </c>
      <c r="F412" s="408"/>
      <c r="G412" s="409">
        <v>203000</v>
      </c>
      <c r="H412" s="241">
        <v>779090.9</v>
      </c>
      <c r="I412" s="1" t="s">
        <v>474</v>
      </c>
      <c r="J412" s="1" t="s">
        <v>90</v>
      </c>
      <c r="K412" s="268" t="s">
        <v>794</v>
      </c>
      <c r="L412" s="191"/>
      <c r="M412" s="1" t="s">
        <v>794</v>
      </c>
      <c r="N412" s="191" t="s">
        <v>3575</v>
      </c>
      <c r="P412" s="1"/>
      <c r="Q412" t="s">
        <v>4266</v>
      </c>
    </row>
    <row r="413" spans="1:17" ht="27.75" customHeight="1">
      <c r="A413" s="622">
        <v>410</v>
      </c>
      <c r="B413" s="614" t="s">
        <v>4474</v>
      </c>
      <c r="C413" s="614" t="s">
        <v>4474</v>
      </c>
      <c r="D413" s="614"/>
      <c r="E413" s="614" t="s">
        <v>4475</v>
      </c>
      <c r="F413" s="626">
        <v>100000</v>
      </c>
      <c r="G413" s="627"/>
      <c r="H413" s="628">
        <v>679090.9</v>
      </c>
      <c r="I413" s="615" t="s">
        <v>475</v>
      </c>
      <c r="J413" s="615" t="s">
        <v>725</v>
      </c>
      <c r="K413" s="629"/>
      <c r="L413" s="621"/>
      <c r="M413" s="615"/>
      <c r="N413" s="621"/>
      <c r="O413" s="612" t="s">
        <v>4261</v>
      </c>
      <c r="P413" s="615"/>
      <c r="Q413" s="612" t="s">
        <v>4282</v>
      </c>
    </row>
    <row r="414" spans="1:17" s="2" customFormat="1" ht="27.75" customHeight="1">
      <c r="A414" s="4">
        <v>411</v>
      </c>
      <c r="B414" s="5" t="s">
        <v>1733</v>
      </c>
      <c r="C414" s="5" t="s">
        <v>1733</v>
      </c>
      <c r="D414" s="5"/>
      <c r="E414" s="5" t="s">
        <v>1734</v>
      </c>
      <c r="F414" s="408"/>
      <c r="G414" s="409">
        <v>100000</v>
      </c>
      <c r="H414" s="241">
        <v>779090.9</v>
      </c>
      <c r="I414" s="1" t="s">
        <v>729</v>
      </c>
      <c r="J414" s="1" t="s">
        <v>465</v>
      </c>
      <c r="K414" s="268"/>
      <c r="L414" s="191"/>
      <c r="M414" s="1"/>
      <c r="N414" s="191" t="s">
        <v>3575</v>
      </c>
      <c r="P414" s="1"/>
      <c r="Q414" t="s">
        <v>4266</v>
      </c>
    </row>
    <row r="415" spans="1:17" s="2" customFormat="1" ht="27.75" customHeight="1">
      <c r="A415" s="4">
        <v>412</v>
      </c>
      <c r="B415" s="5" t="s">
        <v>1733</v>
      </c>
      <c r="C415" s="5" t="s">
        <v>1733</v>
      </c>
      <c r="D415" s="5"/>
      <c r="E415" s="5" t="s">
        <v>1735</v>
      </c>
      <c r="F415" s="408"/>
      <c r="G415" s="409">
        <v>75000</v>
      </c>
      <c r="H415" s="241">
        <v>854090.9</v>
      </c>
      <c r="I415" s="1" t="s">
        <v>147</v>
      </c>
      <c r="J415" s="1" t="s">
        <v>107</v>
      </c>
      <c r="K415" s="268"/>
      <c r="L415" s="191"/>
      <c r="M415" s="1"/>
      <c r="N415" s="191" t="s">
        <v>794</v>
      </c>
      <c r="P415" s="1"/>
      <c r="Q415" t="s">
        <v>4266</v>
      </c>
    </row>
    <row r="416" spans="1:17" ht="27.75" customHeight="1">
      <c r="A416" s="622">
        <v>413</v>
      </c>
      <c r="B416" s="614" t="s">
        <v>4476</v>
      </c>
      <c r="C416" s="614" t="s">
        <v>4476</v>
      </c>
      <c r="D416" s="614"/>
      <c r="E416" s="614" t="s">
        <v>4477</v>
      </c>
      <c r="F416" s="626">
        <v>250000</v>
      </c>
      <c r="G416" s="627"/>
      <c r="H416" s="628">
        <v>604090.9</v>
      </c>
      <c r="I416" s="615" t="s">
        <v>713</v>
      </c>
      <c r="J416" s="615" t="s">
        <v>601</v>
      </c>
      <c r="K416" s="629" t="s">
        <v>830</v>
      </c>
      <c r="L416" s="621"/>
      <c r="M416" s="615" t="s">
        <v>830</v>
      </c>
      <c r="N416" s="621"/>
      <c r="O416" s="612" t="s">
        <v>4261</v>
      </c>
      <c r="P416" s="615" t="s">
        <v>3838</v>
      </c>
      <c r="Q416" s="612" t="s">
        <v>4283</v>
      </c>
    </row>
    <row r="417" spans="1:17" s="2" customFormat="1" ht="27.75" customHeight="1">
      <c r="A417" s="4">
        <v>414</v>
      </c>
      <c r="B417" s="5" t="s">
        <v>1736</v>
      </c>
      <c r="C417" s="5" t="s">
        <v>1736</v>
      </c>
      <c r="D417" s="5"/>
      <c r="E417" s="3" t="s">
        <v>1348</v>
      </c>
      <c r="F417" s="408"/>
      <c r="G417" s="409">
        <v>100000</v>
      </c>
      <c r="H417" s="241">
        <v>704090.9</v>
      </c>
      <c r="I417" s="1" t="s">
        <v>729</v>
      </c>
      <c r="J417" s="1" t="s">
        <v>465</v>
      </c>
      <c r="K417" s="268"/>
      <c r="L417" s="191"/>
      <c r="M417" s="1"/>
      <c r="N417" s="191" t="s">
        <v>3575</v>
      </c>
      <c r="P417" s="1"/>
      <c r="Q417" t="s">
        <v>4266</v>
      </c>
    </row>
    <row r="418" spans="1:17" s="2" customFormat="1" ht="27.75" customHeight="1">
      <c r="A418" s="4">
        <v>415</v>
      </c>
      <c r="B418" s="5" t="s">
        <v>1736</v>
      </c>
      <c r="C418" s="5" t="s">
        <v>1736</v>
      </c>
      <c r="D418" s="5"/>
      <c r="E418" s="5" t="s">
        <v>1737</v>
      </c>
      <c r="F418" s="408"/>
      <c r="G418" s="409">
        <v>56000</v>
      </c>
      <c r="H418" s="241">
        <v>760090.9</v>
      </c>
      <c r="I418" s="1" t="s">
        <v>342</v>
      </c>
      <c r="J418" s="1" t="s">
        <v>96</v>
      </c>
      <c r="K418" s="268"/>
      <c r="L418" s="191"/>
      <c r="M418" s="1"/>
      <c r="N418" s="191" t="s">
        <v>794</v>
      </c>
      <c r="P418" s="1" t="s">
        <v>794</v>
      </c>
      <c r="Q418" t="s">
        <v>4266</v>
      </c>
    </row>
    <row r="419" spans="1:17" ht="27.75" customHeight="1">
      <c r="A419" s="622">
        <v>416</v>
      </c>
      <c r="B419" s="614" t="s">
        <v>4478</v>
      </c>
      <c r="C419" s="614" t="s">
        <v>4478</v>
      </c>
      <c r="D419" s="614"/>
      <c r="E419" s="614" t="s">
        <v>4479</v>
      </c>
      <c r="F419" s="626">
        <v>60000</v>
      </c>
      <c r="G419" s="627"/>
      <c r="H419" s="628">
        <v>700090.9</v>
      </c>
      <c r="I419" s="615" t="s">
        <v>614</v>
      </c>
      <c r="J419" s="615" t="s">
        <v>597</v>
      </c>
      <c r="K419" s="629" t="s">
        <v>794</v>
      </c>
      <c r="L419" s="621"/>
      <c r="M419" s="615" t="s">
        <v>794</v>
      </c>
      <c r="N419" s="621"/>
      <c r="O419" s="612" t="s">
        <v>4261</v>
      </c>
      <c r="P419" s="615" t="s">
        <v>3838</v>
      </c>
      <c r="Q419" s="612" t="s">
        <v>821</v>
      </c>
    </row>
    <row r="420" spans="1:17" s="17" customFormat="1" ht="27.75" customHeight="1">
      <c r="A420" s="4">
        <v>417</v>
      </c>
      <c r="B420" s="13" t="s">
        <v>1736</v>
      </c>
      <c r="C420" s="13" t="s">
        <v>1736</v>
      </c>
      <c r="D420" s="13"/>
      <c r="E420" s="13" t="s">
        <v>1738</v>
      </c>
      <c r="F420" s="411"/>
      <c r="G420" s="412">
        <v>695000</v>
      </c>
      <c r="H420" s="239" t="s">
        <v>1739</v>
      </c>
      <c r="I420" s="16" t="s">
        <v>708</v>
      </c>
      <c r="J420" s="16" t="s">
        <v>707</v>
      </c>
      <c r="K420" s="267"/>
      <c r="L420" s="193"/>
      <c r="M420" s="1"/>
      <c r="N420" s="191" t="s">
        <v>794</v>
      </c>
      <c r="P420" s="16"/>
      <c r="Q420" t="s">
        <v>4266</v>
      </c>
    </row>
    <row r="421" spans="1:17" ht="27.75" customHeight="1">
      <c r="A421" s="622">
        <v>418</v>
      </c>
      <c r="B421" s="614" t="s">
        <v>4478</v>
      </c>
      <c r="C421" s="614" t="s">
        <v>4478</v>
      </c>
      <c r="D421" s="614"/>
      <c r="E421" s="614" t="s">
        <v>4480</v>
      </c>
      <c r="F421" s="626">
        <v>35000</v>
      </c>
      <c r="G421" s="627"/>
      <c r="H421" s="630" t="s">
        <v>4481</v>
      </c>
      <c r="I421" s="615" t="s">
        <v>709</v>
      </c>
      <c r="J421" s="615" t="s">
        <v>734</v>
      </c>
      <c r="K421" s="629" t="s">
        <v>794</v>
      </c>
      <c r="L421" s="621"/>
      <c r="M421" s="615" t="s">
        <v>794</v>
      </c>
      <c r="N421" s="621"/>
      <c r="O421" s="612" t="s">
        <v>4261</v>
      </c>
      <c r="P421" s="615"/>
      <c r="Q421" s="612" t="s">
        <v>4282</v>
      </c>
    </row>
    <row r="422" spans="1:17" s="2" customFormat="1" ht="27.75" customHeight="1">
      <c r="A422" s="4">
        <v>419</v>
      </c>
      <c r="B422" s="5" t="s">
        <v>1740</v>
      </c>
      <c r="C422" s="5" t="s">
        <v>1740</v>
      </c>
      <c r="D422" s="5"/>
      <c r="E422" s="5" t="s">
        <v>1741</v>
      </c>
      <c r="F422" s="409">
        <v>164000</v>
      </c>
      <c r="G422" s="408"/>
      <c r="H422" s="240" t="s">
        <v>1742</v>
      </c>
      <c r="I422" s="1" t="s">
        <v>83</v>
      </c>
      <c r="J422" s="1" t="s">
        <v>735</v>
      </c>
      <c r="K422" s="268" t="s">
        <v>823</v>
      </c>
      <c r="L422" s="191"/>
      <c r="M422" s="1" t="s">
        <v>823</v>
      </c>
      <c r="N422" s="191" t="s">
        <v>832</v>
      </c>
      <c r="P422" s="1" t="s">
        <v>3878</v>
      </c>
      <c r="Q422" t="s">
        <v>4266</v>
      </c>
    </row>
    <row r="423" spans="1:17" s="17" customFormat="1" ht="27.75" customHeight="1">
      <c r="A423" s="4">
        <v>420</v>
      </c>
      <c r="B423" s="13" t="s">
        <v>1740</v>
      </c>
      <c r="C423" s="13" t="s">
        <v>1740</v>
      </c>
      <c r="D423" s="13"/>
      <c r="E423" s="13" t="s">
        <v>1743</v>
      </c>
      <c r="F423" s="412">
        <v>200000</v>
      </c>
      <c r="G423" s="411"/>
      <c r="H423" s="242">
        <v>996090.9</v>
      </c>
      <c r="I423" s="16" t="s">
        <v>45</v>
      </c>
      <c r="J423" s="16" t="s">
        <v>736</v>
      </c>
      <c r="K423" s="267" t="s">
        <v>794</v>
      </c>
      <c r="L423" s="193"/>
      <c r="M423" s="1" t="s">
        <v>794</v>
      </c>
      <c r="N423" s="191" t="s">
        <v>3510</v>
      </c>
      <c r="P423" s="16"/>
      <c r="Q423" t="s">
        <v>4266</v>
      </c>
    </row>
    <row r="424" spans="1:17" s="17" customFormat="1" ht="27.75" customHeight="1">
      <c r="A424" s="4">
        <v>421</v>
      </c>
      <c r="B424" s="13" t="s">
        <v>1740</v>
      </c>
      <c r="C424" s="13" t="s">
        <v>1740</v>
      </c>
      <c r="D424" s="13"/>
      <c r="E424" s="13" t="s">
        <v>1744</v>
      </c>
      <c r="F424" s="412">
        <v>35000</v>
      </c>
      <c r="G424" s="411"/>
      <c r="H424" s="242">
        <v>961090.9</v>
      </c>
      <c r="I424" s="16" t="s">
        <v>379</v>
      </c>
      <c r="J424" s="16" t="s">
        <v>736</v>
      </c>
      <c r="K424" s="267" t="s">
        <v>830</v>
      </c>
      <c r="L424" s="193"/>
      <c r="M424" s="1" t="s">
        <v>830</v>
      </c>
      <c r="N424" s="191" t="s">
        <v>830</v>
      </c>
      <c r="P424" s="16" t="s">
        <v>3855</v>
      </c>
      <c r="Q424" t="s">
        <v>4266</v>
      </c>
    </row>
    <row r="425" spans="1:17" s="17" customFormat="1" ht="27.75" customHeight="1">
      <c r="A425" s="4">
        <v>422</v>
      </c>
      <c r="B425" s="13" t="s">
        <v>1740</v>
      </c>
      <c r="C425" s="13" t="s">
        <v>1740</v>
      </c>
      <c r="D425" s="13"/>
      <c r="E425" s="13" t="s">
        <v>1745</v>
      </c>
      <c r="F425" s="412">
        <v>20000</v>
      </c>
      <c r="G425" s="411"/>
      <c r="H425" s="242">
        <v>941090.9</v>
      </c>
      <c r="I425" s="16" t="s">
        <v>324</v>
      </c>
      <c r="J425" s="16" t="s">
        <v>736</v>
      </c>
      <c r="K425" s="267" t="s">
        <v>830</v>
      </c>
      <c r="L425" s="193"/>
      <c r="M425" s="1" t="s">
        <v>830</v>
      </c>
      <c r="N425" s="191" t="s">
        <v>3511</v>
      </c>
      <c r="P425" s="16" t="s">
        <v>3855</v>
      </c>
      <c r="Q425" t="s">
        <v>4266</v>
      </c>
    </row>
    <row r="426" spans="1:17" s="17" customFormat="1" ht="27.75" customHeight="1">
      <c r="A426" s="4">
        <v>423</v>
      </c>
      <c r="B426" s="13" t="s">
        <v>1740</v>
      </c>
      <c r="C426" s="13" t="s">
        <v>1740</v>
      </c>
      <c r="D426" s="13"/>
      <c r="E426" s="13" t="s">
        <v>1746</v>
      </c>
      <c r="F426" s="412">
        <v>45000</v>
      </c>
      <c r="G426" s="411"/>
      <c r="H426" s="242">
        <v>896090.9</v>
      </c>
      <c r="I426" s="16" t="s">
        <v>324</v>
      </c>
      <c r="J426" s="16" t="s">
        <v>736</v>
      </c>
      <c r="K426" s="267"/>
      <c r="L426" s="193"/>
      <c r="M426" s="1"/>
      <c r="N426" s="191" t="s">
        <v>3511</v>
      </c>
      <c r="P426" s="16" t="s">
        <v>3879</v>
      </c>
      <c r="Q426" t="s">
        <v>4266</v>
      </c>
    </row>
    <row r="427" spans="1:17" ht="27.75" customHeight="1">
      <c r="A427" s="622">
        <v>424</v>
      </c>
      <c r="B427" s="614" t="s">
        <v>4482</v>
      </c>
      <c r="C427" s="614" t="s">
        <v>4482</v>
      </c>
      <c r="D427" s="614"/>
      <c r="E427" s="614" t="s">
        <v>4483</v>
      </c>
      <c r="F427" s="626">
        <v>19500</v>
      </c>
      <c r="G427" s="627"/>
      <c r="H427" s="628">
        <v>876590.9</v>
      </c>
      <c r="I427" s="615" t="s">
        <v>737</v>
      </c>
      <c r="J427" s="615" t="s">
        <v>738</v>
      </c>
      <c r="K427" s="629" t="s">
        <v>830</v>
      </c>
      <c r="L427" s="621"/>
      <c r="M427" s="615" t="s">
        <v>830</v>
      </c>
      <c r="N427" s="621"/>
      <c r="O427" s="612" t="s">
        <v>4261</v>
      </c>
      <c r="P427" s="615"/>
      <c r="Q427" s="612" t="s">
        <v>4282</v>
      </c>
    </row>
    <row r="428" spans="1:17" s="2" customFormat="1" ht="27.75" customHeight="1">
      <c r="A428" s="4">
        <v>425</v>
      </c>
      <c r="B428" s="5" t="s">
        <v>1740</v>
      </c>
      <c r="C428" s="5" t="s">
        <v>1740</v>
      </c>
      <c r="D428" s="5"/>
      <c r="E428" s="5" t="s">
        <v>1747</v>
      </c>
      <c r="F428" s="408"/>
      <c r="G428" s="409">
        <v>300000</v>
      </c>
      <c r="H428" s="240" t="s">
        <v>1748</v>
      </c>
      <c r="I428" s="1" t="s">
        <v>313</v>
      </c>
      <c r="J428" s="1" t="s">
        <v>312</v>
      </c>
      <c r="K428" s="268"/>
      <c r="L428" s="191"/>
      <c r="M428" s="1"/>
      <c r="N428" s="191" t="s">
        <v>830</v>
      </c>
      <c r="P428" s="1"/>
      <c r="Q428" t="s">
        <v>4266</v>
      </c>
    </row>
    <row r="429" spans="1:17" s="2" customFormat="1" ht="27.75" customHeight="1">
      <c r="A429" s="4">
        <v>426</v>
      </c>
      <c r="B429" s="5" t="s">
        <v>1740</v>
      </c>
      <c r="C429" s="5" t="s">
        <v>1740</v>
      </c>
      <c r="D429" s="5"/>
      <c r="E429" s="3" t="s">
        <v>1349</v>
      </c>
      <c r="F429" s="409">
        <v>300000</v>
      </c>
      <c r="G429" s="408"/>
      <c r="H429" s="241">
        <v>876590.9</v>
      </c>
      <c r="I429" s="1" t="s">
        <v>313</v>
      </c>
      <c r="J429" s="1" t="s">
        <v>739</v>
      </c>
      <c r="K429" s="268" t="s">
        <v>830</v>
      </c>
      <c r="L429" s="191"/>
      <c r="M429" s="1" t="s">
        <v>830</v>
      </c>
      <c r="N429" s="191" t="s">
        <v>830</v>
      </c>
      <c r="P429" s="1"/>
      <c r="Q429" t="s">
        <v>4266</v>
      </c>
    </row>
    <row r="430" spans="1:17" s="2" customFormat="1" ht="27.75" customHeight="1">
      <c r="A430" s="4">
        <v>427</v>
      </c>
      <c r="B430" s="5" t="s">
        <v>1749</v>
      </c>
      <c r="C430" s="5" t="s">
        <v>1749</v>
      </c>
      <c r="D430" s="5"/>
      <c r="E430" s="5" t="s">
        <v>1750</v>
      </c>
      <c r="F430" s="409">
        <v>30000</v>
      </c>
      <c r="G430" s="408"/>
      <c r="H430" s="241">
        <v>846590.9</v>
      </c>
      <c r="I430" s="1" t="s">
        <v>605</v>
      </c>
      <c r="J430" s="1" t="s">
        <v>603</v>
      </c>
      <c r="K430" s="268"/>
      <c r="L430" s="191"/>
      <c r="M430" s="1"/>
      <c r="N430" s="191"/>
      <c r="P430" s="1"/>
      <c r="Q430" t="s">
        <v>4285</v>
      </c>
    </row>
    <row r="431" spans="1:17" s="2" customFormat="1" ht="27.75" customHeight="1">
      <c r="A431" s="4">
        <v>428</v>
      </c>
      <c r="B431" s="5" t="s">
        <v>1751</v>
      </c>
      <c r="C431" s="5" t="s">
        <v>1751</v>
      </c>
      <c r="D431" s="5"/>
      <c r="E431" s="5" t="s">
        <v>1752</v>
      </c>
      <c r="F431" s="408"/>
      <c r="G431" s="409">
        <v>404000</v>
      </c>
      <c r="H431" s="240" t="s">
        <v>1753</v>
      </c>
      <c r="I431" s="1" t="s">
        <v>349</v>
      </c>
      <c r="J431" s="1" t="s">
        <v>740</v>
      </c>
      <c r="K431" s="268" t="s">
        <v>794</v>
      </c>
      <c r="L431" s="191"/>
      <c r="M431" s="1" t="s">
        <v>794</v>
      </c>
      <c r="N431" s="191"/>
      <c r="P431" s="1"/>
      <c r="Q431" t="s">
        <v>1345</v>
      </c>
    </row>
    <row r="432" spans="1:17" s="2" customFormat="1" ht="27.75" customHeight="1">
      <c r="A432" s="4">
        <v>429</v>
      </c>
      <c r="B432" s="5" t="s">
        <v>1751</v>
      </c>
      <c r="C432" s="5" t="s">
        <v>1751</v>
      </c>
      <c r="D432" s="5"/>
      <c r="E432" s="5" t="s">
        <v>1754</v>
      </c>
      <c r="F432" s="409">
        <v>30000</v>
      </c>
      <c r="G432" s="408"/>
      <c r="H432" s="240" t="s">
        <v>1755</v>
      </c>
      <c r="I432" s="1" t="s">
        <v>369</v>
      </c>
      <c r="J432" s="1" t="s">
        <v>603</v>
      </c>
      <c r="K432" s="268"/>
      <c r="L432" s="191"/>
      <c r="M432" s="1"/>
      <c r="N432" s="191"/>
      <c r="P432" s="1"/>
      <c r="Q432" t="s">
        <v>4285</v>
      </c>
    </row>
    <row r="433" spans="1:17" s="17" customFormat="1" ht="27.75" customHeight="1">
      <c r="A433" s="4">
        <v>430</v>
      </c>
      <c r="B433" s="13" t="s">
        <v>1756</v>
      </c>
      <c r="C433" s="13" t="s">
        <v>1756</v>
      </c>
      <c r="D433" s="13"/>
      <c r="E433" s="13" t="s">
        <v>1757</v>
      </c>
      <c r="F433" s="411"/>
      <c r="G433" s="412">
        <v>100000</v>
      </c>
      <c r="H433" s="239" t="s">
        <v>1758</v>
      </c>
      <c r="I433" s="16" t="s">
        <v>748</v>
      </c>
      <c r="J433" s="16" t="s">
        <v>105</v>
      </c>
      <c r="K433" s="267" t="s">
        <v>794</v>
      </c>
      <c r="L433" s="193"/>
      <c r="M433" s="1" t="s">
        <v>794</v>
      </c>
      <c r="N433" s="191" t="s">
        <v>3497</v>
      </c>
      <c r="P433" s="16" t="s">
        <v>3868</v>
      </c>
      <c r="Q433" t="s">
        <v>4266</v>
      </c>
    </row>
    <row r="434" spans="1:17" s="2" customFormat="1" ht="27.75" customHeight="1">
      <c r="A434" s="4">
        <v>431</v>
      </c>
      <c r="B434" s="5" t="s">
        <v>1759</v>
      </c>
      <c r="C434" s="5" t="s">
        <v>1759</v>
      </c>
      <c r="D434" s="5"/>
      <c r="E434" s="3" t="s">
        <v>1350</v>
      </c>
      <c r="F434" s="408"/>
      <c r="G434" s="409">
        <v>207250</v>
      </c>
      <c r="H434" s="240" t="s">
        <v>1760</v>
      </c>
      <c r="I434" s="1" t="s">
        <v>50</v>
      </c>
      <c r="J434" s="1" t="s">
        <v>51</v>
      </c>
      <c r="K434" s="268" t="s">
        <v>794</v>
      </c>
      <c r="L434" s="191" t="s">
        <v>1283</v>
      </c>
      <c r="M434" s="1" t="s">
        <v>794</v>
      </c>
      <c r="N434" s="191" t="s">
        <v>822</v>
      </c>
      <c r="P434" s="1"/>
      <c r="Q434" t="s">
        <v>4266</v>
      </c>
    </row>
    <row r="435" spans="1:17" ht="27.75" customHeight="1">
      <c r="A435" s="622">
        <v>432</v>
      </c>
      <c r="B435" s="614" t="s">
        <v>4484</v>
      </c>
      <c r="C435" s="614" t="s">
        <v>4484</v>
      </c>
      <c r="D435" s="614"/>
      <c r="E435" s="614" t="s">
        <v>4485</v>
      </c>
      <c r="F435" s="626">
        <v>45000</v>
      </c>
      <c r="G435" s="627"/>
      <c r="H435" s="630" t="s">
        <v>4486</v>
      </c>
      <c r="I435" s="615" t="s">
        <v>731</v>
      </c>
      <c r="J435" s="615" t="s">
        <v>733</v>
      </c>
      <c r="K435" s="629"/>
      <c r="L435" s="621"/>
      <c r="M435" s="615"/>
      <c r="N435" s="621"/>
      <c r="O435" s="612" t="s">
        <v>4261</v>
      </c>
      <c r="P435" s="615"/>
      <c r="Q435" s="612" t="s">
        <v>4282</v>
      </c>
    </row>
    <row r="436" spans="1:17" s="2" customFormat="1" ht="27.75" customHeight="1">
      <c r="A436" s="4">
        <v>433</v>
      </c>
      <c r="B436" s="5" t="s">
        <v>1759</v>
      </c>
      <c r="C436" s="5" t="s">
        <v>1759</v>
      </c>
      <c r="D436" s="5"/>
      <c r="E436" s="5" t="s">
        <v>1761</v>
      </c>
      <c r="F436" s="409">
        <v>30000</v>
      </c>
      <c r="G436" s="408"/>
      <c r="H436" s="240" t="s">
        <v>1762</v>
      </c>
      <c r="I436" s="1" t="s">
        <v>37</v>
      </c>
      <c r="J436" s="1" t="s">
        <v>603</v>
      </c>
      <c r="K436" s="268"/>
      <c r="L436" s="191"/>
      <c r="M436" s="1"/>
      <c r="N436" s="191"/>
      <c r="P436" s="1"/>
      <c r="Q436" t="s">
        <v>4285</v>
      </c>
    </row>
    <row r="437" spans="1:17" s="2" customFormat="1" ht="27.75" customHeight="1">
      <c r="A437" s="4">
        <v>434</v>
      </c>
      <c r="B437" s="5" t="s">
        <v>1759</v>
      </c>
      <c r="C437" s="5" t="s">
        <v>1759</v>
      </c>
      <c r="D437" s="5"/>
      <c r="E437" s="5" t="s">
        <v>1763</v>
      </c>
      <c r="F437" s="409">
        <v>30000</v>
      </c>
      <c r="G437" s="408"/>
      <c r="H437" s="240" t="s">
        <v>1764</v>
      </c>
      <c r="I437" s="1" t="s">
        <v>365</v>
      </c>
      <c r="J437" s="1" t="s">
        <v>603</v>
      </c>
      <c r="K437" s="268"/>
      <c r="L437" s="191"/>
      <c r="M437" s="1"/>
      <c r="N437" s="191"/>
      <c r="P437" s="1"/>
      <c r="Q437" t="s">
        <v>4285</v>
      </c>
    </row>
    <row r="438" spans="1:17" s="2" customFormat="1" ht="27.75" customHeight="1">
      <c r="A438" s="4">
        <v>435</v>
      </c>
      <c r="B438" s="5" t="s">
        <v>1759</v>
      </c>
      <c r="C438" s="5" t="s">
        <v>1759</v>
      </c>
      <c r="D438" s="5"/>
      <c r="E438" s="5" t="s">
        <v>1765</v>
      </c>
      <c r="F438" s="409">
        <v>30000</v>
      </c>
      <c r="G438" s="408"/>
      <c r="H438" s="240" t="s">
        <v>1766</v>
      </c>
      <c r="I438" s="1" t="s">
        <v>741</v>
      </c>
      <c r="J438" s="1" t="s">
        <v>603</v>
      </c>
      <c r="K438" s="268"/>
      <c r="L438" s="191" t="s">
        <v>1276</v>
      </c>
      <c r="M438" s="1"/>
      <c r="N438" s="191"/>
      <c r="P438" s="1"/>
      <c r="Q438" t="s">
        <v>4285</v>
      </c>
    </row>
    <row r="439" spans="1:17" s="2" customFormat="1" ht="27.75" customHeight="1">
      <c r="A439" s="4">
        <v>436</v>
      </c>
      <c r="B439" s="5" t="s">
        <v>1759</v>
      </c>
      <c r="C439" s="5" t="s">
        <v>1759</v>
      </c>
      <c r="D439" s="5"/>
      <c r="E439" s="5" t="s">
        <v>1767</v>
      </c>
      <c r="F439" s="409">
        <v>30000</v>
      </c>
      <c r="G439" s="408"/>
      <c r="H439" s="240" t="s">
        <v>1768</v>
      </c>
      <c r="I439" s="1" t="s">
        <v>606</v>
      </c>
      <c r="J439" s="11" t="s">
        <v>603</v>
      </c>
      <c r="K439" s="268"/>
      <c r="L439" s="191"/>
      <c r="M439" s="1"/>
      <c r="N439" s="191"/>
      <c r="P439" s="1"/>
      <c r="Q439" t="s">
        <v>4285</v>
      </c>
    </row>
    <row r="440" spans="1:17" s="2" customFormat="1" ht="27.75" customHeight="1">
      <c r="A440" s="4">
        <v>437</v>
      </c>
      <c r="B440" s="5" t="s">
        <v>1759</v>
      </c>
      <c r="C440" s="5" t="s">
        <v>1759</v>
      </c>
      <c r="D440" s="5"/>
      <c r="E440" s="5" t="s">
        <v>1769</v>
      </c>
      <c r="F440" s="409">
        <v>30000</v>
      </c>
      <c r="G440" s="408"/>
      <c r="H440" s="240" t="s">
        <v>1770</v>
      </c>
      <c r="I440" s="1" t="s">
        <v>411</v>
      </c>
      <c r="J440" s="1" t="s">
        <v>603</v>
      </c>
      <c r="K440" s="268"/>
      <c r="L440" s="191"/>
      <c r="M440" s="1"/>
      <c r="N440" s="191"/>
      <c r="P440" s="1"/>
      <c r="Q440" t="s">
        <v>4285</v>
      </c>
    </row>
    <row r="441" spans="1:17" s="2" customFormat="1" ht="27.75" customHeight="1">
      <c r="A441" s="4">
        <v>438</v>
      </c>
      <c r="B441" s="5" t="s">
        <v>1759</v>
      </c>
      <c r="C441" s="5" t="s">
        <v>1759</v>
      </c>
      <c r="D441" s="5"/>
      <c r="E441" s="5" t="s">
        <v>1771</v>
      </c>
      <c r="F441" s="409">
        <v>30000</v>
      </c>
      <c r="G441" s="408"/>
      <c r="H441" s="240" t="s">
        <v>1772</v>
      </c>
      <c r="I441" s="1" t="s">
        <v>86</v>
      </c>
      <c r="J441" s="1" t="s">
        <v>603</v>
      </c>
      <c r="K441" s="268"/>
      <c r="L441" s="191"/>
      <c r="M441" s="1"/>
      <c r="N441" s="191"/>
      <c r="P441" s="1"/>
      <c r="Q441" t="s">
        <v>4285</v>
      </c>
    </row>
    <row r="442" spans="1:17" s="2" customFormat="1" ht="27.75" customHeight="1">
      <c r="A442" s="4">
        <v>439</v>
      </c>
      <c r="B442" s="5" t="s">
        <v>1759</v>
      </c>
      <c r="C442" s="5" t="s">
        <v>1759</v>
      </c>
      <c r="D442" s="5"/>
      <c r="E442" s="5" t="s">
        <v>1773</v>
      </c>
      <c r="F442" s="409">
        <v>30000</v>
      </c>
      <c r="G442" s="408"/>
      <c r="H442" s="240" t="s">
        <v>1774</v>
      </c>
      <c r="I442" s="1" t="s">
        <v>607</v>
      </c>
      <c r="J442" s="1" t="s">
        <v>603</v>
      </c>
      <c r="K442" s="268"/>
      <c r="L442" s="191"/>
      <c r="M442" s="1"/>
      <c r="N442" s="191"/>
      <c r="P442" s="1"/>
      <c r="Q442" t="s">
        <v>4285</v>
      </c>
    </row>
    <row r="443" spans="1:17" s="2" customFormat="1" ht="27.75" customHeight="1">
      <c r="A443" s="4">
        <v>440</v>
      </c>
      <c r="B443" s="5" t="s">
        <v>1759</v>
      </c>
      <c r="C443" s="5" t="s">
        <v>1759</v>
      </c>
      <c r="D443" s="5"/>
      <c r="E443" s="5" t="s">
        <v>1775</v>
      </c>
      <c r="F443" s="409">
        <v>30000</v>
      </c>
      <c r="G443" s="408"/>
      <c r="H443" s="240" t="s">
        <v>1776</v>
      </c>
      <c r="I443" s="1" t="s">
        <v>700</v>
      </c>
      <c r="J443" s="1" t="s">
        <v>603</v>
      </c>
      <c r="K443" s="268"/>
      <c r="L443" s="191"/>
      <c r="M443" s="1"/>
      <c r="N443" s="191"/>
      <c r="P443" s="1"/>
      <c r="Q443" t="s">
        <v>4285</v>
      </c>
    </row>
    <row r="444" spans="1:17" s="2" customFormat="1" ht="27.75" customHeight="1">
      <c r="A444" s="4">
        <v>441</v>
      </c>
      <c r="B444" s="5" t="s">
        <v>1759</v>
      </c>
      <c r="C444" s="5" t="s">
        <v>1759</v>
      </c>
      <c r="D444" s="5"/>
      <c r="E444" s="5" t="s">
        <v>1777</v>
      </c>
      <c r="F444" s="409">
        <v>100000</v>
      </c>
      <c r="G444" s="408"/>
      <c r="H444" s="240" t="s">
        <v>1778</v>
      </c>
      <c r="I444" s="1" t="s">
        <v>700</v>
      </c>
      <c r="J444" s="1" t="s">
        <v>794</v>
      </c>
      <c r="K444" s="268"/>
      <c r="L444" s="191"/>
      <c r="M444" s="1"/>
      <c r="N444" s="191"/>
      <c r="P444" s="1"/>
      <c r="Q444" t="s">
        <v>4296</v>
      </c>
    </row>
    <row r="445" spans="1:17" s="2" customFormat="1" ht="27.75" customHeight="1">
      <c r="A445" s="4">
        <v>442</v>
      </c>
      <c r="B445" s="5" t="s">
        <v>1759</v>
      </c>
      <c r="C445" s="5" t="s">
        <v>1759</v>
      </c>
      <c r="D445" s="5"/>
      <c r="E445" s="5" t="s">
        <v>1779</v>
      </c>
      <c r="F445" s="409">
        <v>100000</v>
      </c>
      <c r="G445" s="408"/>
      <c r="H445" s="240" t="s">
        <v>1780</v>
      </c>
      <c r="I445" s="1" t="s">
        <v>2</v>
      </c>
      <c r="J445" s="1" t="s">
        <v>603</v>
      </c>
      <c r="K445" s="268"/>
      <c r="L445" s="191"/>
      <c r="M445" s="1"/>
      <c r="N445" s="191"/>
      <c r="P445" s="1"/>
      <c r="Q445" t="s">
        <v>4285</v>
      </c>
    </row>
    <row r="446" spans="1:17" s="2" customFormat="1" ht="27.75" customHeight="1">
      <c r="A446" s="4">
        <v>443</v>
      </c>
      <c r="B446" s="5" t="s">
        <v>1759</v>
      </c>
      <c r="C446" s="5" t="s">
        <v>1759</v>
      </c>
      <c r="D446" s="5"/>
      <c r="E446" s="5" t="s">
        <v>1781</v>
      </c>
      <c r="F446" s="409">
        <v>100000</v>
      </c>
      <c r="G446" s="408"/>
      <c r="H446" s="241">
        <v>942840.9</v>
      </c>
      <c r="I446" s="1" t="s">
        <v>4</v>
      </c>
      <c r="J446" s="1" t="s">
        <v>603</v>
      </c>
      <c r="K446" s="268"/>
      <c r="L446" s="191"/>
      <c r="M446" s="1"/>
      <c r="N446" s="191"/>
      <c r="P446" s="1"/>
      <c r="Q446" t="s">
        <v>4285</v>
      </c>
    </row>
    <row r="447" spans="1:17" ht="27.75" customHeight="1">
      <c r="A447" s="622">
        <v>444</v>
      </c>
      <c r="B447" s="614" t="s">
        <v>4484</v>
      </c>
      <c r="C447" s="614" t="s">
        <v>4484</v>
      </c>
      <c r="D447" s="614"/>
      <c r="E447" s="614" t="s">
        <v>4487</v>
      </c>
      <c r="F447" s="626">
        <v>306453</v>
      </c>
      <c r="G447" s="627"/>
      <c r="H447" s="628">
        <v>636387.9</v>
      </c>
      <c r="I447" s="615" t="s">
        <v>742</v>
      </c>
      <c r="J447" s="615" t="s">
        <v>743</v>
      </c>
      <c r="K447" s="629" t="s">
        <v>794</v>
      </c>
      <c r="L447" s="621"/>
      <c r="M447" s="615" t="s">
        <v>794</v>
      </c>
      <c r="N447" s="621"/>
      <c r="O447" s="612" t="s">
        <v>4261</v>
      </c>
      <c r="P447" s="615" t="s">
        <v>3838</v>
      </c>
      <c r="Q447" s="612" t="s">
        <v>4284</v>
      </c>
    </row>
    <row r="448" spans="1:17" ht="27.75" customHeight="1">
      <c r="A448" s="622">
        <v>445</v>
      </c>
      <c r="B448" s="614" t="s">
        <v>4488</v>
      </c>
      <c r="C448" s="614" t="s">
        <v>4488</v>
      </c>
      <c r="D448" s="614"/>
      <c r="E448" s="614" t="s">
        <v>4489</v>
      </c>
      <c r="F448" s="626">
        <v>75000</v>
      </c>
      <c r="G448" s="627"/>
      <c r="H448" s="628">
        <v>561387.9</v>
      </c>
      <c r="I448" s="615" t="s">
        <v>614</v>
      </c>
      <c r="J448" s="615" t="s">
        <v>597</v>
      </c>
      <c r="K448" s="629" t="s">
        <v>794</v>
      </c>
      <c r="L448" s="621"/>
      <c r="M448" s="615" t="s">
        <v>794</v>
      </c>
      <c r="N448" s="621"/>
      <c r="O448" s="612" t="s">
        <v>4261</v>
      </c>
      <c r="P448" s="615" t="s">
        <v>3838</v>
      </c>
      <c r="Q448" s="612" t="s">
        <v>821</v>
      </c>
    </row>
    <row r="449" spans="1:17" ht="27.75" customHeight="1">
      <c r="A449" s="622">
        <v>446</v>
      </c>
      <c r="B449" s="614" t="s">
        <v>4490</v>
      </c>
      <c r="C449" s="614" t="s">
        <v>4490</v>
      </c>
      <c r="D449" s="614"/>
      <c r="E449" s="614" t="s">
        <v>4491</v>
      </c>
      <c r="F449" s="626">
        <v>1000</v>
      </c>
      <c r="G449" s="627"/>
      <c r="H449" s="628">
        <v>560387.9</v>
      </c>
      <c r="I449" s="615" t="s">
        <v>742</v>
      </c>
      <c r="J449" s="615" t="s">
        <v>743</v>
      </c>
      <c r="K449" s="629" t="s">
        <v>794</v>
      </c>
      <c r="L449" s="621"/>
      <c r="M449" s="615" t="s">
        <v>794</v>
      </c>
      <c r="N449" s="621"/>
      <c r="O449" s="612" t="s">
        <v>4261</v>
      </c>
      <c r="P449" s="615" t="s">
        <v>3838</v>
      </c>
      <c r="Q449" s="612" t="s">
        <v>4284</v>
      </c>
    </row>
    <row r="450" spans="1:17" s="2" customFormat="1" ht="27.75" customHeight="1">
      <c r="A450" s="4">
        <v>447</v>
      </c>
      <c r="B450" s="5" t="s">
        <v>1782</v>
      </c>
      <c r="C450" s="5" t="s">
        <v>1782</v>
      </c>
      <c r="D450" s="5"/>
      <c r="E450" s="5" t="s">
        <v>1783</v>
      </c>
      <c r="F450" s="408"/>
      <c r="G450" s="409">
        <v>14000</v>
      </c>
      <c r="H450" s="241">
        <v>574387.9</v>
      </c>
      <c r="I450" s="1" t="s">
        <v>144</v>
      </c>
      <c r="J450" s="1" t="s">
        <v>143</v>
      </c>
      <c r="K450" s="268"/>
      <c r="L450" s="191"/>
      <c r="M450" s="1"/>
      <c r="N450" s="191" t="s">
        <v>3505</v>
      </c>
      <c r="P450" s="1"/>
      <c r="Q450" t="s">
        <v>4266</v>
      </c>
    </row>
    <row r="451" spans="1:17" s="2" customFormat="1" ht="27.75" customHeight="1">
      <c r="A451" s="4">
        <v>448</v>
      </c>
      <c r="B451" s="5" t="s">
        <v>1782</v>
      </c>
      <c r="C451" s="5" t="s">
        <v>1782</v>
      </c>
      <c r="D451" s="5"/>
      <c r="E451" s="5" t="s">
        <v>1784</v>
      </c>
      <c r="F451" s="409">
        <v>20000</v>
      </c>
      <c r="G451" s="408"/>
      <c r="H451" s="241">
        <v>554387.9</v>
      </c>
      <c r="I451" s="1" t="s">
        <v>715</v>
      </c>
      <c r="J451" s="1" t="s">
        <v>603</v>
      </c>
      <c r="K451" s="268"/>
      <c r="L451" s="191"/>
      <c r="M451" s="1"/>
      <c r="N451" s="191"/>
      <c r="P451" s="1"/>
      <c r="Q451" t="s">
        <v>4285</v>
      </c>
    </row>
    <row r="452" spans="1:17" s="2" customFormat="1" ht="27.75" customHeight="1">
      <c r="A452" s="4">
        <v>449</v>
      </c>
      <c r="B452" s="5" t="s">
        <v>1785</v>
      </c>
      <c r="C452" s="5" t="s">
        <v>1785</v>
      </c>
      <c r="D452" s="5"/>
      <c r="E452" s="5" t="s">
        <v>1786</v>
      </c>
      <c r="F452" s="408"/>
      <c r="G452" s="409">
        <v>110000</v>
      </c>
      <c r="H452" s="241">
        <v>664387.9</v>
      </c>
      <c r="I452" s="1" t="s">
        <v>375</v>
      </c>
      <c r="J452" s="1" t="s">
        <v>3137</v>
      </c>
      <c r="K452" s="268"/>
      <c r="L452" s="191"/>
      <c r="M452" s="1"/>
      <c r="N452" s="191" t="s">
        <v>794</v>
      </c>
      <c r="P452" s="1"/>
      <c r="Q452" t="s">
        <v>4266</v>
      </c>
    </row>
    <row r="453" spans="1:17" s="2" customFormat="1" ht="27.75" customHeight="1">
      <c r="A453" s="4">
        <v>450</v>
      </c>
      <c r="B453" s="5" t="s">
        <v>1785</v>
      </c>
      <c r="C453" s="5" t="s">
        <v>1785</v>
      </c>
      <c r="D453" s="5"/>
      <c r="E453" s="5" t="s">
        <v>1787</v>
      </c>
      <c r="F453" s="409">
        <v>50000</v>
      </c>
      <c r="G453" s="408"/>
      <c r="H453" s="241">
        <v>614387.9</v>
      </c>
      <c r="I453" s="1" t="s">
        <v>2</v>
      </c>
      <c r="J453" s="1" t="s">
        <v>603</v>
      </c>
      <c r="K453" s="268"/>
      <c r="L453" s="191"/>
      <c r="M453" s="1"/>
      <c r="N453" s="191"/>
      <c r="P453" s="1"/>
      <c r="Q453" t="s">
        <v>4285</v>
      </c>
    </row>
    <row r="454" spans="1:17" ht="27.75" customHeight="1">
      <c r="A454" s="622">
        <v>451</v>
      </c>
      <c r="B454" s="614" t="s">
        <v>4492</v>
      </c>
      <c r="C454" s="614" t="s">
        <v>4492</v>
      </c>
      <c r="D454" s="614"/>
      <c r="E454" s="614" t="s">
        <v>4493</v>
      </c>
      <c r="F454" s="626">
        <v>200000</v>
      </c>
      <c r="G454" s="627"/>
      <c r="H454" s="628">
        <v>414387.9</v>
      </c>
      <c r="I454" s="615" t="s">
        <v>713</v>
      </c>
      <c r="J454" s="615" t="s">
        <v>601</v>
      </c>
      <c r="K454" s="629" t="s">
        <v>794</v>
      </c>
      <c r="L454" s="621"/>
      <c r="M454" s="615" t="s">
        <v>794</v>
      </c>
      <c r="N454" s="621"/>
      <c r="O454" s="612" t="s">
        <v>4261</v>
      </c>
      <c r="P454" s="615" t="s">
        <v>3838</v>
      </c>
      <c r="Q454" s="612" t="s">
        <v>4283</v>
      </c>
    </row>
    <row r="455" spans="1:17" s="2" customFormat="1" ht="27.75" customHeight="1">
      <c r="A455" s="4">
        <v>452</v>
      </c>
      <c r="B455" s="5" t="s">
        <v>1788</v>
      </c>
      <c r="C455" s="5" t="s">
        <v>1788</v>
      </c>
      <c r="D455" s="5"/>
      <c r="E455" s="5" t="s">
        <v>1789</v>
      </c>
      <c r="F455" s="409">
        <v>20000</v>
      </c>
      <c r="G455" s="408"/>
      <c r="H455" s="241">
        <v>394387.9</v>
      </c>
      <c r="I455" s="1" t="s">
        <v>744</v>
      </c>
      <c r="J455" s="1" t="s">
        <v>603</v>
      </c>
      <c r="K455" s="268"/>
      <c r="L455" s="191"/>
      <c r="M455" s="1"/>
      <c r="N455" s="191"/>
      <c r="P455" s="1"/>
      <c r="Q455" t="s">
        <v>4285</v>
      </c>
    </row>
    <row r="456" spans="1:17" s="17" customFormat="1" ht="27.75" customHeight="1">
      <c r="A456" s="4">
        <v>453</v>
      </c>
      <c r="B456" s="13" t="s">
        <v>1790</v>
      </c>
      <c r="C456" s="13" t="s">
        <v>1790</v>
      </c>
      <c r="D456" s="13"/>
      <c r="E456" s="13" t="s">
        <v>1791</v>
      </c>
      <c r="F456" s="411"/>
      <c r="G456" s="412">
        <v>600000</v>
      </c>
      <c r="H456" s="242">
        <v>994387.9</v>
      </c>
      <c r="I456" s="16" t="s">
        <v>745</v>
      </c>
      <c r="J456" s="16" t="s">
        <v>101</v>
      </c>
      <c r="K456" s="267"/>
      <c r="L456" s="193"/>
      <c r="M456" s="1"/>
      <c r="N456" s="191" t="s">
        <v>3482</v>
      </c>
      <c r="P456" s="16" t="s">
        <v>3482</v>
      </c>
      <c r="Q456" t="s">
        <v>4266</v>
      </c>
    </row>
    <row r="457" spans="1:17" s="17" customFormat="1" ht="27.75" customHeight="1">
      <c r="A457" s="4">
        <v>454</v>
      </c>
      <c r="B457" s="13" t="s">
        <v>1792</v>
      </c>
      <c r="C457" s="13" t="s">
        <v>1792</v>
      </c>
      <c r="D457" s="13"/>
      <c r="E457" s="13" t="s">
        <v>1793</v>
      </c>
      <c r="F457" s="408"/>
      <c r="G457" s="409">
        <v>10000</v>
      </c>
      <c r="H457" s="239" t="s">
        <v>1794</v>
      </c>
      <c r="I457" s="16" t="s">
        <v>365</v>
      </c>
      <c r="J457" s="16" t="s">
        <v>746</v>
      </c>
      <c r="K457" s="267"/>
      <c r="L457" s="193"/>
      <c r="M457" s="1"/>
      <c r="N457" s="191" t="s">
        <v>794</v>
      </c>
      <c r="P457" s="16" t="s">
        <v>3890</v>
      </c>
      <c r="Q457" t="s">
        <v>4266</v>
      </c>
    </row>
    <row r="458" spans="1:17" s="17" customFormat="1" ht="27.75" customHeight="1">
      <c r="A458" s="4">
        <v>455</v>
      </c>
      <c r="B458" s="13" t="s">
        <v>1795</v>
      </c>
      <c r="C458" s="13" t="s">
        <v>1796</v>
      </c>
      <c r="D458" s="13"/>
      <c r="E458" s="13" t="s">
        <v>1797</v>
      </c>
      <c r="F458" s="412">
        <v>100000</v>
      </c>
      <c r="G458" s="411"/>
      <c r="H458" s="242">
        <v>904387.9</v>
      </c>
      <c r="I458" s="16" t="s">
        <v>106</v>
      </c>
      <c r="J458" s="16" t="s">
        <v>758</v>
      </c>
      <c r="K458" s="267" t="s">
        <v>794</v>
      </c>
      <c r="L458" s="193"/>
      <c r="M458" s="1" t="s">
        <v>794</v>
      </c>
      <c r="N458" s="191" t="s">
        <v>3512</v>
      </c>
      <c r="P458" s="16"/>
      <c r="Q458" t="s">
        <v>4266</v>
      </c>
    </row>
    <row r="459" spans="1:17" s="17" customFormat="1" ht="27.75" customHeight="1">
      <c r="A459" s="4">
        <v>456</v>
      </c>
      <c r="B459" s="13" t="s">
        <v>1795</v>
      </c>
      <c r="C459" s="13" t="s">
        <v>1796</v>
      </c>
      <c r="D459" s="13"/>
      <c r="E459" s="13" t="s">
        <v>1798</v>
      </c>
      <c r="F459" s="412">
        <v>381000</v>
      </c>
      <c r="G459" s="411"/>
      <c r="H459" s="242">
        <v>523387.9</v>
      </c>
      <c r="I459" s="16" t="s">
        <v>331</v>
      </c>
      <c r="J459" s="16" t="s">
        <v>747</v>
      </c>
      <c r="K459" s="267" t="s">
        <v>794</v>
      </c>
      <c r="L459" s="193"/>
      <c r="M459" s="1" t="s">
        <v>794</v>
      </c>
      <c r="N459" s="191" t="s">
        <v>3513</v>
      </c>
      <c r="P459" s="16"/>
      <c r="Q459" t="s">
        <v>4266</v>
      </c>
    </row>
    <row r="460" spans="1:17" ht="27.75" customHeight="1">
      <c r="A460" s="622">
        <v>457</v>
      </c>
      <c r="B460" s="614" t="s">
        <v>4494</v>
      </c>
      <c r="C460" s="614" t="s">
        <v>4494</v>
      </c>
      <c r="D460" s="614"/>
      <c r="E460" s="614" t="s">
        <v>4495</v>
      </c>
      <c r="F460" s="626">
        <v>20000</v>
      </c>
      <c r="G460" s="627"/>
      <c r="H460" s="628">
        <v>503387.9</v>
      </c>
      <c r="I460" s="615" t="s">
        <v>731</v>
      </c>
      <c r="J460" s="615" t="s">
        <v>733</v>
      </c>
      <c r="K460" s="629"/>
      <c r="L460" s="621"/>
      <c r="M460" s="615"/>
      <c r="N460" s="621"/>
      <c r="O460" s="612" t="s">
        <v>4261</v>
      </c>
      <c r="P460" s="615"/>
      <c r="Q460" s="612" t="s">
        <v>4282</v>
      </c>
    </row>
    <row r="461" spans="1:17" ht="27.75" customHeight="1">
      <c r="A461" s="622">
        <v>458</v>
      </c>
      <c r="B461" s="614" t="s">
        <v>4494</v>
      </c>
      <c r="C461" s="614" t="s">
        <v>4494</v>
      </c>
      <c r="D461" s="614"/>
      <c r="E461" s="614" t="s">
        <v>4496</v>
      </c>
      <c r="F461" s="626">
        <v>90000</v>
      </c>
      <c r="G461" s="627"/>
      <c r="H461" s="628">
        <v>413387.9</v>
      </c>
      <c r="I461" s="615" t="s">
        <v>614</v>
      </c>
      <c r="J461" s="615" t="s">
        <v>597</v>
      </c>
      <c r="K461" s="629" t="s">
        <v>794</v>
      </c>
      <c r="L461" s="621"/>
      <c r="M461" s="615" t="s">
        <v>794</v>
      </c>
      <c r="N461" s="621"/>
      <c r="O461" s="612" t="s">
        <v>4261</v>
      </c>
      <c r="P461" s="615" t="s">
        <v>3838</v>
      </c>
      <c r="Q461" s="612" t="s">
        <v>821</v>
      </c>
    </row>
    <row r="462" spans="1:17" s="2" customFormat="1" ht="27.75" customHeight="1">
      <c r="A462" s="4">
        <v>459</v>
      </c>
      <c r="B462" s="5" t="s">
        <v>1796</v>
      </c>
      <c r="C462" s="5" t="s">
        <v>1796</v>
      </c>
      <c r="D462" s="5"/>
      <c r="E462" s="5" t="s">
        <v>1799</v>
      </c>
      <c r="F462" s="409">
        <v>30000</v>
      </c>
      <c r="G462" s="408"/>
      <c r="H462" s="241">
        <v>383387.9</v>
      </c>
      <c r="I462" s="1" t="s">
        <v>605</v>
      </c>
      <c r="J462" s="1" t="s">
        <v>603</v>
      </c>
      <c r="K462" s="268"/>
      <c r="L462" s="191"/>
      <c r="M462" s="1"/>
      <c r="N462" s="191"/>
      <c r="P462" s="1"/>
      <c r="Q462" t="s">
        <v>4285</v>
      </c>
    </row>
    <row r="463" spans="1:17" s="17" customFormat="1" ht="27.75" customHeight="1">
      <c r="A463" s="4">
        <v>460</v>
      </c>
      <c r="B463" s="13" t="s">
        <v>1800</v>
      </c>
      <c r="C463" s="13" t="s">
        <v>1800</v>
      </c>
      <c r="D463" s="12">
        <v>903</v>
      </c>
      <c r="E463" s="18" t="s">
        <v>1351</v>
      </c>
      <c r="F463" s="412">
        <v>200000</v>
      </c>
      <c r="G463" s="411"/>
      <c r="H463" s="242">
        <v>183387.9</v>
      </c>
      <c r="I463" s="16" t="s">
        <v>100</v>
      </c>
      <c r="J463" s="16" t="s">
        <v>758</v>
      </c>
      <c r="K463" s="267" t="s">
        <v>794</v>
      </c>
      <c r="L463" s="193"/>
      <c r="M463" s="1" t="s">
        <v>794</v>
      </c>
      <c r="N463" s="191" t="s">
        <v>3514</v>
      </c>
      <c r="P463" s="16"/>
      <c r="Q463" t="s">
        <v>4266</v>
      </c>
    </row>
    <row r="464" spans="1:17" s="17" customFormat="1" ht="27.75" customHeight="1">
      <c r="A464" s="4">
        <v>461</v>
      </c>
      <c r="B464" s="13" t="s">
        <v>1800</v>
      </c>
      <c r="C464" s="13" t="s">
        <v>1800</v>
      </c>
      <c r="D464" s="13"/>
      <c r="E464" s="13" t="s">
        <v>1801</v>
      </c>
      <c r="F464" s="411"/>
      <c r="G464" s="412">
        <v>200000</v>
      </c>
      <c r="H464" s="242">
        <v>383387.9</v>
      </c>
      <c r="I464" s="16" t="s">
        <v>66</v>
      </c>
      <c r="J464" s="16" t="s">
        <v>751</v>
      </c>
      <c r="K464" s="267" t="s">
        <v>823</v>
      </c>
      <c r="L464" s="193"/>
      <c r="M464" s="1" t="s">
        <v>823</v>
      </c>
      <c r="N464" s="191" t="s">
        <v>1283</v>
      </c>
      <c r="P464" s="16"/>
      <c r="Q464" t="s">
        <v>4266</v>
      </c>
    </row>
    <row r="465" spans="1:17" s="2" customFormat="1" ht="27.75" customHeight="1">
      <c r="A465" s="4">
        <v>462</v>
      </c>
      <c r="B465" s="5" t="s">
        <v>1800</v>
      </c>
      <c r="C465" s="5" t="s">
        <v>1800</v>
      </c>
      <c r="D465" s="5"/>
      <c r="E465" s="5" t="s">
        <v>1802</v>
      </c>
      <c r="F465" s="408"/>
      <c r="G465" s="409">
        <v>300000</v>
      </c>
      <c r="H465" s="241">
        <v>683387.9</v>
      </c>
      <c r="I465" s="1" t="s">
        <v>78</v>
      </c>
      <c r="J465" s="1" t="s">
        <v>80</v>
      </c>
      <c r="K465" s="268" t="s">
        <v>830</v>
      </c>
      <c r="L465" s="191"/>
      <c r="M465" s="1" t="s">
        <v>830</v>
      </c>
      <c r="N465" s="191" t="s">
        <v>3490</v>
      </c>
      <c r="P465" s="1"/>
      <c r="Q465" t="s">
        <v>4266</v>
      </c>
    </row>
    <row r="466" spans="1:17" ht="27.75" customHeight="1">
      <c r="A466" s="622">
        <v>463</v>
      </c>
      <c r="B466" s="614" t="s">
        <v>4497</v>
      </c>
      <c r="C466" s="614" t="s">
        <v>4497</v>
      </c>
      <c r="D466" s="614"/>
      <c r="E466" s="614" t="s">
        <v>4498</v>
      </c>
      <c r="F466" s="626">
        <v>100000</v>
      </c>
      <c r="G466" s="627"/>
      <c r="H466" s="628">
        <v>583387.9</v>
      </c>
      <c r="I466" s="615" t="s">
        <v>475</v>
      </c>
      <c r="J466" s="615" t="s">
        <v>733</v>
      </c>
      <c r="K466" s="629"/>
      <c r="L466" s="621"/>
      <c r="M466" s="615"/>
      <c r="N466" s="621"/>
      <c r="O466" s="612" t="s">
        <v>4261</v>
      </c>
      <c r="P466" s="615"/>
      <c r="Q466" s="612" t="s">
        <v>4282</v>
      </c>
    </row>
    <row r="467" spans="1:17" ht="27.75" customHeight="1">
      <c r="A467" s="622">
        <v>464</v>
      </c>
      <c r="B467" s="614" t="s">
        <v>4430</v>
      </c>
      <c r="C467" s="614" t="s">
        <v>4430</v>
      </c>
      <c r="D467" s="614"/>
      <c r="E467" s="614" t="s">
        <v>4431</v>
      </c>
      <c r="F467" s="626">
        <v>10000</v>
      </c>
      <c r="G467" s="627"/>
      <c r="H467" s="628">
        <v>573387.9</v>
      </c>
      <c r="I467" s="615" t="s">
        <v>3253</v>
      </c>
      <c r="J467" s="615" t="s">
        <v>603</v>
      </c>
      <c r="K467" s="629"/>
      <c r="L467" s="621"/>
      <c r="M467" s="615"/>
      <c r="N467" s="621"/>
      <c r="P467" s="615"/>
      <c r="Q467" s="612" t="s">
        <v>4286</v>
      </c>
    </row>
    <row r="468" spans="1:17" ht="27.75" customHeight="1">
      <c r="A468" s="622">
        <v>465</v>
      </c>
      <c r="B468" s="614" t="s">
        <v>4430</v>
      </c>
      <c r="C468" s="614" t="s">
        <v>4430</v>
      </c>
      <c r="D468" s="614"/>
      <c r="E468" s="614" t="s">
        <v>4432</v>
      </c>
      <c r="F468" s="626">
        <v>20000</v>
      </c>
      <c r="G468" s="627"/>
      <c r="H468" s="628">
        <v>553387.9</v>
      </c>
      <c r="I468" s="615" t="s">
        <v>3253</v>
      </c>
      <c r="J468" s="615" t="s">
        <v>603</v>
      </c>
      <c r="K468" s="629"/>
      <c r="L468" s="621"/>
      <c r="M468" s="615"/>
      <c r="N468" s="621"/>
      <c r="P468" s="615"/>
      <c r="Q468" s="612" t="s">
        <v>4286</v>
      </c>
    </row>
    <row r="469" spans="1:17" s="2" customFormat="1" ht="27.75" customHeight="1">
      <c r="A469" s="4">
        <v>466</v>
      </c>
      <c r="B469" s="5" t="s">
        <v>1803</v>
      </c>
      <c r="C469" s="5" t="s">
        <v>1804</v>
      </c>
      <c r="D469" s="5"/>
      <c r="E469" s="5" t="s">
        <v>1805</v>
      </c>
      <c r="F469" s="408"/>
      <c r="G469" s="409">
        <v>40000</v>
      </c>
      <c r="H469" s="241">
        <v>593387.9</v>
      </c>
      <c r="I469" s="1" t="s">
        <v>104</v>
      </c>
      <c r="J469" s="1" t="s">
        <v>105</v>
      </c>
      <c r="K469" s="268" t="s">
        <v>794</v>
      </c>
      <c r="L469" s="191"/>
      <c r="M469" s="1" t="s">
        <v>794</v>
      </c>
      <c r="N469" s="191" t="s">
        <v>3497</v>
      </c>
      <c r="P469" s="1"/>
      <c r="Q469" t="s">
        <v>4266</v>
      </c>
    </row>
    <row r="470" spans="1:17" ht="27.75" customHeight="1">
      <c r="A470" s="622">
        <v>467</v>
      </c>
      <c r="B470" s="614" t="s">
        <v>4499</v>
      </c>
      <c r="C470" s="614" t="s">
        <v>4500</v>
      </c>
      <c r="D470" s="614"/>
      <c r="E470" s="614" t="s">
        <v>4501</v>
      </c>
      <c r="F470" s="626">
        <v>21240</v>
      </c>
      <c r="G470" s="627"/>
      <c r="H470" s="628">
        <v>572147.9</v>
      </c>
      <c r="I470" s="615" t="s">
        <v>749</v>
      </c>
      <c r="J470" s="615" t="s">
        <v>750</v>
      </c>
      <c r="K470" s="629" t="s">
        <v>794</v>
      </c>
      <c r="L470" s="621"/>
      <c r="M470" s="615" t="s">
        <v>794</v>
      </c>
      <c r="N470" s="621"/>
      <c r="O470" s="612" t="s">
        <v>4261</v>
      </c>
      <c r="P470" s="615"/>
      <c r="Q470" s="612" t="s">
        <v>4294</v>
      </c>
    </row>
    <row r="471" spans="1:17" s="2" customFormat="1" ht="27.75" customHeight="1">
      <c r="A471" s="4">
        <v>468</v>
      </c>
      <c r="B471" s="5" t="s">
        <v>1806</v>
      </c>
      <c r="C471" s="5" t="s">
        <v>1804</v>
      </c>
      <c r="D471" s="5"/>
      <c r="E471" s="5" t="s">
        <v>1807</v>
      </c>
      <c r="F471" s="408"/>
      <c r="G471" s="409">
        <v>200000</v>
      </c>
      <c r="H471" s="241">
        <v>772147.9</v>
      </c>
      <c r="I471" s="1" t="s">
        <v>748</v>
      </c>
      <c r="J471" s="1" t="s">
        <v>105</v>
      </c>
      <c r="K471" s="268" t="s">
        <v>794</v>
      </c>
      <c r="L471" s="191"/>
      <c r="M471" s="1" t="s">
        <v>794</v>
      </c>
      <c r="N471" s="191" t="s">
        <v>3497</v>
      </c>
      <c r="P471" s="16" t="s">
        <v>3868</v>
      </c>
      <c r="Q471" t="s">
        <v>4266</v>
      </c>
    </row>
    <row r="472" spans="1:17" s="17" customFormat="1" ht="27.75" customHeight="1">
      <c r="A472" s="4">
        <v>469</v>
      </c>
      <c r="B472" s="13" t="s">
        <v>1804</v>
      </c>
      <c r="C472" s="13" t="s">
        <v>1804</v>
      </c>
      <c r="D472" s="13"/>
      <c r="E472" s="13" t="s">
        <v>1808</v>
      </c>
      <c r="F472" s="412">
        <v>51000</v>
      </c>
      <c r="G472" s="411"/>
      <c r="H472" s="242">
        <v>721147.9</v>
      </c>
      <c r="I472" s="16" t="s">
        <v>331</v>
      </c>
      <c r="J472" s="16" t="s">
        <v>747</v>
      </c>
      <c r="K472" s="267" t="s">
        <v>794</v>
      </c>
      <c r="L472" s="193"/>
      <c r="M472" s="1" t="s">
        <v>794</v>
      </c>
      <c r="N472" s="191" t="s">
        <v>3515</v>
      </c>
      <c r="P472" s="16"/>
      <c r="Q472" t="s">
        <v>4266</v>
      </c>
    </row>
    <row r="473" spans="1:17" s="2" customFormat="1" ht="27.75" customHeight="1">
      <c r="A473" s="4">
        <v>470</v>
      </c>
      <c r="B473" s="5" t="s">
        <v>1809</v>
      </c>
      <c r="C473" s="5" t="s">
        <v>1809</v>
      </c>
      <c r="D473" s="5"/>
      <c r="E473" s="5" t="s">
        <v>1810</v>
      </c>
      <c r="F473" s="409">
        <v>30000</v>
      </c>
      <c r="G473" s="408"/>
      <c r="H473" s="241">
        <v>691147.9</v>
      </c>
      <c r="I473" s="1" t="s">
        <v>149</v>
      </c>
      <c r="J473" s="1" t="s">
        <v>603</v>
      </c>
      <c r="K473" s="268"/>
      <c r="L473" s="191"/>
      <c r="M473" s="1"/>
      <c r="N473" s="191"/>
      <c r="P473" s="1"/>
      <c r="Q473" t="s">
        <v>4285</v>
      </c>
    </row>
    <row r="474" spans="1:17" ht="27.75" customHeight="1">
      <c r="A474" s="622">
        <v>471</v>
      </c>
      <c r="B474" s="614" t="s">
        <v>4502</v>
      </c>
      <c r="C474" s="614" t="s">
        <v>4502</v>
      </c>
      <c r="D474" s="614"/>
      <c r="E474" s="614" t="s">
        <v>4503</v>
      </c>
      <c r="F474" s="626">
        <v>45000</v>
      </c>
      <c r="G474" s="627"/>
      <c r="H474" s="628">
        <v>646147.9</v>
      </c>
      <c r="I474" s="615" t="s">
        <v>614</v>
      </c>
      <c r="J474" s="615" t="s">
        <v>597</v>
      </c>
      <c r="K474" s="629" t="s">
        <v>794</v>
      </c>
      <c r="L474" s="621" t="s">
        <v>831</v>
      </c>
      <c r="M474" s="615" t="s">
        <v>794</v>
      </c>
      <c r="N474" s="621" t="s">
        <v>831</v>
      </c>
      <c r="O474" s="612" t="s">
        <v>4261</v>
      </c>
      <c r="P474" s="615" t="s">
        <v>3838</v>
      </c>
      <c r="Q474" s="612" t="s">
        <v>821</v>
      </c>
    </row>
    <row r="475" spans="1:17" s="2" customFormat="1" ht="27.75" customHeight="1">
      <c r="A475" s="4">
        <v>472</v>
      </c>
      <c r="B475" s="5" t="s">
        <v>1811</v>
      </c>
      <c r="C475" s="5" t="s">
        <v>1811</v>
      </c>
      <c r="D475" s="5"/>
      <c r="E475" s="5" t="s">
        <v>1812</v>
      </c>
      <c r="F475" s="409">
        <v>100000</v>
      </c>
      <c r="G475" s="408"/>
      <c r="H475" s="241">
        <v>546147.9</v>
      </c>
      <c r="I475" s="1" t="s">
        <v>2</v>
      </c>
      <c r="J475" s="1" t="s">
        <v>603</v>
      </c>
      <c r="K475" s="268"/>
      <c r="L475" s="191"/>
      <c r="M475" s="1"/>
      <c r="N475" s="191"/>
      <c r="P475" s="1"/>
      <c r="Q475" t="s">
        <v>4285</v>
      </c>
    </row>
    <row r="476" spans="1:17" s="2" customFormat="1" ht="27.75" customHeight="1">
      <c r="A476" s="4">
        <v>473</v>
      </c>
      <c r="B476" s="5" t="s">
        <v>1811</v>
      </c>
      <c r="C476" s="5" t="s">
        <v>1811</v>
      </c>
      <c r="D476" s="5"/>
      <c r="E476" s="5" t="s">
        <v>1813</v>
      </c>
      <c r="F476" s="409">
        <v>100000</v>
      </c>
      <c r="G476" s="408"/>
      <c r="H476" s="241">
        <v>446147.9</v>
      </c>
      <c r="I476" s="1" t="s">
        <v>4</v>
      </c>
      <c r="J476" s="1" t="s">
        <v>603</v>
      </c>
      <c r="K476" s="268"/>
      <c r="L476" s="191"/>
      <c r="M476" s="1"/>
      <c r="N476" s="191"/>
      <c r="P476" s="1"/>
      <c r="Q476" t="s">
        <v>4285</v>
      </c>
    </row>
    <row r="477" spans="1:17" s="2" customFormat="1" ht="27.75" customHeight="1">
      <c r="A477" s="4">
        <v>474</v>
      </c>
      <c r="B477" s="5" t="s">
        <v>1814</v>
      </c>
      <c r="C477" s="5" t="s">
        <v>1814</v>
      </c>
      <c r="D477" s="5"/>
      <c r="E477" s="5" t="s">
        <v>1815</v>
      </c>
      <c r="F477" s="408"/>
      <c r="G477" s="409">
        <v>275000</v>
      </c>
      <c r="H477" s="241">
        <v>721147.9</v>
      </c>
      <c r="I477" s="1" t="s">
        <v>759</v>
      </c>
      <c r="J477" s="1" t="s">
        <v>769</v>
      </c>
      <c r="K477" s="268"/>
      <c r="L477" s="191"/>
      <c r="M477" s="1"/>
      <c r="N477" s="191" t="s">
        <v>3575</v>
      </c>
      <c r="P477" s="1"/>
      <c r="Q477" t="s">
        <v>4266</v>
      </c>
    </row>
    <row r="478" spans="1:17" s="17" customFormat="1" ht="27.75" customHeight="1">
      <c r="A478" s="4">
        <v>475</v>
      </c>
      <c r="B478" s="13" t="s">
        <v>1814</v>
      </c>
      <c r="C478" s="13" t="s">
        <v>1814</v>
      </c>
      <c r="D478" s="13"/>
      <c r="E478" s="13" t="s">
        <v>1816</v>
      </c>
      <c r="F478" s="411"/>
      <c r="G478" s="412">
        <v>300000</v>
      </c>
      <c r="H478" s="239" t="s">
        <v>1817</v>
      </c>
      <c r="I478" s="16" t="s">
        <v>125</v>
      </c>
      <c r="J478" s="16" t="s">
        <v>114</v>
      </c>
      <c r="K478" s="267"/>
      <c r="L478" s="193"/>
      <c r="M478" s="1"/>
      <c r="N478" s="191" t="s">
        <v>3516</v>
      </c>
      <c r="P478" s="16"/>
      <c r="Q478" t="s">
        <v>4266</v>
      </c>
    </row>
    <row r="479" spans="1:17" ht="27.75" customHeight="1">
      <c r="A479" s="622">
        <v>476</v>
      </c>
      <c r="B479" s="614" t="s">
        <v>4504</v>
      </c>
      <c r="C479" s="614" t="s">
        <v>4504</v>
      </c>
      <c r="D479" s="614"/>
      <c r="E479" s="614" t="s">
        <v>4505</v>
      </c>
      <c r="F479" s="626">
        <v>100000</v>
      </c>
      <c r="G479" s="627"/>
      <c r="H479" s="628">
        <v>921147.9</v>
      </c>
      <c r="I479" s="615" t="s">
        <v>713</v>
      </c>
      <c r="J479" s="615" t="s">
        <v>601</v>
      </c>
      <c r="K479" s="629" t="s">
        <v>794</v>
      </c>
      <c r="L479" s="621"/>
      <c r="M479" s="615" t="s">
        <v>794</v>
      </c>
      <c r="N479" s="621"/>
      <c r="O479" s="612" t="s">
        <v>4261</v>
      </c>
      <c r="P479" s="615" t="s">
        <v>3838</v>
      </c>
      <c r="Q479" s="612" t="s">
        <v>4283</v>
      </c>
    </row>
    <row r="480" spans="1:17" s="17" customFormat="1" ht="27.75" customHeight="1">
      <c r="A480" s="4">
        <v>477</v>
      </c>
      <c r="B480" s="13" t="s">
        <v>1818</v>
      </c>
      <c r="C480" s="13" t="s">
        <v>1818</v>
      </c>
      <c r="D480" s="13"/>
      <c r="E480" s="13" t="s">
        <v>1819</v>
      </c>
      <c r="F480" s="411"/>
      <c r="G480" s="412">
        <v>300000</v>
      </c>
      <c r="H480" s="239" t="s">
        <v>1820</v>
      </c>
      <c r="I480" s="16" t="s">
        <v>125</v>
      </c>
      <c r="J480" s="16" t="s">
        <v>114</v>
      </c>
      <c r="K480" s="267"/>
      <c r="L480" s="193"/>
      <c r="M480" s="1"/>
      <c r="N480" s="191" t="s">
        <v>3516</v>
      </c>
      <c r="P480" s="16"/>
      <c r="Q480" t="s">
        <v>4266</v>
      </c>
    </row>
    <row r="481" spans="1:17" s="17" customFormat="1" ht="27.75" customHeight="1">
      <c r="A481" s="4">
        <v>478</v>
      </c>
      <c r="B481" s="13" t="s">
        <v>1818</v>
      </c>
      <c r="C481" s="13" t="s">
        <v>1818</v>
      </c>
      <c r="D481" s="13"/>
      <c r="E481" s="13" t="s">
        <v>1821</v>
      </c>
      <c r="F481" s="412">
        <v>229500</v>
      </c>
      <c r="G481" s="411"/>
      <c r="H481" s="242">
        <v>991647.9</v>
      </c>
      <c r="I481" s="16" t="s">
        <v>106</v>
      </c>
      <c r="J481" s="16" t="s">
        <v>760</v>
      </c>
      <c r="K481" s="267" t="s">
        <v>794</v>
      </c>
      <c r="L481" s="193"/>
      <c r="M481" s="1" t="s">
        <v>794</v>
      </c>
      <c r="N481" s="191" t="s">
        <v>3517</v>
      </c>
      <c r="P481" s="16"/>
      <c r="Q481" t="s">
        <v>4266</v>
      </c>
    </row>
    <row r="482" spans="1:17" ht="27.75" customHeight="1">
      <c r="A482" s="622">
        <v>479</v>
      </c>
      <c r="B482" s="614" t="s">
        <v>4506</v>
      </c>
      <c r="C482" s="614" t="s">
        <v>4506</v>
      </c>
      <c r="D482" s="614"/>
      <c r="E482" s="614" t="s">
        <v>4507</v>
      </c>
      <c r="F482" s="626">
        <v>60000</v>
      </c>
      <c r="G482" s="627"/>
      <c r="H482" s="628">
        <v>931647.9</v>
      </c>
      <c r="I482" s="615" t="s">
        <v>609</v>
      </c>
      <c r="J482" s="615" t="s">
        <v>146</v>
      </c>
      <c r="K482" s="629" t="s">
        <v>823</v>
      </c>
      <c r="L482" s="621"/>
      <c r="M482" s="615" t="s">
        <v>823</v>
      </c>
      <c r="N482" s="621"/>
      <c r="O482" s="612" t="s">
        <v>4261</v>
      </c>
      <c r="P482" s="615" t="s">
        <v>3838</v>
      </c>
      <c r="Q482" s="612" t="s">
        <v>4277</v>
      </c>
    </row>
    <row r="483" spans="1:17" ht="27.75" customHeight="1">
      <c r="A483" s="622">
        <v>480</v>
      </c>
      <c r="B483" s="614" t="s">
        <v>4506</v>
      </c>
      <c r="C483" s="614" t="s">
        <v>4506</v>
      </c>
      <c r="D483" s="614"/>
      <c r="E483" s="614" t="s">
        <v>4508</v>
      </c>
      <c r="F483" s="626">
        <v>14000</v>
      </c>
      <c r="G483" s="627"/>
      <c r="H483" s="628">
        <v>917647.9</v>
      </c>
      <c r="I483" s="615" t="s">
        <v>347</v>
      </c>
      <c r="J483" s="615" t="s">
        <v>761</v>
      </c>
      <c r="K483" s="629" t="s">
        <v>794</v>
      </c>
      <c r="L483" s="621"/>
      <c r="M483" s="615" t="s">
        <v>794</v>
      </c>
      <c r="N483" s="621"/>
      <c r="O483" s="612" t="s">
        <v>4261</v>
      </c>
      <c r="P483" s="615"/>
      <c r="Q483" s="612" t="s">
        <v>4281</v>
      </c>
    </row>
    <row r="484" spans="1:17" s="2" customFormat="1" ht="27.75" customHeight="1">
      <c r="A484" s="4">
        <v>481</v>
      </c>
      <c r="B484" s="5" t="s">
        <v>1822</v>
      </c>
      <c r="C484" s="5" t="s">
        <v>1822</v>
      </c>
      <c r="D484" s="4">
        <v>901</v>
      </c>
      <c r="E484" s="3" t="s">
        <v>1352</v>
      </c>
      <c r="F484" s="409">
        <v>10000</v>
      </c>
      <c r="G484" s="408"/>
      <c r="H484" s="241">
        <v>907647.9</v>
      </c>
      <c r="I484" s="1" t="s">
        <v>762</v>
      </c>
      <c r="J484" s="1" t="s">
        <v>770</v>
      </c>
      <c r="K484" s="268" t="s">
        <v>794</v>
      </c>
      <c r="L484" s="191"/>
      <c r="M484" s="1" t="s">
        <v>794</v>
      </c>
      <c r="N484" s="191"/>
      <c r="P484" s="1"/>
      <c r="Q484" t="s">
        <v>4266</v>
      </c>
    </row>
    <row r="485" spans="1:17" s="2" customFormat="1" ht="27.75" customHeight="1">
      <c r="A485" s="4">
        <v>482</v>
      </c>
      <c r="B485" s="5" t="s">
        <v>1823</v>
      </c>
      <c r="C485" s="5" t="s">
        <v>1824</v>
      </c>
      <c r="D485" s="5"/>
      <c r="E485" s="5" t="s">
        <v>1825</v>
      </c>
      <c r="F485" s="408"/>
      <c r="G485" s="409">
        <v>25000</v>
      </c>
      <c r="H485" s="241">
        <v>932647.9</v>
      </c>
      <c r="I485" s="1" t="s">
        <v>93</v>
      </c>
      <c r="J485" s="1" t="s">
        <v>94</v>
      </c>
      <c r="K485" s="268" t="s">
        <v>823</v>
      </c>
      <c r="L485" s="191"/>
      <c r="M485" s="1" t="s">
        <v>823</v>
      </c>
      <c r="N485" s="191" t="s">
        <v>794</v>
      </c>
      <c r="P485" s="1"/>
      <c r="Q485" t="s">
        <v>4266</v>
      </c>
    </row>
    <row r="486" spans="1:17" s="17" customFormat="1" ht="27.75" customHeight="1">
      <c r="A486" s="4">
        <v>483</v>
      </c>
      <c r="B486" s="13" t="s">
        <v>1826</v>
      </c>
      <c r="C486" s="13" t="s">
        <v>1826</v>
      </c>
      <c r="D486" s="12">
        <v>904</v>
      </c>
      <c r="E486" s="18" t="s">
        <v>1351</v>
      </c>
      <c r="F486" s="412">
        <v>129500</v>
      </c>
      <c r="G486" s="411"/>
      <c r="H486" s="242">
        <v>803147.9</v>
      </c>
      <c r="I486" s="16" t="s">
        <v>100</v>
      </c>
      <c r="J486" s="16" t="s">
        <v>763</v>
      </c>
      <c r="K486" s="267" t="s">
        <v>794</v>
      </c>
      <c r="L486" s="193"/>
      <c r="M486" s="1" t="s">
        <v>794</v>
      </c>
      <c r="N486" s="191" t="s">
        <v>3517</v>
      </c>
      <c r="P486" s="16"/>
      <c r="Q486" t="s">
        <v>4266</v>
      </c>
    </row>
    <row r="487" spans="1:17" s="2" customFormat="1" ht="27.75" customHeight="1">
      <c r="A487" s="4">
        <v>484</v>
      </c>
      <c r="B487" s="5" t="s">
        <v>1826</v>
      </c>
      <c r="C487" s="5" t="s">
        <v>1826</v>
      </c>
      <c r="D487" s="5"/>
      <c r="E487" s="5" t="s">
        <v>1827</v>
      </c>
      <c r="F487" s="408"/>
      <c r="G487" s="409">
        <v>200000</v>
      </c>
      <c r="H487" s="240" t="s">
        <v>1828</v>
      </c>
      <c r="I487" s="1" t="s">
        <v>764</v>
      </c>
      <c r="J487" s="1" t="s">
        <v>112</v>
      </c>
      <c r="K487" s="268"/>
      <c r="L487" s="191"/>
      <c r="M487" s="1"/>
      <c r="N487" s="191" t="s">
        <v>3500</v>
      </c>
      <c r="P487" s="1"/>
      <c r="Q487" t="s">
        <v>4266</v>
      </c>
    </row>
    <row r="488" spans="1:17" ht="27.75" customHeight="1">
      <c r="A488" s="622">
        <v>485</v>
      </c>
      <c r="B488" s="614" t="s">
        <v>4509</v>
      </c>
      <c r="C488" s="614" t="s">
        <v>4509</v>
      </c>
      <c r="D488" s="614"/>
      <c r="E488" s="614" t="s">
        <v>4510</v>
      </c>
      <c r="F488" s="626">
        <v>49500</v>
      </c>
      <c r="G488" s="627"/>
      <c r="H488" s="628">
        <v>953647.9</v>
      </c>
      <c r="I488" s="615" t="s">
        <v>475</v>
      </c>
      <c r="J488" s="615" t="s">
        <v>725</v>
      </c>
      <c r="K488" s="629"/>
      <c r="L488" s="621"/>
      <c r="M488" s="615"/>
      <c r="N488" s="621"/>
      <c r="O488" s="612" t="s">
        <v>4261</v>
      </c>
      <c r="P488" s="615"/>
      <c r="Q488" s="612" t="s">
        <v>4282</v>
      </c>
    </row>
    <row r="489" spans="1:17" ht="27.75" customHeight="1">
      <c r="A489" s="622">
        <v>486</v>
      </c>
      <c r="B489" s="614" t="s">
        <v>4509</v>
      </c>
      <c r="C489" s="614" t="s">
        <v>4509</v>
      </c>
      <c r="D489" s="614"/>
      <c r="E489" s="614" t="s">
        <v>4511</v>
      </c>
      <c r="F489" s="626">
        <v>80000</v>
      </c>
      <c r="G489" s="627"/>
      <c r="H489" s="628">
        <v>873647.9</v>
      </c>
      <c r="I489" s="615" t="s">
        <v>614</v>
      </c>
      <c r="J489" s="615" t="s">
        <v>597</v>
      </c>
      <c r="K489" s="629" t="s">
        <v>794</v>
      </c>
      <c r="L489" s="621" t="s">
        <v>833</v>
      </c>
      <c r="M489" s="615" t="s">
        <v>794</v>
      </c>
      <c r="N489" s="621" t="s">
        <v>833</v>
      </c>
      <c r="O489" s="612" t="s">
        <v>4261</v>
      </c>
      <c r="P489" s="615" t="s">
        <v>3838</v>
      </c>
      <c r="Q489" s="612" t="s">
        <v>821</v>
      </c>
    </row>
    <row r="490" spans="1:17" s="2" customFormat="1" ht="27.75" customHeight="1">
      <c r="A490" s="4">
        <v>487</v>
      </c>
      <c r="B490" s="5" t="s">
        <v>1829</v>
      </c>
      <c r="C490" s="5" t="s">
        <v>1829</v>
      </c>
      <c r="D490" s="5"/>
      <c r="E490" s="5" t="s">
        <v>1830</v>
      </c>
      <c r="F490" s="408"/>
      <c r="G490" s="409">
        <v>100000</v>
      </c>
      <c r="H490" s="241">
        <v>973647.9</v>
      </c>
      <c r="I490" s="1" t="s">
        <v>121</v>
      </c>
      <c r="J490" s="1" t="s">
        <v>765</v>
      </c>
      <c r="K490" s="268"/>
      <c r="L490" s="191"/>
      <c r="M490" s="1"/>
      <c r="N490" s="191" t="s">
        <v>794</v>
      </c>
      <c r="P490" s="1" t="s">
        <v>3894</v>
      </c>
      <c r="Q490" t="s">
        <v>4266</v>
      </c>
    </row>
    <row r="491" spans="1:17" s="2" customFormat="1" ht="27.75" customHeight="1">
      <c r="A491" s="4">
        <v>488</v>
      </c>
      <c r="B491" s="5" t="s">
        <v>1829</v>
      </c>
      <c r="C491" s="5" t="s">
        <v>1829</v>
      </c>
      <c r="D491" s="5"/>
      <c r="E491" s="5" t="s">
        <v>1831</v>
      </c>
      <c r="F491" s="408"/>
      <c r="G491" s="409">
        <v>50000</v>
      </c>
      <c r="H491" s="240" t="s">
        <v>1832</v>
      </c>
      <c r="I491" s="1" t="s">
        <v>773</v>
      </c>
      <c r="J491" s="1" t="s">
        <v>766</v>
      </c>
      <c r="K491" s="268"/>
      <c r="L491" s="191"/>
      <c r="M491" s="1"/>
      <c r="N491" s="191" t="s">
        <v>794</v>
      </c>
      <c r="P491" s="1"/>
      <c r="Q491" t="s">
        <v>4266</v>
      </c>
    </row>
    <row r="492" spans="1:17" s="2" customFormat="1" ht="27.75" customHeight="1">
      <c r="A492" s="4">
        <v>489</v>
      </c>
      <c r="B492" s="5" t="s">
        <v>1833</v>
      </c>
      <c r="C492" s="5" t="s">
        <v>1833</v>
      </c>
      <c r="D492" s="5"/>
      <c r="E492" s="5" t="s">
        <v>1834</v>
      </c>
      <c r="F492" s="409">
        <v>20000</v>
      </c>
      <c r="G492" s="408"/>
      <c r="H492" s="240" t="s">
        <v>1835</v>
      </c>
      <c r="I492" s="1" t="s">
        <v>744</v>
      </c>
      <c r="J492" s="1" t="s">
        <v>603</v>
      </c>
      <c r="K492" s="268"/>
      <c r="L492" s="191"/>
      <c r="M492" s="1"/>
      <c r="N492" s="191"/>
      <c r="P492" s="1"/>
      <c r="Q492" t="s">
        <v>4285</v>
      </c>
    </row>
    <row r="493" spans="1:17" s="2" customFormat="1" ht="27.75" customHeight="1">
      <c r="A493" s="4">
        <v>490</v>
      </c>
      <c r="B493" s="5" t="s">
        <v>1833</v>
      </c>
      <c r="C493" s="5" t="s">
        <v>1833</v>
      </c>
      <c r="D493" s="5"/>
      <c r="E493" s="5" t="s">
        <v>1836</v>
      </c>
      <c r="F493" s="409">
        <v>20000</v>
      </c>
      <c r="G493" s="408"/>
      <c r="H493" s="241">
        <v>983647.9</v>
      </c>
      <c r="I493" s="1" t="s">
        <v>715</v>
      </c>
      <c r="J493" s="1" t="s">
        <v>603</v>
      </c>
      <c r="K493" s="268"/>
      <c r="L493" s="191"/>
      <c r="M493" s="1"/>
      <c r="N493" s="191"/>
      <c r="P493" s="1"/>
      <c r="Q493" t="s">
        <v>4285</v>
      </c>
    </row>
    <row r="494" spans="1:17" s="2" customFormat="1" ht="27.75" customHeight="1">
      <c r="A494" s="4">
        <v>491</v>
      </c>
      <c r="B494" s="5" t="s">
        <v>1837</v>
      </c>
      <c r="C494" s="5" t="s">
        <v>1837</v>
      </c>
      <c r="D494" s="5"/>
      <c r="E494" s="5" t="s">
        <v>1838</v>
      </c>
      <c r="F494" s="409">
        <v>30000</v>
      </c>
      <c r="G494" s="408"/>
      <c r="H494" s="241">
        <v>953647.9</v>
      </c>
      <c r="I494" s="1" t="s">
        <v>37</v>
      </c>
      <c r="J494" s="1" t="s">
        <v>603</v>
      </c>
      <c r="K494" s="268"/>
      <c r="L494" s="191"/>
      <c r="M494" s="1"/>
      <c r="N494" s="191"/>
      <c r="P494" s="1"/>
      <c r="Q494" t="s">
        <v>4285</v>
      </c>
    </row>
    <row r="495" spans="1:17" ht="27.75" customHeight="1">
      <c r="A495" s="622">
        <v>492</v>
      </c>
      <c r="B495" s="614" t="s">
        <v>4512</v>
      </c>
      <c r="C495" s="614" t="s">
        <v>4512</v>
      </c>
      <c r="D495" s="614"/>
      <c r="E495" s="614" t="s">
        <v>4513</v>
      </c>
      <c r="F495" s="626">
        <v>49500</v>
      </c>
      <c r="G495" s="627"/>
      <c r="H495" s="628">
        <v>904147.9</v>
      </c>
      <c r="I495" s="615" t="s">
        <v>475</v>
      </c>
      <c r="J495" s="615" t="s">
        <v>725</v>
      </c>
      <c r="K495" s="629"/>
      <c r="L495" s="621"/>
      <c r="M495" s="615"/>
      <c r="N495" s="621"/>
      <c r="O495" s="612" t="s">
        <v>4261</v>
      </c>
      <c r="P495" s="615"/>
      <c r="Q495" s="612" t="s">
        <v>4282</v>
      </c>
    </row>
    <row r="496" spans="1:17" ht="27.75" customHeight="1">
      <c r="A496" s="622">
        <v>493</v>
      </c>
      <c r="B496" s="614" t="s">
        <v>4512</v>
      </c>
      <c r="C496" s="614" t="s">
        <v>4512</v>
      </c>
      <c r="D496" s="614"/>
      <c r="E496" s="614" t="s">
        <v>4514</v>
      </c>
      <c r="F496" s="626">
        <v>310000</v>
      </c>
      <c r="G496" s="627"/>
      <c r="H496" s="628">
        <v>594147.9</v>
      </c>
      <c r="I496" s="615" t="s">
        <v>713</v>
      </c>
      <c r="J496" s="615" t="s">
        <v>601</v>
      </c>
      <c r="K496" s="629" t="s">
        <v>794</v>
      </c>
      <c r="L496" s="621"/>
      <c r="M496" s="615" t="s">
        <v>794</v>
      </c>
      <c r="N496" s="621"/>
      <c r="O496" s="612" t="s">
        <v>4261</v>
      </c>
      <c r="P496" s="615" t="s">
        <v>3838</v>
      </c>
      <c r="Q496" s="612" t="s">
        <v>4283</v>
      </c>
    </row>
    <row r="497" spans="1:17" ht="27.75" customHeight="1">
      <c r="A497" s="622">
        <v>494</v>
      </c>
      <c r="B497" s="614" t="s">
        <v>4512</v>
      </c>
      <c r="C497" s="614" t="s">
        <v>4512</v>
      </c>
      <c r="D497" s="614"/>
      <c r="E497" s="614" t="s">
        <v>4515</v>
      </c>
      <c r="F497" s="626">
        <v>310000</v>
      </c>
      <c r="G497" s="627"/>
      <c r="H497" s="628">
        <v>284147.90000000002</v>
      </c>
      <c r="I497" s="615" t="s">
        <v>713</v>
      </c>
      <c r="J497" s="615" t="s">
        <v>601</v>
      </c>
      <c r="K497" s="629" t="s">
        <v>823</v>
      </c>
      <c r="L497" s="621"/>
      <c r="M497" s="615" t="s">
        <v>823</v>
      </c>
      <c r="N497" s="621"/>
      <c r="O497" s="612" t="s">
        <v>4261</v>
      </c>
      <c r="P497" s="615" t="s">
        <v>810</v>
      </c>
      <c r="Q497" s="612" t="s">
        <v>4283</v>
      </c>
    </row>
    <row r="498" spans="1:17" ht="27.75" customHeight="1">
      <c r="A498" s="622">
        <v>495</v>
      </c>
      <c r="B498" s="614" t="s">
        <v>4512</v>
      </c>
      <c r="C498" s="614" t="s">
        <v>4512</v>
      </c>
      <c r="D498" s="614"/>
      <c r="E498" s="614" t="s">
        <v>4516</v>
      </c>
      <c r="F498" s="627"/>
      <c r="G498" s="626">
        <v>310000</v>
      </c>
      <c r="H498" s="628">
        <v>594147.9</v>
      </c>
      <c r="I498" s="615" t="s">
        <v>713</v>
      </c>
      <c r="J498" s="615" t="s">
        <v>767</v>
      </c>
      <c r="K498" s="629" t="s">
        <v>823</v>
      </c>
      <c r="L498" s="621"/>
      <c r="M498" s="615" t="s">
        <v>823</v>
      </c>
      <c r="N498" s="621"/>
      <c r="O498" s="612" t="s">
        <v>4261</v>
      </c>
      <c r="P498" s="615" t="s">
        <v>810</v>
      </c>
      <c r="Q498" s="612" t="s">
        <v>4283</v>
      </c>
    </row>
    <row r="499" spans="1:17" s="2" customFormat="1" ht="27.75" customHeight="1">
      <c r="A499" s="4">
        <v>496</v>
      </c>
      <c r="B499" s="5" t="s">
        <v>1837</v>
      </c>
      <c r="C499" s="5" t="s">
        <v>1837</v>
      </c>
      <c r="D499" s="5"/>
      <c r="E499" s="5" t="s">
        <v>1839</v>
      </c>
      <c r="F499" s="409">
        <v>30000</v>
      </c>
      <c r="G499" s="408"/>
      <c r="H499" s="241">
        <v>564147.9</v>
      </c>
      <c r="I499" s="1" t="s">
        <v>149</v>
      </c>
      <c r="J499" s="1" t="s">
        <v>603</v>
      </c>
      <c r="K499" s="268"/>
      <c r="L499" s="191"/>
      <c r="M499" s="1"/>
      <c r="N499" s="191"/>
      <c r="P499" s="1"/>
      <c r="Q499" t="s">
        <v>4285</v>
      </c>
    </row>
    <row r="500" spans="1:17" s="17" customFormat="1" ht="27.75" customHeight="1">
      <c r="A500" s="4">
        <v>497</v>
      </c>
      <c r="B500" s="13" t="s">
        <v>1840</v>
      </c>
      <c r="C500" s="13" t="s">
        <v>1841</v>
      </c>
      <c r="D500" s="13"/>
      <c r="E500" s="13" t="s">
        <v>1842</v>
      </c>
      <c r="F500" s="408"/>
      <c r="G500" s="409">
        <v>10000</v>
      </c>
      <c r="H500" s="242">
        <v>574147.9</v>
      </c>
      <c r="I500" s="16" t="s">
        <v>775</v>
      </c>
      <c r="J500" s="16" t="s">
        <v>768</v>
      </c>
      <c r="K500" s="267" t="s">
        <v>823</v>
      </c>
      <c r="L500" s="193"/>
      <c r="M500" s="1" t="s">
        <v>823</v>
      </c>
      <c r="N500" s="191" t="s">
        <v>822</v>
      </c>
      <c r="P500" s="16"/>
      <c r="Q500" t="s">
        <v>4266</v>
      </c>
    </row>
    <row r="501" spans="1:17" s="2" customFormat="1" ht="27.75" customHeight="1">
      <c r="A501" s="4">
        <v>498</v>
      </c>
      <c r="B501" s="5" t="s">
        <v>1841</v>
      </c>
      <c r="C501" s="5" t="s">
        <v>1841</v>
      </c>
      <c r="D501" s="5"/>
      <c r="E501" s="5" t="s">
        <v>1843</v>
      </c>
      <c r="F501" s="408"/>
      <c r="G501" s="409">
        <v>260000</v>
      </c>
      <c r="H501" s="241">
        <v>834147.9</v>
      </c>
      <c r="I501" s="1" t="s">
        <v>352</v>
      </c>
      <c r="J501" s="1" t="s">
        <v>740</v>
      </c>
      <c r="K501" s="268" t="s">
        <v>794</v>
      </c>
      <c r="L501" s="191" t="s">
        <v>833</v>
      </c>
      <c r="M501" s="1" t="s">
        <v>794</v>
      </c>
      <c r="N501" s="191" t="s">
        <v>833</v>
      </c>
      <c r="P501" s="1"/>
      <c r="Q501" t="s">
        <v>1345</v>
      </c>
    </row>
    <row r="502" spans="1:17" s="2" customFormat="1" ht="27.75" customHeight="1">
      <c r="A502" s="4">
        <v>499</v>
      </c>
      <c r="B502" s="5" t="s">
        <v>1841</v>
      </c>
      <c r="C502" s="5" t="s">
        <v>1841</v>
      </c>
      <c r="D502" s="5"/>
      <c r="E502" s="5" t="s">
        <v>1844</v>
      </c>
      <c r="F502" s="408"/>
      <c r="G502" s="409">
        <v>10000</v>
      </c>
      <c r="H502" s="241">
        <v>844147.9</v>
      </c>
      <c r="I502" s="1" t="s">
        <v>775</v>
      </c>
      <c r="J502" s="1" t="s">
        <v>771</v>
      </c>
      <c r="K502" s="268"/>
      <c r="L502" s="191"/>
      <c r="M502" s="1"/>
      <c r="N502" s="191" t="s">
        <v>822</v>
      </c>
      <c r="P502" s="1"/>
      <c r="Q502" t="s">
        <v>4266</v>
      </c>
    </row>
    <row r="503" spans="1:17" s="2" customFormat="1" ht="27.75" customHeight="1">
      <c r="A503" s="4">
        <v>500</v>
      </c>
      <c r="B503" s="5" t="s">
        <v>1841</v>
      </c>
      <c r="C503" s="5" t="s">
        <v>1841</v>
      </c>
      <c r="D503" s="5"/>
      <c r="E503" s="5" t="s">
        <v>1845</v>
      </c>
      <c r="F503" s="408"/>
      <c r="G503" s="409">
        <v>10000</v>
      </c>
      <c r="H503" s="241">
        <v>854147.9</v>
      </c>
      <c r="I503" s="1" t="s">
        <v>774</v>
      </c>
      <c r="J503" s="1" t="s">
        <v>772</v>
      </c>
      <c r="K503" s="268"/>
      <c r="L503" s="191"/>
      <c r="M503" s="1"/>
      <c r="N503" s="191" t="s">
        <v>794</v>
      </c>
      <c r="P503" s="1"/>
      <c r="Q503" t="s">
        <v>4266</v>
      </c>
    </row>
    <row r="504" spans="1:17" s="2" customFormat="1" ht="27.75" customHeight="1">
      <c r="A504" s="4">
        <v>501</v>
      </c>
      <c r="B504" s="5" t="s">
        <v>1841</v>
      </c>
      <c r="C504" s="5" t="s">
        <v>1841</v>
      </c>
      <c r="D504" s="5"/>
      <c r="E504" s="5" t="s">
        <v>1846</v>
      </c>
      <c r="F504" s="408"/>
      <c r="G504" s="409">
        <v>600000</v>
      </c>
      <c r="H504" s="240" t="s">
        <v>1847</v>
      </c>
      <c r="I504" s="1" t="s">
        <v>351</v>
      </c>
      <c r="J504" s="1" t="s">
        <v>740</v>
      </c>
      <c r="K504" s="268" t="s">
        <v>823</v>
      </c>
      <c r="L504" s="191"/>
      <c r="M504" s="1" t="s">
        <v>823</v>
      </c>
      <c r="N504" s="191"/>
      <c r="P504" s="1"/>
      <c r="Q504" t="s">
        <v>1345</v>
      </c>
    </row>
    <row r="505" spans="1:17" s="2" customFormat="1" ht="27.75" customHeight="1">
      <c r="A505" s="4">
        <v>502</v>
      </c>
      <c r="B505" s="5" t="s">
        <v>1841</v>
      </c>
      <c r="C505" s="5" t="s">
        <v>1841</v>
      </c>
      <c r="D505" s="5"/>
      <c r="E505" s="5" t="s">
        <v>1848</v>
      </c>
      <c r="F505" s="408"/>
      <c r="G505" s="409">
        <v>520000</v>
      </c>
      <c r="H505" s="240" t="s">
        <v>1849</v>
      </c>
      <c r="I505" s="1" t="s">
        <v>349</v>
      </c>
      <c r="J505" s="1" t="s">
        <v>740</v>
      </c>
      <c r="K505" s="268" t="s">
        <v>794</v>
      </c>
      <c r="L505" s="191"/>
      <c r="M505" s="1" t="s">
        <v>794</v>
      </c>
      <c r="N505" s="191"/>
      <c r="P505" s="1"/>
      <c r="Q505" t="s">
        <v>1345</v>
      </c>
    </row>
    <row r="506" spans="1:17" ht="27.75" customHeight="1">
      <c r="A506" s="622">
        <v>503</v>
      </c>
      <c r="B506" s="614" t="s">
        <v>4433</v>
      </c>
      <c r="C506" s="614" t="s">
        <v>4433</v>
      </c>
      <c r="D506" s="614"/>
      <c r="E506" s="614" t="s">
        <v>4434</v>
      </c>
      <c r="F506" s="626">
        <v>30000</v>
      </c>
      <c r="G506" s="627"/>
      <c r="H506" s="630" t="s">
        <v>4435</v>
      </c>
      <c r="I506" s="615" t="s">
        <v>3253</v>
      </c>
      <c r="J506" s="615" t="s">
        <v>603</v>
      </c>
      <c r="K506" s="629"/>
      <c r="L506" s="621"/>
      <c r="M506" s="615"/>
      <c r="N506" s="621"/>
      <c r="P506" s="615"/>
      <c r="Q506" s="612" t="s">
        <v>4286</v>
      </c>
    </row>
    <row r="507" spans="1:17" s="2" customFormat="1" ht="27.75" customHeight="1">
      <c r="A507" s="4">
        <v>504</v>
      </c>
      <c r="B507" s="5" t="s">
        <v>1841</v>
      </c>
      <c r="C507" s="5" t="s">
        <v>1841</v>
      </c>
      <c r="D507" s="5"/>
      <c r="E507" s="3" t="s">
        <v>1353</v>
      </c>
      <c r="F507" s="409">
        <v>520000</v>
      </c>
      <c r="G507" s="408"/>
      <c r="H507" s="240" t="s">
        <v>1850</v>
      </c>
      <c r="I507" s="1" t="s">
        <v>349</v>
      </c>
      <c r="J507" s="1" t="s">
        <v>350</v>
      </c>
      <c r="K507" s="268" t="s">
        <v>823</v>
      </c>
      <c r="L507" s="191"/>
      <c r="M507" s="1" t="s">
        <v>823</v>
      </c>
      <c r="N507" s="191"/>
      <c r="P507" s="1"/>
      <c r="Q507" t="s">
        <v>1345</v>
      </c>
    </row>
    <row r="508" spans="1:17" s="17" customFormat="1" ht="27.75" customHeight="1">
      <c r="A508" s="4">
        <v>505</v>
      </c>
      <c r="B508" s="13" t="s">
        <v>1851</v>
      </c>
      <c r="C508" s="13" t="s">
        <v>1851</v>
      </c>
      <c r="D508" s="13"/>
      <c r="E508" s="13" t="s">
        <v>1852</v>
      </c>
      <c r="F508" s="412">
        <v>200000</v>
      </c>
      <c r="G508" s="411"/>
      <c r="H508" s="239" t="s">
        <v>1853</v>
      </c>
      <c r="I508" s="16" t="s">
        <v>58</v>
      </c>
      <c r="J508" s="16" t="s">
        <v>778</v>
      </c>
      <c r="K508" s="267" t="s">
        <v>794</v>
      </c>
      <c r="L508" s="193"/>
      <c r="M508" s="1" t="s">
        <v>794</v>
      </c>
      <c r="N508" s="191" t="s">
        <v>3518</v>
      </c>
      <c r="P508" s="16" t="s">
        <v>3871</v>
      </c>
      <c r="Q508" t="s">
        <v>4266</v>
      </c>
    </row>
    <row r="509" spans="1:17" s="2" customFormat="1" ht="27.75" customHeight="1">
      <c r="A509" s="4">
        <v>506</v>
      </c>
      <c r="B509" s="5" t="s">
        <v>1854</v>
      </c>
      <c r="C509" s="5" t="s">
        <v>1854</v>
      </c>
      <c r="D509" s="5"/>
      <c r="E509" s="5" t="s">
        <v>1855</v>
      </c>
      <c r="F509" s="408"/>
      <c r="G509" s="409">
        <v>300000</v>
      </c>
      <c r="H509" s="240" t="s">
        <v>1856</v>
      </c>
      <c r="I509" s="1" t="s">
        <v>779</v>
      </c>
      <c r="J509" s="1" t="s">
        <v>31</v>
      </c>
      <c r="K509" s="268" t="s">
        <v>794</v>
      </c>
      <c r="L509" s="191"/>
      <c r="M509" s="1" t="s">
        <v>794</v>
      </c>
      <c r="N509" s="191" t="s">
        <v>3575</v>
      </c>
      <c r="P509" s="1"/>
      <c r="Q509" t="s">
        <v>4266</v>
      </c>
    </row>
    <row r="510" spans="1:17" ht="27.75" customHeight="1">
      <c r="A510" s="622">
        <v>507</v>
      </c>
      <c r="B510" s="614" t="s">
        <v>4517</v>
      </c>
      <c r="C510" s="614" t="s">
        <v>4517</v>
      </c>
      <c r="D510" s="614"/>
      <c r="E510" s="614" t="s">
        <v>4518</v>
      </c>
      <c r="F510" s="626">
        <v>80000</v>
      </c>
      <c r="G510" s="627"/>
      <c r="H510" s="630" t="s">
        <v>4519</v>
      </c>
      <c r="I510" s="615" t="s">
        <v>614</v>
      </c>
      <c r="J510" s="615" t="s">
        <v>597</v>
      </c>
      <c r="K510" s="629" t="s">
        <v>794</v>
      </c>
      <c r="L510" s="621"/>
      <c r="M510" s="615" t="s">
        <v>794</v>
      </c>
      <c r="N510" s="621"/>
      <c r="O510" s="612" t="s">
        <v>4261</v>
      </c>
      <c r="P510" s="615" t="s">
        <v>3838</v>
      </c>
      <c r="Q510" s="612" t="s">
        <v>821</v>
      </c>
    </row>
    <row r="511" spans="1:17" s="2" customFormat="1" ht="27.75" customHeight="1">
      <c r="A511" s="4">
        <v>508</v>
      </c>
      <c r="B511" s="5" t="s">
        <v>1857</v>
      </c>
      <c r="C511" s="5" t="s">
        <v>1857</v>
      </c>
      <c r="D511" s="5"/>
      <c r="E511" s="5" t="s">
        <v>1858</v>
      </c>
      <c r="F511" s="409">
        <v>150000</v>
      </c>
      <c r="G511" s="408"/>
      <c r="H511" s="240" t="s">
        <v>1859</v>
      </c>
      <c r="I511" s="1" t="s">
        <v>2</v>
      </c>
      <c r="J511" s="1" t="s">
        <v>603</v>
      </c>
      <c r="K511" s="268"/>
      <c r="L511" s="191" t="s">
        <v>1277</v>
      </c>
      <c r="M511" s="1"/>
      <c r="N511" s="191"/>
      <c r="P511" s="1"/>
      <c r="Q511" t="s">
        <v>4285</v>
      </c>
    </row>
    <row r="512" spans="1:17" s="2" customFormat="1" ht="27.75" customHeight="1">
      <c r="A512" s="4">
        <v>509</v>
      </c>
      <c r="B512" s="5" t="s">
        <v>1857</v>
      </c>
      <c r="C512" s="5" t="s">
        <v>1857</v>
      </c>
      <c r="D512" s="5"/>
      <c r="E512" s="5" t="s">
        <v>1860</v>
      </c>
      <c r="F512" s="409">
        <v>100000</v>
      </c>
      <c r="G512" s="408"/>
      <c r="H512" s="240" t="s">
        <v>1861</v>
      </c>
      <c r="I512" s="1" t="s">
        <v>4</v>
      </c>
      <c r="J512" s="1" t="s">
        <v>603</v>
      </c>
      <c r="K512" s="268"/>
      <c r="L512" s="191"/>
      <c r="M512" s="1"/>
      <c r="N512" s="191"/>
      <c r="P512" s="1"/>
      <c r="Q512" t="s">
        <v>4285</v>
      </c>
    </row>
    <row r="513" spans="1:17" s="2" customFormat="1" ht="27.75" customHeight="1">
      <c r="A513" s="4">
        <v>510</v>
      </c>
      <c r="B513" s="5" t="s">
        <v>1862</v>
      </c>
      <c r="C513" s="5" t="s">
        <v>1862</v>
      </c>
      <c r="D513" s="5"/>
      <c r="E513" s="5" t="s">
        <v>1863</v>
      </c>
      <c r="F513" s="408"/>
      <c r="G513" s="409">
        <v>200000</v>
      </c>
      <c r="H513" s="240" t="s">
        <v>1864</v>
      </c>
      <c r="I513" s="1" t="s">
        <v>411</v>
      </c>
      <c r="J513" s="1" t="s">
        <v>780</v>
      </c>
      <c r="K513" s="268"/>
      <c r="L513" s="191"/>
      <c r="M513" s="1"/>
      <c r="N513" s="191" t="s">
        <v>794</v>
      </c>
      <c r="P513" s="1" t="s">
        <v>3843</v>
      </c>
      <c r="Q513" t="s">
        <v>4270</v>
      </c>
    </row>
    <row r="514" spans="1:17" s="2" customFormat="1" ht="27.75" customHeight="1">
      <c r="A514" s="4">
        <v>511</v>
      </c>
      <c r="B514" s="5" t="s">
        <v>1862</v>
      </c>
      <c r="C514" s="5" t="s">
        <v>1862</v>
      </c>
      <c r="D514" s="5"/>
      <c r="E514" s="5" t="s">
        <v>1865</v>
      </c>
      <c r="F514" s="408"/>
      <c r="G514" s="409">
        <v>520000</v>
      </c>
      <c r="H514" s="240" t="s">
        <v>1866</v>
      </c>
      <c r="I514" s="1" t="s">
        <v>349</v>
      </c>
      <c r="J514" s="1" t="s">
        <v>740</v>
      </c>
      <c r="K514" s="268" t="s">
        <v>794</v>
      </c>
      <c r="L514" s="191"/>
      <c r="M514" s="1" t="s">
        <v>794</v>
      </c>
      <c r="N514" s="191"/>
      <c r="P514" s="1"/>
      <c r="Q514" t="s">
        <v>1345</v>
      </c>
    </row>
    <row r="515" spans="1:17" s="2" customFormat="1" ht="27.75" customHeight="1">
      <c r="A515" s="4">
        <v>512</v>
      </c>
      <c r="B515" s="5" t="s">
        <v>1867</v>
      </c>
      <c r="C515" s="5" t="s">
        <v>1867</v>
      </c>
      <c r="D515" s="5"/>
      <c r="E515" s="5" t="s">
        <v>1868</v>
      </c>
      <c r="F515" s="408"/>
      <c r="G515" s="409">
        <v>907000</v>
      </c>
      <c r="H515" s="240" t="s">
        <v>1869</v>
      </c>
      <c r="I515" s="1" t="s">
        <v>781</v>
      </c>
      <c r="J515" s="1" t="s">
        <v>782</v>
      </c>
      <c r="K515" s="268"/>
      <c r="L515" s="191"/>
      <c r="M515" s="1"/>
      <c r="N515" s="191"/>
      <c r="P515" s="1"/>
      <c r="Q515" t="s">
        <v>4266</v>
      </c>
    </row>
    <row r="516" spans="1:17" s="2" customFormat="1" ht="27.75" customHeight="1">
      <c r="A516" s="4">
        <v>513</v>
      </c>
      <c r="B516" s="5" t="s">
        <v>1870</v>
      </c>
      <c r="C516" s="5" t="s">
        <v>1870</v>
      </c>
      <c r="D516" s="5"/>
      <c r="E516" s="5" t="s">
        <v>1871</v>
      </c>
      <c r="F516" s="408"/>
      <c r="G516" s="409">
        <v>100000</v>
      </c>
      <c r="H516" s="240" t="s">
        <v>1872</v>
      </c>
      <c r="I516" s="1" t="s">
        <v>327</v>
      </c>
      <c r="J516" s="1" t="s">
        <v>771</v>
      </c>
      <c r="K516" s="268"/>
      <c r="L516" s="191"/>
      <c r="M516" s="1"/>
      <c r="N516" s="191" t="s">
        <v>3519</v>
      </c>
      <c r="P516" s="1"/>
      <c r="Q516" t="s">
        <v>4266</v>
      </c>
    </row>
    <row r="517" spans="1:17" s="2" customFormat="1" ht="27.75" customHeight="1">
      <c r="A517" s="4">
        <v>514</v>
      </c>
      <c r="B517" s="5" t="s">
        <v>1870</v>
      </c>
      <c r="C517" s="5" t="s">
        <v>1870</v>
      </c>
      <c r="D517" s="5"/>
      <c r="E517" s="5" t="s">
        <v>1873</v>
      </c>
      <c r="F517" s="408"/>
      <c r="G517" s="409">
        <v>8000</v>
      </c>
      <c r="H517" s="240" t="s">
        <v>1874</v>
      </c>
      <c r="I517" s="1" t="s">
        <v>818</v>
      </c>
      <c r="J517" s="1" t="s">
        <v>783</v>
      </c>
      <c r="K517" s="268"/>
      <c r="L517" s="191"/>
      <c r="M517" s="1"/>
      <c r="N517" s="191" t="s">
        <v>794</v>
      </c>
      <c r="P517" s="1"/>
      <c r="Q517" t="s">
        <v>4266</v>
      </c>
    </row>
    <row r="518" spans="1:17" s="2" customFormat="1" ht="27.75" customHeight="1">
      <c r="A518" s="4">
        <v>515</v>
      </c>
      <c r="B518" s="5" t="s">
        <v>1875</v>
      </c>
      <c r="C518" s="5" t="s">
        <v>1875</v>
      </c>
      <c r="D518" s="5"/>
      <c r="E518" s="5" t="s">
        <v>1876</v>
      </c>
      <c r="F518" s="409">
        <v>30000</v>
      </c>
      <c r="G518" s="408"/>
      <c r="H518" s="240" t="s">
        <v>1877</v>
      </c>
      <c r="I518" s="1" t="s">
        <v>618</v>
      </c>
      <c r="J518" s="1" t="s">
        <v>784</v>
      </c>
      <c r="K518" s="268" t="s">
        <v>823</v>
      </c>
      <c r="L518" s="191"/>
      <c r="M518" s="1" t="s">
        <v>823</v>
      </c>
      <c r="N518" s="191" t="s">
        <v>3520</v>
      </c>
      <c r="P518" s="1"/>
      <c r="Q518" t="s">
        <v>4266</v>
      </c>
    </row>
    <row r="519" spans="1:17" s="2" customFormat="1" ht="27.75" customHeight="1">
      <c r="A519" s="4">
        <v>516</v>
      </c>
      <c r="B519" s="5" t="s">
        <v>1875</v>
      </c>
      <c r="C519" s="5" t="s">
        <v>1875</v>
      </c>
      <c r="D519" s="5"/>
      <c r="E519" s="5" t="s">
        <v>1878</v>
      </c>
      <c r="F519" s="409">
        <v>170000</v>
      </c>
      <c r="G519" s="408"/>
      <c r="H519" s="240" t="s">
        <v>1879</v>
      </c>
      <c r="I519" s="1" t="s">
        <v>616</v>
      </c>
      <c r="J519" s="1" t="s">
        <v>784</v>
      </c>
      <c r="K519" s="268" t="s">
        <v>794</v>
      </c>
      <c r="L519" s="191" t="s">
        <v>831</v>
      </c>
      <c r="M519" s="1" t="s">
        <v>794</v>
      </c>
      <c r="N519" s="191" t="s">
        <v>3521</v>
      </c>
      <c r="P519" s="1"/>
      <c r="Q519" t="s">
        <v>4266</v>
      </c>
    </row>
    <row r="520" spans="1:17" s="2" customFormat="1" ht="27.75" customHeight="1">
      <c r="A520" s="4">
        <v>517</v>
      </c>
      <c r="B520" s="5" t="s">
        <v>1875</v>
      </c>
      <c r="C520" s="5" t="s">
        <v>1875</v>
      </c>
      <c r="D520" s="5"/>
      <c r="E520" s="5" t="s">
        <v>1880</v>
      </c>
      <c r="F520" s="409">
        <v>45000</v>
      </c>
      <c r="G520" s="408"/>
      <c r="H520" s="240" t="s">
        <v>1881</v>
      </c>
      <c r="I520" s="1" t="s">
        <v>730</v>
      </c>
      <c r="J520" s="1" t="s">
        <v>784</v>
      </c>
      <c r="K520" s="268" t="s">
        <v>794</v>
      </c>
      <c r="L520" s="191" t="s">
        <v>831</v>
      </c>
      <c r="M520" s="1" t="s">
        <v>794</v>
      </c>
      <c r="N520" s="191" t="s">
        <v>831</v>
      </c>
      <c r="P520" s="1" t="s">
        <v>3875</v>
      </c>
      <c r="Q520" t="s">
        <v>4266</v>
      </c>
    </row>
    <row r="521" spans="1:17" s="2" customFormat="1" ht="27.75" customHeight="1">
      <c r="A521" s="4">
        <v>518</v>
      </c>
      <c r="B521" s="5" t="s">
        <v>1875</v>
      </c>
      <c r="C521" s="5" t="s">
        <v>1875</v>
      </c>
      <c r="D521" s="5"/>
      <c r="E521" s="5" t="s">
        <v>1880</v>
      </c>
      <c r="F521" s="408"/>
      <c r="G521" s="409">
        <v>45000</v>
      </c>
      <c r="H521" s="240" t="s">
        <v>1879</v>
      </c>
      <c r="I521" s="1" t="s">
        <v>730</v>
      </c>
      <c r="J521" s="1" t="s">
        <v>55</v>
      </c>
      <c r="K521" s="268" t="s">
        <v>794</v>
      </c>
      <c r="L521" s="191"/>
      <c r="M521" s="1" t="s">
        <v>794</v>
      </c>
      <c r="N521" s="191" t="s">
        <v>842</v>
      </c>
      <c r="P521" s="1" t="s">
        <v>3874</v>
      </c>
      <c r="Q521" t="s">
        <v>4266</v>
      </c>
    </row>
    <row r="522" spans="1:17" s="2" customFormat="1" ht="27.75" customHeight="1">
      <c r="A522" s="4">
        <v>519</v>
      </c>
      <c r="B522" s="5" t="s">
        <v>1875</v>
      </c>
      <c r="C522" s="5" t="s">
        <v>1875</v>
      </c>
      <c r="D522" s="5"/>
      <c r="E522" s="5" t="s">
        <v>1882</v>
      </c>
      <c r="F522" s="409">
        <v>80000</v>
      </c>
      <c r="G522" s="408"/>
      <c r="H522" s="240" t="s">
        <v>1883</v>
      </c>
      <c r="I522" s="1" t="s">
        <v>785</v>
      </c>
      <c r="J522" s="1" t="s">
        <v>784</v>
      </c>
      <c r="K522" s="268" t="s">
        <v>794</v>
      </c>
      <c r="L522" s="191" t="s">
        <v>831</v>
      </c>
      <c r="M522" s="1" t="s">
        <v>794</v>
      </c>
      <c r="N522" s="191" t="s">
        <v>3520</v>
      </c>
      <c r="P522" s="1"/>
      <c r="Q522" t="s">
        <v>4266</v>
      </c>
    </row>
    <row r="523" spans="1:17" s="2" customFormat="1" ht="27.75" customHeight="1">
      <c r="A523" s="4">
        <v>520</v>
      </c>
      <c r="B523" s="5" t="s">
        <v>1875</v>
      </c>
      <c r="C523" s="5" t="s">
        <v>1875</v>
      </c>
      <c r="D523" s="5"/>
      <c r="E523" s="5" t="s">
        <v>1884</v>
      </c>
      <c r="F523" s="409">
        <v>45000</v>
      </c>
      <c r="G523" s="408"/>
      <c r="H523" s="240" t="s">
        <v>1885</v>
      </c>
      <c r="I523" s="1" t="s">
        <v>730</v>
      </c>
      <c r="J523" s="1" t="s">
        <v>784</v>
      </c>
      <c r="K523" s="268" t="s">
        <v>794</v>
      </c>
      <c r="L523" s="191" t="s">
        <v>831</v>
      </c>
      <c r="M523" s="1" t="s">
        <v>794</v>
      </c>
      <c r="N523" s="191" t="s">
        <v>831</v>
      </c>
      <c r="P523" s="1" t="s">
        <v>3876</v>
      </c>
      <c r="Q523" t="s">
        <v>4266</v>
      </c>
    </row>
    <row r="524" spans="1:17" s="2" customFormat="1" ht="27.75" customHeight="1">
      <c r="A524" s="4">
        <v>521</v>
      </c>
      <c r="B524" s="5" t="s">
        <v>1886</v>
      </c>
      <c r="C524" s="5" t="s">
        <v>1886</v>
      </c>
      <c r="D524" s="5"/>
      <c r="E524" s="5" t="s">
        <v>1887</v>
      </c>
      <c r="F524" s="408"/>
      <c r="G524" s="409">
        <v>200000</v>
      </c>
      <c r="H524" s="240" t="s">
        <v>1888</v>
      </c>
      <c r="I524" s="1" t="s">
        <v>599</v>
      </c>
      <c r="J524" s="1" t="s">
        <v>786</v>
      </c>
      <c r="K524" s="268"/>
      <c r="L524" s="191"/>
      <c r="M524" s="1"/>
      <c r="N524" s="191" t="s">
        <v>794</v>
      </c>
      <c r="P524" s="1"/>
      <c r="Q524" t="s">
        <v>4297</v>
      </c>
    </row>
    <row r="525" spans="1:17" s="2" customFormat="1" ht="27.75" customHeight="1">
      <c r="A525" s="4">
        <v>522</v>
      </c>
      <c r="B525" s="5" t="s">
        <v>1886</v>
      </c>
      <c r="C525" s="5" t="s">
        <v>1886</v>
      </c>
      <c r="D525" s="5"/>
      <c r="E525" s="5" t="s">
        <v>1889</v>
      </c>
      <c r="F525" s="408"/>
      <c r="G525" s="409">
        <v>100000</v>
      </c>
      <c r="H525" s="240" t="s">
        <v>1890</v>
      </c>
      <c r="I525" s="1" t="s">
        <v>700</v>
      </c>
      <c r="J525" s="1" t="s">
        <v>787</v>
      </c>
      <c r="K525" s="268"/>
      <c r="L525" s="191"/>
      <c r="M525" s="1"/>
      <c r="N525" s="191"/>
      <c r="P525" s="1"/>
      <c r="Q525" t="s">
        <v>4296</v>
      </c>
    </row>
    <row r="526" spans="1:17" s="17" customFormat="1" ht="27.75" customHeight="1">
      <c r="A526" s="4">
        <v>523</v>
      </c>
      <c r="B526" s="13" t="s">
        <v>1886</v>
      </c>
      <c r="C526" s="13" t="s">
        <v>1886</v>
      </c>
      <c r="D526" s="13"/>
      <c r="E526" s="13" t="s">
        <v>1891</v>
      </c>
      <c r="F526" s="411"/>
      <c r="G526" s="412">
        <v>315000</v>
      </c>
      <c r="H526" s="239" t="s">
        <v>1892</v>
      </c>
      <c r="I526" s="16" t="s">
        <v>376</v>
      </c>
      <c r="J526" s="16" t="s">
        <v>336</v>
      </c>
      <c r="K526" s="267" t="s">
        <v>823</v>
      </c>
      <c r="L526" s="193"/>
      <c r="M526" s="1"/>
      <c r="N526" s="191" t="s">
        <v>794</v>
      </c>
      <c r="P526" s="16"/>
      <c r="Q526" t="s">
        <v>4266</v>
      </c>
    </row>
    <row r="527" spans="1:17" s="2" customFormat="1" ht="27.75" customHeight="1">
      <c r="A527" s="4">
        <v>524</v>
      </c>
      <c r="B527" s="5" t="s">
        <v>1886</v>
      </c>
      <c r="C527" s="5" t="s">
        <v>1886</v>
      </c>
      <c r="D527" s="5"/>
      <c r="E527" s="5" t="s">
        <v>1893</v>
      </c>
      <c r="F527" s="408"/>
      <c r="G527" s="409">
        <v>300000</v>
      </c>
      <c r="H527" s="240" t="s">
        <v>1894</v>
      </c>
      <c r="I527" s="1" t="s">
        <v>313</v>
      </c>
      <c r="J527" s="1" t="s">
        <v>312</v>
      </c>
      <c r="K527" s="268"/>
      <c r="L527" s="191"/>
      <c r="M527" s="1"/>
      <c r="N527" s="191" t="s">
        <v>3522</v>
      </c>
      <c r="P527" s="1"/>
      <c r="Q527" t="s">
        <v>4266</v>
      </c>
    </row>
    <row r="528" spans="1:17" s="2" customFormat="1" ht="27.75" customHeight="1">
      <c r="A528" s="4">
        <v>525</v>
      </c>
      <c r="B528" s="5" t="s">
        <v>1886</v>
      </c>
      <c r="C528" s="5" t="s">
        <v>1886</v>
      </c>
      <c r="D528" s="5"/>
      <c r="E528" s="3" t="s">
        <v>1354</v>
      </c>
      <c r="F528" s="409">
        <v>300000</v>
      </c>
      <c r="G528" s="408"/>
      <c r="H528" s="240" t="s">
        <v>1892</v>
      </c>
      <c r="I528" s="1" t="s">
        <v>313</v>
      </c>
      <c r="J528" s="1" t="s">
        <v>739</v>
      </c>
      <c r="K528" s="268" t="s">
        <v>794</v>
      </c>
      <c r="L528" s="191"/>
      <c r="M528" s="1" t="s">
        <v>794</v>
      </c>
      <c r="N528" s="191" t="s">
        <v>3522</v>
      </c>
      <c r="P528" s="1"/>
      <c r="Q528" t="s">
        <v>4266</v>
      </c>
    </row>
    <row r="529" spans="1:17" ht="27.75" customHeight="1">
      <c r="A529" s="622">
        <v>526</v>
      </c>
      <c r="B529" s="614" t="s">
        <v>4520</v>
      </c>
      <c r="C529" s="614" t="s">
        <v>4520</v>
      </c>
      <c r="D529" s="614"/>
      <c r="E529" s="619" t="s">
        <v>1355</v>
      </c>
      <c r="F529" s="626">
        <v>118</v>
      </c>
      <c r="G529" s="627"/>
      <c r="H529" s="630" t="s">
        <v>4521</v>
      </c>
      <c r="I529" s="615" t="s">
        <v>38</v>
      </c>
      <c r="J529" s="615" t="s">
        <v>788</v>
      </c>
      <c r="K529" s="629" t="s">
        <v>794</v>
      </c>
      <c r="L529" s="621"/>
      <c r="M529" s="615" t="s">
        <v>794</v>
      </c>
      <c r="N529" s="621"/>
      <c r="O529" s="612" t="s">
        <v>4261</v>
      </c>
      <c r="P529" s="615"/>
      <c r="Q529" s="612" t="s">
        <v>788</v>
      </c>
    </row>
    <row r="530" spans="1:17" s="2" customFormat="1" ht="27.75" customHeight="1">
      <c r="A530" s="4">
        <v>527</v>
      </c>
      <c r="B530" s="5" t="s">
        <v>1895</v>
      </c>
      <c r="C530" s="5" t="s">
        <v>1895</v>
      </c>
      <c r="D530" s="5"/>
      <c r="E530" s="5" t="s">
        <v>1896</v>
      </c>
      <c r="F530" s="408"/>
      <c r="G530" s="409">
        <v>11000</v>
      </c>
      <c r="H530" s="240" t="s">
        <v>1897</v>
      </c>
      <c r="I530" s="1" t="s">
        <v>789</v>
      </c>
      <c r="J530" s="1" t="s">
        <v>811</v>
      </c>
      <c r="K530" s="268" t="s">
        <v>794</v>
      </c>
      <c r="L530" s="191"/>
      <c r="M530" s="1" t="s">
        <v>794</v>
      </c>
      <c r="N530" s="191" t="s">
        <v>794</v>
      </c>
      <c r="P530" s="1"/>
      <c r="Q530" t="s">
        <v>4266</v>
      </c>
    </row>
    <row r="531" spans="1:17" s="2" customFormat="1" ht="27.75" customHeight="1">
      <c r="A531" s="4">
        <v>528</v>
      </c>
      <c r="B531" s="5" t="s">
        <v>1895</v>
      </c>
      <c r="C531" s="5" t="s">
        <v>1895</v>
      </c>
      <c r="D531" s="5"/>
      <c r="E531" s="5" t="s">
        <v>1898</v>
      </c>
      <c r="F531" s="408"/>
      <c r="G531" s="409">
        <v>10000</v>
      </c>
      <c r="H531" s="240" t="s">
        <v>1899</v>
      </c>
      <c r="I531" s="1" t="s">
        <v>812</v>
      </c>
      <c r="J531" s="1" t="s">
        <v>813</v>
      </c>
      <c r="K531" s="268"/>
      <c r="L531" s="191"/>
      <c r="M531" s="1"/>
      <c r="N531" s="191" t="s">
        <v>3574</v>
      </c>
      <c r="P531" s="1"/>
      <c r="Q531" t="s">
        <v>4266</v>
      </c>
    </row>
    <row r="532" spans="1:17" s="2" customFormat="1" ht="27.75" customHeight="1">
      <c r="A532" s="4">
        <v>529</v>
      </c>
      <c r="B532" s="5" t="s">
        <v>1900</v>
      </c>
      <c r="C532" s="5" t="s">
        <v>1900</v>
      </c>
      <c r="D532" s="5"/>
      <c r="E532" s="5" t="s">
        <v>1901</v>
      </c>
      <c r="F532" s="408"/>
      <c r="G532" s="409">
        <v>5000</v>
      </c>
      <c r="H532" s="240" t="s">
        <v>1902</v>
      </c>
      <c r="I532" s="1" t="s">
        <v>790</v>
      </c>
      <c r="J532" s="1" t="s">
        <v>791</v>
      </c>
      <c r="K532" s="268" t="s">
        <v>830</v>
      </c>
      <c r="L532" s="191"/>
      <c r="M532" s="1" t="s">
        <v>830</v>
      </c>
      <c r="N532" s="191" t="s">
        <v>794</v>
      </c>
      <c r="P532" s="1"/>
      <c r="Q532" t="s">
        <v>4266</v>
      </c>
    </row>
    <row r="533" spans="1:17" s="2" customFormat="1" ht="27.75" customHeight="1">
      <c r="A533" s="4">
        <v>530</v>
      </c>
      <c r="B533" s="5" t="s">
        <v>1900</v>
      </c>
      <c r="C533" s="5" t="s">
        <v>1900</v>
      </c>
      <c r="D533" s="5"/>
      <c r="E533" s="5" t="s">
        <v>1903</v>
      </c>
      <c r="F533" s="408"/>
      <c r="G533" s="409">
        <v>45000</v>
      </c>
      <c r="H533" s="240" t="s">
        <v>1904</v>
      </c>
      <c r="I533" s="1" t="s">
        <v>790</v>
      </c>
      <c r="J533" s="1" t="s">
        <v>151</v>
      </c>
      <c r="K533" s="268"/>
      <c r="L533" s="191"/>
      <c r="M533" s="1"/>
      <c r="N533" s="191" t="s">
        <v>794</v>
      </c>
      <c r="P533" s="1"/>
      <c r="Q533" t="s">
        <v>4266</v>
      </c>
    </row>
    <row r="534" spans="1:17" s="2" customFormat="1" ht="27.75" customHeight="1">
      <c r="A534" s="4">
        <v>531</v>
      </c>
      <c r="B534" s="5" t="s">
        <v>1905</v>
      </c>
      <c r="C534" s="386" t="s">
        <v>4217</v>
      </c>
      <c r="D534" s="386"/>
      <c r="E534" s="385" t="s">
        <v>4210</v>
      </c>
      <c r="F534" s="413">
        <v>806000</v>
      </c>
      <c r="G534" s="414"/>
      <c r="H534" s="240" t="s">
        <v>1906</v>
      </c>
      <c r="I534" s="1" t="s">
        <v>792</v>
      </c>
      <c r="J534" s="1" t="s">
        <v>350</v>
      </c>
      <c r="K534" s="268" t="s">
        <v>827</v>
      </c>
      <c r="L534" s="191"/>
      <c r="M534" s="1" t="s">
        <v>827</v>
      </c>
      <c r="N534" s="191"/>
      <c r="P534" s="1" t="s">
        <v>3838</v>
      </c>
      <c r="Q534" t="s">
        <v>1345</v>
      </c>
    </row>
    <row r="535" spans="1:17" s="2" customFormat="1" ht="27.75" customHeight="1">
      <c r="A535" s="4">
        <v>532</v>
      </c>
      <c r="B535" s="5" t="s">
        <v>1905</v>
      </c>
      <c r="C535" s="386" t="s">
        <v>4217</v>
      </c>
      <c r="D535" s="386"/>
      <c r="E535" s="385" t="s">
        <v>4211</v>
      </c>
      <c r="F535" s="413">
        <v>306000</v>
      </c>
      <c r="G535" s="414"/>
      <c r="H535" s="240" t="s">
        <v>1907</v>
      </c>
      <c r="I535" s="1" t="s">
        <v>356</v>
      </c>
      <c r="J535" s="1" t="s">
        <v>350</v>
      </c>
      <c r="K535" s="268" t="s">
        <v>794</v>
      </c>
      <c r="L535" s="191"/>
      <c r="M535" s="1" t="s">
        <v>794</v>
      </c>
      <c r="N535" s="191"/>
      <c r="P535" s="1"/>
      <c r="Q535" t="s">
        <v>1345</v>
      </c>
    </row>
    <row r="536" spans="1:17" s="2" customFormat="1" ht="27.75" customHeight="1">
      <c r="A536" s="4">
        <v>533</v>
      </c>
      <c r="B536" s="5" t="s">
        <v>1908</v>
      </c>
      <c r="C536" s="5" t="s">
        <v>1909</v>
      </c>
      <c r="D536" s="5"/>
      <c r="E536" s="5" t="s">
        <v>1910</v>
      </c>
      <c r="F536" s="408"/>
      <c r="G536" s="409">
        <v>5000</v>
      </c>
      <c r="H536" s="240" t="s">
        <v>1911</v>
      </c>
      <c r="I536" s="1" t="s">
        <v>815</v>
      </c>
      <c r="J536" s="1" t="s">
        <v>814</v>
      </c>
      <c r="K536" s="268"/>
      <c r="L536" s="191"/>
      <c r="M536" s="1"/>
      <c r="N536" s="191" t="s">
        <v>794</v>
      </c>
      <c r="P536" s="1"/>
      <c r="Q536" t="s">
        <v>4266</v>
      </c>
    </row>
    <row r="537" spans="1:17" s="2" customFormat="1" ht="27.75" customHeight="1">
      <c r="A537" s="4">
        <v>534</v>
      </c>
      <c r="B537" s="5" t="s">
        <v>1908</v>
      </c>
      <c r="C537" s="5" t="s">
        <v>1909</v>
      </c>
      <c r="D537" s="5"/>
      <c r="E537" s="5" t="s">
        <v>1912</v>
      </c>
      <c r="F537" s="408"/>
      <c r="G537" s="423">
        <v>100000</v>
      </c>
      <c r="H537" s="240" t="s">
        <v>1913</v>
      </c>
      <c r="I537" s="1" t="s">
        <v>116</v>
      </c>
      <c r="J537" s="1" t="s">
        <v>697</v>
      </c>
      <c r="K537" s="268"/>
      <c r="L537" s="191"/>
      <c r="M537" s="1"/>
      <c r="N537" s="191" t="s">
        <v>794</v>
      </c>
      <c r="P537" s="1"/>
      <c r="Q537" t="s">
        <v>4298</v>
      </c>
    </row>
    <row r="538" spans="1:17" s="2" customFormat="1" ht="27.75" customHeight="1">
      <c r="A538" s="4">
        <v>535</v>
      </c>
      <c r="B538" s="5" t="s">
        <v>1914</v>
      </c>
      <c r="C538" s="5" t="s">
        <v>1914</v>
      </c>
      <c r="D538" s="5"/>
      <c r="E538" s="5" t="s">
        <v>1915</v>
      </c>
      <c r="F538" s="408"/>
      <c r="G538" s="409">
        <v>391000</v>
      </c>
      <c r="H538" s="240" t="s">
        <v>1916</v>
      </c>
      <c r="I538" s="1" t="s">
        <v>137</v>
      </c>
      <c r="J538" s="1" t="s">
        <v>809</v>
      </c>
      <c r="K538" s="268" t="s">
        <v>823</v>
      </c>
      <c r="L538" s="191"/>
      <c r="M538" s="1" t="s">
        <v>823</v>
      </c>
      <c r="N538" s="191" t="s">
        <v>794</v>
      </c>
      <c r="P538" s="1" t="s">
        <v>3899</v>
      </c>
      <c r="Q538" t="s">
        <v>4266</v>
      </c>
    </row>
    <row r="539" spans="1:17" ht="27.75" customHeight="1">
      <c r="A539" s="622">
        <v>536</v>
      </c>
      <c r="B539" s="614" t="s">
        <v>4522</v>
      </c>
      <c r="C539" s="614" t="s">
        <v>4522</v>
      </c>
      <c r="D539" s="614"/>
      <c r="E539" s="614" t="s">
        <v>4523</v>
      </c>
      <c r="F539" s="626">
        <v>700000</v>
      </c>
      <c r="G539" s="627"/>
      <c r="H539" s="630" t="s">
        <v>4524</v>
      </c>
      <c r="I539" s="615" t="s">
        <v>793</v>
      </c>
      <c r="J539" s="615" t="s">
        <v>794</v>
      </c>
      <c r="K539" s="629"/>
      <c r="L539" s="621"/>
      <c r="M539" s="615"/>
      <c r="N539" s="621"/>
      <c r="P539" s="615"/>
      <c r="Q539" s="612" t="s">
        <v>4294</v>
      </c>
    </row>
    <row r="540" spans="1:17" s="2" customFormat="1" ht="27.75" customHeight="1">
      <c r="A540" s="4">
        <v>537</v>
      </c>
      <c r="B540" s="5" t="s">
        <v>1917</v>
      </c>
      <c r="C540" s="5" t="s">
        <v>1917</v>
      </c>
      <c r="D540" s="5"/>
      <c r="E540" s="5" t="s">
        <v>1918</v>
      </c>
      <c r="F540" s="408"/>
      <c r="G540" s="409">
        <v>128000</v>
      </c>
      <c r="H540" s="240" t="s">
        <v>1919</v>
      </c>
      <c r="I540" s="1" t="s">
        <v>373</v>
      </c>
      <c r="J540" s="1" t="s">
        <v>795</v>
      </c>
      <c r="K540" s="268"/>
      <c r="L540" s="191"/>
      <c r="M540" s="1"/>
      <c r="N540" s="191" t="s">
        <v>794</v>
      </c>
      <c r="P540" s="1"/>
      <c r="Q540" t="s">
        <v>4266</v>
      </c>
    </row>
    <row r="541" spans="1:17" s="2" customFormat="1" ht="27.75" customHeight="1">
      <c r="A541" s="4">
        <v>538</v>
      </c>
      <c r="B541" s="5" t="s">
        <v>1920</v>
      </c>
      <c r="C541" s="5" t="s">
        <v>1920</v>
      </c>
      <c r="D541" s="5"/>
      <c r="E541" s="5" t="s">
        <v>1921</v>
      </c>
      <c r="F541" s="408"/>
      <c r="G541" s="409">
        <v>10000</v>
      </c>
      <c r="H541" s="240" t="s">
        <v>1922</v>
      </c>
      <c r="I541" s="1" t="s">
        <v>99</v>
      </c>
      <c r="J541" s="1" t="s">
        <v>816</v>
      </c>
      <c r="K541" s="268"/>
      <c r="L541" s="191"/>
      <c r="M541" s="1"/>
      <c r="N541" s="191" t="s">
        <v>3507</v>
      </c>
      <c r="P541" s="1"/>
      <c r="Q541" t="s">
        <v>4266</v>
      </c>
    </row>
    <row r="542" spans="1:17" s="2" customFormat="1" ht="27.75" customHeight="1">
      <c r="A542" s="4">
        <v>539</v>
      </c>
      <c r="B542" s="5" t="s">
        <v>1923</v>
      </c>
      <c r="C542" s="5" t="s">
        <v>1924</v>
      </c>
      <c r="D542" s="5"/>
      <c r="E542" s="5" t="s">
        <v>1925</v>
      </c>
      <c r="F542" s="408"/>
      <c r="G542" s="409">
        <v>30000</v>
      </c>
      <c r="H542" s="240" t="s">
        <v>1926</v>
      </c>
      <c r="I542" s="1" t="s">
        <v>147</v>
      </c>
      <c r="J542" s="1" t="s">
        <v>697</v>
      </c>
      <c r="K542" s="268"/>
      <c r="L542" s="191"/>
      <c r="M542" s="1"/>
      <c r="N542" s="191" t="s">
        <v>794</v>
      </c>
      <c r="P542" s="1"/>
      <c r="Q542" t="s">
        <v>4289</v>
      </c>
    </row>
    <row r="543" spans="1:17" s="2" customFormat="1" ht="27.75" customHeight="1">
      <c r="A543" s="4">
        <v>540</v>
      </c>
      <c r="B543" s="5" t="s">
        <v>1923</v>
      </c>
      <c r="C543" s="5" t="s">
        <v>1924</v>
      </c>
      <c r="D543" s="5"/>
      <c r="E543" s="5" t="s">
        <v>1927</v>
      </c>
      <c r="F543" s="408"/>
      <c r="G543" s="409">
        <v>40000</v>
      </c>
      <c r="H543" s="240" t="s">
        <v>1928</v>
      </c>
      <c r="I543" s="1" t="s">
        <v>147</v>
      </c>
      <c r="J543" s="1" t="s">
        <v>697</v>
      </c>
      <c r="K543" s="268"/>
      <c r="L543" s="191"/>
      <c r="M543" s="1"/>
      <c r="N543" s="191" t="s">
        <v>794</v>
      </c>
      <c r="P543" s="1"/>
      <c r="Q543" t="s">
        <v>4289</v>
      </c>
    </row>
    <row r="544" spans="1:17" s="2" customFormat="1" ht="27.75" customHeight="1">
      <c r="A544" s="4">
        <v>541</v>
      </c>
      <c r="B544" s="5" t="s">
        <v>1923</v>
      </c>
      <c r="C544" s="5" t="s">
        <v>1924</v>
      </c>
      <c r="D544" s="5"/>
      <c r="E544" s="5" t="s">
        <v>1929</v>
      </c>
      <c r="F544" s="408"/>
      <c r="G544" s="409">
        <v>30000</v>
      </c>
      <c r="H544" s="240" t="s">
        <v>1930</v>
      </c>
      <c r="I544" s="1" t="s">
        <v>147</v>
      </c>
      <c r="J544" s="1" t="s">
        <v>697</v>
      </c>
      <c r="K544" s="268"/>
      <c r="L544" s="191"/>
      <c r="M544" s="1"/>
      <c r="N544" s="191" t="s">
        <v>794</v>
      </c>
      <c r="P544" s="1"/>
      <c r="Q544" t="s">
        <v>4289</v>
      </c>
    </row>
    <row r="545" spans="1:17" s="2" customFormat="1" ht="27.75" customHeight="1">
      <c r="A545" s="4">
        <v>542</v>
      </c>
      <c r="B545" s="5" t="s">
        <v>1923</v>
      </c>
      <c r="C545" s="5" t="s">
        <v>1924</v>
      </c>
      <c r="D545" s="5"/>
      <c r="E545" s="5" t="s">
        <v>1931</v>
      </c>
      <c r="F545" s="408"/>
      <c r="G545" s="409">
        <v>1</v>
      </c>
      <c r="H545" s="240" t="s">
        <v>1932</v>
      </c>
      <c r="I545" s="1" t="s">
        <v>796</v>
      </c>
      <c r="J545" s="1" t="s">
        <v>876</v>
      </c>
      <c r="K545" s="268"/>
      <c r="L545" s="191"/>
      <c r="M545" s="1"/>
      <c r="N545" s="191" t="s">
        <v>794</v>
      </c>
      <c r="P545" s="1"/>
      <c r="Q545" t="s">
        <v>4266</v>
      </c>
    </row>
    <row r="546" spans="1:17" s="2" customFormat="1" ht="27.75" customHeight="1">
      <c r="A546" s="4">
        <v>543</v>
      </c>
      <c r="B546" s="5" t="s">
        <v>1923</v>
      </c>
      <c r="C546" s="5" t="s">
        <v>1924</v>
      </c>
      <c r="D546" s="5"/>
      <c r="E546" s="5" t="s">
        <v>1933</v>
      </c>
      <c r="F546" s="409">
        <v>150000</v>
      </c>
      <c r="G546" s="408"/>
      <c r="H546" s="240" t="s">
        <v>1934</v>
      </c>
      <c r="I546" s="1" t="s">
        <v>2</v>
      </c>
      <c r="J546" s="1" t="s">
        <v>603</v>
      </c>
      <c r="K546" s="268"/>
      <c r="L546" s="191"/>
      <c r="M546" s="1"/>
      <c r="N546" s="191"/>
      <c r="P546" s="1"/>
      <c r="Q546" t="s">
        <v>4285</v>
      </c>
    </row>
    <row r="547" spans="1:17" s="2" customFormat="1" ht="27.75" customHeight="1">
      <c r="A547" s="4">
        <v>544</v>
      </c>
      <c r="B547" s="5" t="s">
        <v>1924</v>
      </c>
      <c r="C547" s="5" t="s">
        <v>1924</v>
      </c>
      <c r="D547" s="5"/>
      <c r="E547" s="5" t="s">
        <v>1935</v>
      </c>
      <c r="F547" s="409">
        <v>20000</v>
      </c>
      <c r="G547" s="408"/>
      <c r="H547" s="240" t="s">
        <v>1936</v>
      </c>
      <c r="I547" s="1" t="s">
        <v>715</v>
      </c>
      <c r="J547" s="1" t="s">
        <v>603</v>
      </c>
      <c r="K547" s="268"/>
      <c r="L547" s="191"/>
      <c r="M547" s="1"/>
      <c r="N547" s="191"/>
      <c r="P547" s="1"/>
      <c r="Q547" t="s">
        <v>4285</v>
      </c>
    </row>
    <row r="548" spans="1:17" s="2" customFormat="1" ht="27.75" customHeight="1">
      <c r="A548" s="4">
        <v>545</v>
      </c>
      <c r="B548" s="5" t="s">
        <v>1924</v>
      </c>
      <c r="C548" s="5" t="s">
        <v>1924</v>
      </c>
      <c r="D548" s="5"/>
      <c r="E548" s="5" t="s">
        <v>1937</v>
      </c>
      <c r="F548" s="408"/>
      <c r="G548" s="409">
        <v>99000</v>
      </c>
      <c r="H548" s="240" t="s">
        <v>1938</v>
      </c>
      <c r="I548" s="1" t="s">
        <v>796</v>
      </c>
      <c r="J548" s="1" t="s">
        <v>3130</v>
      </c>
      <c r="K548" s="268"/>
      <c r="L548" s="191"/>
      <c r="M548" s="1"/>
      <c r="N548" s="191" t="s">
        <v>794</v>
      </c>
      <c r="P548" s="1"/>
      <c r="Q548" t="s">
        <v>4266</v>
      </c>
    </row>
    <row r="549" spans="1:17" s="2" customFormat="1" ht="27.75" customHeight="1">
      <c r="A549" s="4">
        <v>546</v>
      </c>
      <c r="B549" s="5" t="s">
        <v>1924</v>
      </c>
      <c r="C549" s="5" t="s">
        <v>1924</v>
      </c>
      <c r="D549" s="5"/>
      <c r="E549" s="5" t="s">
        <v>1939</v>
      </c>
      <c r="F549" s="408"/>
      <c r="G549" s="409">
        <v>100000</v>
      </c>
      <c r="H549" s="240" t="s">
        <v>1940</v>
      </c>
      <c r="I549" s="1" t="s">
        <v>796</v>
      </c>
      <c r="J549" s="1" t="s">
        <v>3130</v>
      </c>
      <c r="K549" s="268"/>
      <c r="L549" s="191"/>
      <c r="M549" s="1"/>
      <c r="N549" s="191" t="s">
        <v>794</v>
      </c>
      <c r="P549" s="1"/>
      <c r="Q549" t="s">
        <v>4266</v>
      </c>
    </row>
    <row r="550" spans="1:17" s="2" customFormat="1" ht="27.75" customHeight="1">
      <c r="A550" s="4">
        <v>547</v>
      </c>
      <c r="B550" s="5" t="s">
        <v>1941</v>
      </c>
      <c r="C550" s="5" t="s">
        <v>1941</v>
      </c>
      <c r="D550" s="5"/>
      <c r="E550" s="5" t="s">
        <v>1942</v>
      </c>
      <c r="F550" s="408"/>
      <c r="G550" s="409">
        <v>30000</v>
      </c>
      <c r="H550" s="240" t="s">
        <v>1943</v>
      </c>
      <c r="I550" s="1" t="s">
        <v>147</v>
      </c>
      <c r="J550" s="1" t="s">
        <v>697</v>
      </c>
      <c r="K550" s="268"/>
      <c r="L550" s="191"/>
      <c r="M550" s="1"/>
      <c r="N550" s="191" t="s">
        <v>794</v>
      </c>
      <c r="P550" s="1"/>
      <c r="Q550" t="s">
        <v>4289</v>
      </c>
    </row>
    <row r="551" spans="1:17" s="2" customFormat="1" ht="27.75" customHeight="1">
      <c r="A551" s="4">
        <v>548</v>
      </c>
      <c r="B551" s="5" t="s">
        <v>1941</v>
      </c>
      <c r="C551" s="5" t="s">
        <v>1941</v>
      </c>
      <c r="D551" s="5"/>
      <c r="E551" s="5" t="s">
        <v>1944</v>
      </c>
      <c r="F551" s="408"/>
      <c r="G551" s="409">
        <v>40000</v>
      </c>
      <c r="H551" s="240" t="s">
        <v>1945</v>
      </c>
      <c r="I551" s="1" t="s">
        <v>147</v>
      </c>
      <c r="J551" s="1" t="s">
        <v>697</v>
      </c>
      <c r="K551" s="268"/>
      <c r="L551" s="191"/>
      <c r="M551" s="1"/>
      <c r="N551" s="191" t="s">
        <v>794</v>
      </c>
      <c r="P551" s="1"/>
      <c r="Q551" t="s">
        <v>4289</v>
      </c>
    </row>
    <row r="552" spans="1:17" s="2" customFormat="1" ht="27.75" customHeight="1">
      <c r="A552" s="4">
        <v>549</v>
      </c>
      <c r="B552" s="5" t="s">
        <v>1941</v>
      </c>
      <c r="C552" s="5" t="s">
        <v>1941</v>
      </c>
      <c r="D552" s="5"/>
      <c r="E552" s="5" t="s">
        <v>1946</v>
      </c>
      <c r="F552" s="408"/>
      <c r="G552" s="409">
        <v>30000</v>
      </c>
      <c r="H552" s="240" t="s">
        <v>1947</v>
      </c>
      <c r="I552" s="1" t="s">
        <v>147</v>
      </c>
      <c r="J552" s="1" t="s">
        <v>697</v>
      </c>
      <c r="K552" s="268"/>
      <c r="L552" s="191"/>
      <c r="M552" s="1"/>
      <c r="N552" s="191" t="s">
        <v>794</v>
      </c>
      <c r="P552" s="1"/>
      <c r="Q552" t="s">
        <v>4289</v>
      </c>
    </row>
    <row r="553" spans="1:17" s="2" customFormat="1" ht="27.75" customHeight="1">
      <c r="A553" s="4">
        <v>550</v>
      </c>
      <c r="B553" s="5" t="s">
        <v>1941</v>
      </c>
      <c r="C553" s="5" t="s">
        <v>1941</v>
      </c>
      <c r="D553" s="5"/>
      <c r="E553" s="5" t="s">
        <v>1948</v>
      </c>
      <c r="F553" s="408"/>
      <c r="G553" s="409">
        <v>80000</v>
      </c>
      <c r="H553" s="240" t="s">
        <v>1949</v>
      </c>
      <c r="I553" s="1" t="s">
        <v>800</v>
      </c>
      <c r="J553" s="1" t="s">
        <v>3130</v>
      </c>
      <c r="K553" s="268"/>
      <c r="L553" s="191"/>
      <c r="M553" s="1"/>
      <c r="N553" s="191" t="s">
        <v>794</v>
      </c>
      <c r="P553" s="1"/>
      <c r="Q553" t="s">
        <v>4266</v>
      </c>
    </row>
    <row r="554" spans="1:17" s="2" customFormat="1" ht="27.75" customHeight="1">
      <c r="A554" s="4">
        <v>551</v>
      </c>
      <c r="B554" s="5" t="s">
        <v>1941</v>
      </c>
      <c r="C554" s="5" t="s">
        <v>1941</v>
      </c>
      <c r="D554" s="5"/>
      <c r="E554" s="5" t="s">
        <v>1950</v>
      </c>
      <c r="F554" s="408"/>
      <c r="G554" s="409">
        <v>51000</v>
      </c>
      <c r="H554" s="240" t="s">
        <v>1951</v>
      </c>
      <c r="I554" s="1" t="s">
        <v>796</v>
      </c>
      <c r="J554" s="1" t="s">
        <v>3130</v>
      </c>
      <c r="K554" s="268"/>
      <c r="L554" s="191"/>
      <c r="M554" s="1"/>
      <c r="N554" s="191" t="s">
        <v>794</v>
      </c>
      <c r="P554" s="1"/>
      <c r="Q554" t="s">
        <v>4266</v>
      </c>
    </row>
    <row r="555" spans="1:17" s="2" customFormat="1" ht="27.75" customHeight="1">
      <c r="A555" s="4">
        <v>552</v>
      </c>
      <c r="B555" s="5" t="s">
        <v>1952</v>
      </c>
      <c r="C555" s="5" t="s">
        <v>1952</v>
      </c>
      <c r="D555" s="5"/>
      <c r="E555" s="5" t="s">
        <v>1953</v>
      </c>
      <c r="F555" s="408"/>
      <c r="G555" s="409">
        <v>200000</v>
      </c>
      <c r="H555" s="240" t="s">
        <v>1954</v>
      </c>
      <c r="I555" s="1" t="s">
        <v>797</v>
      </c>
      <c r="J555" s="1" t="s">
        <v>799</v>
      </c>
      <c r="K555" s="268" t="s">
        <v>823</v>
      </c>
      <c r="L555" s="191"/>
      <c r="M555" s="1" t="s">
        <v>823</v>
      </c>
      <c r="N555" s="191" t="s">
        <v>3523</v>
      </c>
      <c r="P555" s="1"/>
      <c r="Q555" t="s">
        <v>4266</v>
      </c>
    </row>
    <row r="556" spans="1:17" s="2" customFormat="1" ht="27.75" customHeight="1">
      <c r="A556" s="4">
        <v>553</v>
      </c>
      <c r="B556" s="5" t="s">
        <v>1952</v>
      </c>
      <c r="C556" s="5" t="s">
        <v>1952</v>
      </c>
      <c r="D556" s="5"/>
      <c r="E556" s="5" t="s">
        <v>1955</v>
      </c>
      <c r="F556" s="408"/>
      <c r="G556" s="409">
        <v>50000</v>
      </c>
      <c r="H556" s="240" t="s">
        <v>1956</v>
      </c>
      <c r="I556" s="1" t="s">
        <v>790</v>
      </c>
      <c r="J556" s="1" t="s">
        <v>791</v>
      </c>
      <c r="K556" s="268"/>
      <c r="L556" s="191"/>
      <c r="M556" s="1"/>
      <c r="N556" s="191" t="s">
        <v>794</v>
      </c>
      <c r="P556" s="1"/>
      <c r="Q556" t="s">
        <v>4266</v>
      </c>
    </row>
    <row r="557" spans="1:17" s="2" customFormat="1" ht="27.75" customHeight="1">
      <c r="A557" s="4">
        <v>554</v>
      </c>
      <c r="B557" s="5" t="s">
        <v>1952</v>
      </c>
      <c r="C557" s="5" t="s">
        <v>1952</v>
      </c>
      <c r="D557" s="5"/>
      <c r="E557" s="5" t="s">
        <v>1957</v>
      </c>
      <c r="F557" s="408"/>
      <c r="G557" s="409">
        <v>50000</v>
      </c>
      <c r="H557" s="240" t="s">
        <v>1958</v>
      </c>
      <c r="I557" s="1" t="s">
        <v>801</v>
      </c>
      <c r="J557" s="1" t="s">
        <v>151</v>
      </c>
      <c r="K557" s="268"/>
      <c r="L557" s="191"/>
      <c r="M557" s="1"/>
      <c r="N557" s="191" t="s">
        <v>794</v>
      </c>
      <c r="P557" s="1"/>
      <c r="Q557" t="s">
        <v>4266</v>
      </c>
    </row>
    <row r="558" spans="1:17" s="2" customFormat="1" ht="27.75" customHeight="1">
      <c r="A558" s="4">
        <v>555</v>
      </c>
      <c r="B558" s="5" t="s">
        <v>1952</v>
      </c>
      <c r="C558" s="5" t="s">
        <v>1952</v>
      </c>
      <c r="D558" s="5"/>
      <c r="E558" s="3" t="s">
        <v>1356</v>
      </c>
      <c r="F558" s="408"/>
      <c r="G558" s="409">
        <v>25000</v>
      </c>
      <c r="H558" s="240" t="s">
        <v>1959</v>
      </c>
      <c r="I558" s="1" t="s">
        <v>790</v>
      </c>
      <c r="J558" s="1" t="s">
        <v>791</v>
      </c>
      <c r="K558" s="268"/>
      <c r="L558" s="191"/>
      <c r="M558" s="1"/>
      <c r="N558" s="191" t="s">
        <v>794</v>
      </c>
      <c r="P558" s="1"/>
      <c r="Q558" t="s">
        <v>4266</v>
      </c>
    </row>
    <row r="559" spans="1:17" s="2" customFormat="1" ht="27.75" customHeight="1">
      <c r="A559" s="4">
        <v>556</v>
      </c>
      <c r="B559" s="5" t="s">
        <v>1952</v>
      </c>
      <c r="C559" s="5" t="s">
        <v>1952</v>
      </c>
      <c r="D559" s="5"/>
      <c r="E559" s="5" t="s">
        <v>1960</v>
      </c>
      <c r="F559" s="408"/>
      <c r="G559" s="409">
        <v>50000</v>
      </c>
      <c r="H559" s="240" t="s">
        <v>1961</v>
      </c>
      <c r="I559" s="1" t="s">
        <v>801</v>
      </c>
      <c r="J559" s="1" t="s">
        <v>151</v>
      </c>
      <c r="K559" s="268" t="s">
        <v>830</v>
      </c>
      <c r="L559" s="191"/>
      <c r="M559" s="1" t="s">
        <v>830</v>
      </c>
      <c r="N559" s="191" t="s">
        <v>794</v>
      </c>
      <c r="P559" s="1"/>
      <c r="Q559" t="s">
        <v>4266</v>
      </c>
    </row>
    <row r="560" spans="1:17" s="2" customFormat="1" ht="27.75" customHeight="1">
      <c r="A560" s="4">
        <v>557</v>
      </c>
      <c r="B560" s="5" t="s">
        <v>1952</v>
      </c>
      <c r="C560" s="5" t="s">
        <v>1952</v>
      </c>
      <c r="D560" s="5"/>
      <c r="E560" s="5" t="s">
        <v>1962</v>
      </c>
      <c r="F560" s="408"/>
      <c r="G560" s="409">
        <v>25000</v>
      </c>
      <c r="H560" s="240" t="s">
        <v>1963</v>
      </c>
      <c r="I560" s="1" t="s">
        <v>798</v>
      </c>
      <c r="J560" s="1" t="s">
        <v>151</v>
      </c>
      <c r="K560" s="268" t="s">
        <v>823</v>
      </c>
      <c r="L560" s="191"/>
      <c r="M560" s="1" t="s">
        <v>823</v>
      </c>
      <c r="N560" s="191" t="s">
        <v>794</v>
      </c>
      <c r="P560" s="1"/>
      <c r="Q560" t="s">
        <v>4266</v>
      </c>
    </row>
    <row r="561" spans="1:17" ht="27.75" customHeight="1">
      <c r="A561" s="622">
        <v>558</v>
      </c>
      <c r="B561" s="614" t="s">
        <v>4525</v>
      </c>
      <c r="C561" s="614" t="s">
        <v>4436</v>
      </c>
      <c r="D561" s="614"/>
      <c r="E561" s="614" t="s">
        <v>4526</v>
      </c>
      <c r="F561" s="626">
        <v>213500</v>
      </c>
      <c r="G561" s="627"/>
      <c r="H561" s="630" t="s">
        <v>4527</v>
      </c>
      <c r="I561" s="615" t="s">
        <v>713</v>
      </c>
      <c r="J561" s="615" t="s">
        <v>794</v>
      </c>
      <c r="K561" s="629"/>
      <c r="L561" s="621"/>
      <c r="M561" s="615"/>
      <c r="N561" s="621"/>
      <c r="P561" s="615" t="s">
        <v>3838</v>
      </c>
      <c r="Q561" s="612" t="s">
        <v>4283</v>
      </c>
    </row>
    <row r="562" spans="1:17" s="2" customFormat="1" ht="27.75" customHeight="1">
      <c r="A562" s="4">
        <v>559</v>
      </c>
      <c r="B562" s="5" t="s">
        <v>1964</v>
      </c>
      <c r="C562" s="5" t="s">
        <v>1965</v>
      </c>
      <c r="D562" s="5"/>
      <c r="E562" s="5" t="s">
        <v>1966</v>
      </c>
      <c r="F562" s="409">
        <v>100000</v>
      </c>
      <c r="G562" s="408"/>
      <c r="H562" s="240" t="s">
        <v>1967</v>
      </c>
      <c r="I562" s="1" t="s">
        <v>4</v>
      </c>
      <c r="J562" s="1" t="s">
        <v>603</v>
      </c>
      <c r="K562" s="268"/>
      <c r="L562" s="191"/>
      <c r="M562" s="1"/>
      <c r="N562" s="191"/>
      <c r="P562" s="1"/>
      <c r="Q562" t="s">
        <v>4285</v>
      </c>
    </row>
    <row r="563" spans="1:17" s="2" customFormat="1" ht="27.75" customHeight="1">
      <c r="A563" s="4">
        <v>560</v>
      </c>
      <c r="B563" s="5" t="s">
        <v>1964</v>
      </c>
      <c r="C563" s="5" t="s">
        <v>1965</v>
      </c>
      <c r="D563" s="5"/>
      <c r="E563" s="5" t="s">
        <v>1968</v>
      </c>
      <c r="F563" s="409">
        <v>30000</v>
      </c>
      <c r="G563" s="408"/>
      <c r="H563" s="240" t="s">
        <v>1969</v>
      </c>
      <c r="I563" s="1" t="s">
        <v>149</v>
      </c>
      <c r="J563" s="1" t="s">
        <v>603</v>
      </c>
      <c r="K563" s="268"/>
      <c r="L563" s="191"/>
      <c r="M563" s="1"/>
      <c r="N563" s="191"/>
      <c r="P563" s="1"/>
      <c r="Q563" t="s">
        <v>4285</v>
      </c>
    </row>
    <row r="564" spans="1:17" s="17" customFormat="1" ht="27.75" customHeight="1">
      <c r="A564" s="4">
        <v>561</v>
      </c>
      <c r="B564" s="13" t="s">
        <v>1970</v>
      </c>
      <c r="C564" s="13" t="s">
        <v>1965</v>
      </c>
      <c r="D564" s="13"/>
      <c r="E564" s="13" t="s">
        <v>1971</v>
      </c>
      <c r="F564" s="408"/>
      <c r="G564" s="409">
        <v>5000</v>
      </c>
      <c r="H564" s="239" t="s">
        <v>1972</v>
      </c>
      <c r="I564" s="16" t="s">
        <v>819</v>
      </c>
      <c r="J564" s="16" t="s">
        <v>746</v>
      </c>
      <c r="K564" s="267"/>
      <c r="L564" s="193"/>
      <c r="M564" s="1"/>
      <c r="N564" s="191" t="s">
        <v>3524</v>
      </c>
      <c r="P564" s="16" t="s">
        <v>3864</v>
      </c>
      <c r="Q564" t="s">
        <v>4266</v>
      </c>
    </row>
    <row r="565" spans="1:17" ht="27.75" customHeight="1">
      <c r="A565" s="622">
        <v>562</v>
      </c>
      <c r="B565" s="614" t="s">
        <v>4436</v>
      </c>
      <c r="C565" s="614" t="s">
        <v>4436</v>
      </c>
      <c r="D565" s="614"/>
      <c r="E565" s="614" t="s">
        <v>4528</v>
      </c>
      <c r="F565" s="627"/>
      <c r="G565" s="626">
        <v>700000</v>
      </c>
      <c r="H565" s="630" t="s">
        <v>4529</v>
      </c>
      <c r="I565" s="615" t="s">
        <v>793</v>
      </c>
      <c r="J565" s="615" t="s">
        <v>787</v>
      </c>
      <c r="K565" s="629"/>
      <c r="L565" s="621"/>
      <c r="M565" s="615"/>
      <c r="N565" s="621"/>
      <c r="P565" s="615"/>
      <c r="Q565" s="612" t="s">
        <v>4294</v>
      </c>
    </row>
    <row r="566" spans="1:17" ht="27.75" customHeight="1">
      <c r="A566" s="622">
        <v>563</v>
      </c>
      <c r="B566" s="614" t="s">
        <v>4436</v>
      </c>
      <c r="C566" s="614" t="s">
        <v>4436</v>
      </c>
      <c r="D566" s="614"/>
      <c r="E566" s="614" t="s">
        <v>4530</v>
      </c>
      <c r="F566" s="627"/>
      <c r="G566" s="626">
        <v>63000</v>
      </c>
      <c r="H566" s="630" t="s">
        <v>4531</v>
      </c>
      <c r="I566" s="615" t="s">
        <v>820</v>
      </c>
      <c r="J566" s="615" t="s">
        <v>821</v>
      </c>
      <c r="K566" s="629" t="s">
        <v>823</v>
      </c>
      <c r="L566" s="621"/>
      <c r="M566" s="615" t="s">
        <v>823</v>
      </c>
      <c r="N566" s="621" t="s">
        <v>822</v>
      </c>
      <c r="O566" s="612" t="s">
        <v>4261</v>
      </c>
      <c r="P566" s="615" t="s">
        <v>3856</v>
      </c>
      <c r="Q566" s="612" t="s">
        <v>821</v>
      </c>
    </row>
    <row r="567" spans="1:17" s="17" customFormat="1" ht="27.75" customHeight="1">
      <c r="A567" s="4">
        <v>564</v>
      </c>
      <c r="B567" s="13" t="s">
        <v>1965</v>
      </c>
      <c r="C567" s="13" t="s">
        <v>1965</v>
      </c>
      <c r="D567" s="13"/>
      <c r="E567" s="13" t="s">
        <v>1973</v>
      </c>
      <c r="F567" s="412">
        <v>797501</v>
      </c>
      <c r="G567" s="411"/>
      <c r="H567" s="239" t="s">
        <v>1974</v>
      </c>
      <c r="I567" s="16" t="s">
        <v>776</v>
      </c>
      <c r="J567" s="16" t="s">
        <v>802</v>
      </c>
      <c r="K567" s="267" t="s">
        <v>794</v>
      </c>
      <c r="L567" s="193"/>
      <c r="M567" s="1" t="s">
        <v>794</v>
      </c>
      <c r="N567" s="191" t="s">
        <v>3525</v>
      </c>
      <c r="P567" s="16"/>
      <c r="Q567" t="s">
        <v>4266</v>
      </c>
    </row>
    <row r="568" spans="1:17" ht="27.75" customHeight="1">
      <c r="A568" s="622">
        <v>565</v>
      </c>
      <c r="B568" s="614" t="s">
        <v>4436</v>
      </c>
      <c r="C568" s="614" t="s">
        <v>4436</v>
      </c>
      <c r="D568" s="614"/>
      <c r="E568" s="614" t="s">
        <v>4532</v>
      </c>
      <c r="F568" s="626">
        <v>295618</v>
      </c>
      <c r="G568" s="627"/>
      <c r="H568" s="630" t="s">
        <v>4533</v>
      </c>
      <c r="I568" s="615" t="s">
        <v>345</v>
      </c>
      <c r="J568" s="615" t="s">
        <v>803</v>
      </c>
      <c r="K568" s="629" t="s">
        <v>794</v>
      </c>
      <c r="L568" s="621"/>
      <c r="M568" s="615" t="s">
        <v>794</v>
      </c>
      <c r="N568" s="621"/>
      <c r="O568" s="612" t="s">
        <v>4261</v>
      </c>
      <c r="P568" s="615"/>
      <c r="Q568" s="612" t="s">
        <v>4280</v>
      </c>
    </row>
    <row r="569" spans="1:17" ht="27.75" customHeight="1">
      <c r="A569" s="622">
        <v>566</v>
      </c>
      <c r="B569" s="614" t="s">
        <v>4436</v>
      </c>
      <c r="C569" s="614" t="s">
        <v>4436</v>
      </c>
      <c r="D569" s="614"/>
      <c r="E569" s="614" t="s">
        <v>4437</v>
      </c>
      <c r="F569" s="626">
        <v>30000</v>
      </c>
      <c r="G569" s="627"/>
      <c r="H569" s="630" t="s">
        <v>4438</v>
      </c>
      <c r="I569" s="615" t="s">
        <v>3253</v>
      </c>
      <c r="J569" s="615" t="s">
        <v>603</v>
      </c>
      <c r="K569" s="629"/>
      <c r="L569" s="621"/>
      <c r="M569" s="615"/>
      <c r="N569" s="621"/>
      <c r="P569" s="615"/>
      <c r="Q569" s="612" t="s">
        <v>4286</v>
      </c>
    </row>
    <row r="570" spans="1:17" ht="27.75" customHeight="1">
      <c r="A570" s="622">
        <v>567</v>
      </c>
      <c r="B570" s="614" t="s">
        <v>4436</v>
      </c>
      <c r="C570" s="614" t="s">
        <v>4436</v>
      </c>
      <c r="D570" s="614"/>
      <c r="E570" s="614" t="s">
        <v>4534</v>
      </c>
      <c r="F570" s="626">
        <v>50000</v>
      </c>
      <c r="G570" s="627"/>
      <c r="H570" s="630" t="s">
        <v>4535</v>
      </c>
      <c r="I570" s="615" t="s">
        <v>614</v>
      </c>
      <c r="J570" s="615" t="s">
        <v>597</v>
      </c>
      <c r="K570" s="629" t="s">
        <v>794</v>
      </c>
      <c r="L570" s="621"/>
      <c r="M570" s="615" t="s">
        <v>794</v>
      </c>
      <c r="N570" s="621"/>
      <c r="O570" s="612" t="s">
        <v>4261</v>
      </c>
      <c r="P570" s="615" t="s">
        <v>3838</v>
      </c>
      <c r="Q570" s="612" t="s">
        <v>821</v>
      </c>
    </row>
    <row r="571" spans="1:17" s="2" customFormat="1" ht="27.75" customHeight="1">
      <c r="A571" s="4">
        <v>568</v>
      </c>
      <c r="B571" s="5" t="s">
        <v>1975</v>
      </c>
      <c r="C571" s="5" t="s">
        <v>1975</v>
      </c>
      <c r="D571" s="5"/>
      <c r="E571" s="5" t="s">
        <v>1976</v>
      </c>
      <c r="F571" s="408"/>
      <c r="G571" s="409">
        <v>10000</v>
      </c>
      <c r="H571" s="240" t="s">
        <v>1977</v>
      </c>
      <c r="I571" s="1" t="s">
        <v>817</v>
      </c>
      <c r="J571" s="1" t="s">
        <v>808</v>
      </c>
      <c r="K571" s="268" t="s">
        <v>822</v>
      </c>
      <c r="L571" s="191"/>
      <c r="M571" s="1" t="s">
        <v>822</v>
      </c>
      <c r="N571" s="191" t="s">
        <v>3526</v>
      </c>
      <c r="P571" s="1"/>
      <c r="Q571" t="s">
        <v>4266</v>
      </c>
    </row>
    <row r="572" spans="1:17" s="2" customFormat="1" ht="27.75" customHeight="1">
      <c r="A572" s="4">
        <v>569</v>
      </c>
      <c r="B572" s="5" t="s">
        <v>1975</v>
      </c>
      <c r="C572" s="5" t="s">
        <v>1975</v>
      </c>
      <c r="D572" s="5"/>
      <c r="E572" s="5" t="s">
        <v>1978</v>
      </c>
      <c r="F572" s="408"/>
      <c r="G572" s="409">
        <v>5000</v>
      </c>
      <c r="H572" s="240" t="s">
        <v>1979</v>
      </c>
      <c r="I572" s="1" t="s">
        <v>360</v>
      </c>
      <c r="J572" s="1" t="s">
        <v>804</v>
      </c>
      <c r="K572" s="268" t="s">
        <v>823</v>
      </c>
      <c r="L572" s="191"/>
      <c r="M572" s="1" t="s">
        <v>823</v>
      </c>
      <c r="N572" s="191" t="s">
        <v>794</v>
      </c>
      <c r="P572" s="1"/>
      <c r="Q572" t="s">
        <v>4266</v>
      </c>
    </row>
    <row r="573" spans="1:17" s="2" customFormat="1" ht="27.75" customHeight="1">
      <c r="A573" s="4">
        <v>570</v>
      </c>
      <c r="B573" s="5" t="s">
        <v>1980</v>
      </c>
      <c r="C573" s="5" t="s">
        <v>1980</v>
      </c>
      <c r="D573" s="5"/>
      <c r="E573" s="5" t="s">
        <v>1981</v>
      </c>
      <c r="F573" s="408"/>
      <c r="G573" s="409">
        <v>345000</v>
      </c>
      <c r="H573" s="240" t="s">
        <v>1982</v>
      </c>
      <c r="I573" s="1" t="s">
        <v>805</v>
      </c>
      <c r="J573" s="1" t="s">
        <v>806</v>
      </c>
      <c r="K573" s="268"/>
      <c r="L573" s="191"/>
      <c r="M573" s="1"/>
      <c r="N573" s="191" t="s">
        <v>3523</v>
      </c>
      <c r="P573" s="1" t="s">
        <v>794</v>
      </c>
      <c r="Q573" t="s">
        <v>4266</v>
      </c>
    </row>
    <row r="574" spans="1:17" s="2" customFormat="1" ht="27.75" customHeight="1">
      <c r="A574" s="4">
        <v>571</v>
      </c>
      <c r="B574" s="5" t="s">
        <v>1983</v>
      </c>
      <c r="C574" s="224" t="s">
        <v>1983</v>
      </c>
      <c r="D574" s="5"/>
      <c r="E574" s="3" t="s">
        <v>1357</v>
      </c>
      <c r="F574" s="408"/>
      <c r="G574" s="409">
        <v>200000</v>
      </c>
      <c r="H574" s="240" t="s">
        <v>1984</v>
      </c>
      <c r="I574" s="1" t="s">
        <v>807</v>
      </c>
      <c r="J574" s="1" t="s">
        <v>113</v>
      </c>
      <c r="K574" s="269" t="s">
        <v>844</v>
      </c>
      <c r="L574" s="226"/>
      <c r="M574" s="1"/>
      <c r="N574" s="191" t="s">
        <v>3527</v>
      </c>
      <c r="P574" s="1" t="s">
        <v>3862</v>
      </c>
      <c r="Q574" t="s">
        <v>4266</v>
      </c>
    </row>
    <row r="575" spans="1:17" s="2" customFormat="1" ht="27.75" customHeight="1">
      <c r="A575" s="4">
        <v>572</v>
      </c>
      <c r="B575" s="5" t="s">
        <v>1983</v>
      </c>
      <c r="C575" s="5" t="s">
        <v>1983</v>
      </c>
      <c r="D575" s="5"/>
      <c r="E575" s="5" t="s">
        <v>1985</v>
      </c>
      <c r="F575" s="408"/>
      <c r="G575" s="409">
        <v>400000</v>
      </c>
      <c r="H575" s="240" t="s">
        <v>1986</v>
      </c>
      <c r="I575" s="1" t="s">
        <v>134</v>
      </c>
      <c r="J575" s="1" t="s">
        <v>786</v>
      </c>
      <c r="K575" s="268"/>
      <c r="L575" s="191"/>
      <c r="M575" s="1"/>
      <c r="N575" s="191" t="s">
        <v>3527</v>
      </c>
      <c r="P575" s="1"/>
      <c r="Q575" t="s">
        <v>4266</v>
      </c>
    </row>
    <row r="576" spans="1:17" s="2" customFormat="1" ht="27.75" customHeight="1">
      <c r="A576" s="4">
        <v>573</v>
      </c>
      <c r="B576" s="5" t="s">
        <v>1983</v>
      </c>
      <c r="C576" s="5" t="s">
        <v>1983</v>
      </c>
      <c r="D576" s="5"/>
      <c r="E576" s="5" t="s">
        <v>1987</v>
      </c>
      <c r="F576" s="408"/>
      <c r="G576" s="409">
        <v>400000</v>
      </c>
      <c r="H576" s="240" t="s">
        <v>1988</v>
      </c>
      <c r="I576" s="1" t="s">
        <v>134</v>
      </c>
      <c r="J576" s="1" t="s">
        <v>786</v>
      </c>
      <c r="K576" s="268"/>
      <c r="L576" s="191"/>
      <c r="M576" s="1"/>
      <c r="N576" s="191" t="s">
        <v>3528</v>
      </c>
      <c r="P576" s="1"/>
      <c r="Q576" t="s">
        <v>4266</v>
      </c>
    </row>
    <row r="577" spans="1:17" s="2" customFormat="1" ht="27.75" customHeight="1">
      <c r="A577" s="4">
        <v>574</v>
      </c>
      <c r="B577" s="5" t="s">
        <v>1983</v>
      </c>
      <c r="C577" s="5" t="s">
        <v>1983</v>
      </c>
      <c r="D577" s="5"/>
      <c r="E577" s="5" t="s">
        <v>1989</v>
      </c>
      <c r="F577" s="408"/>
      <c r="G577" s="409">
        <v>3000</v>
      </c>
      <c r="H577" s="240" t="s">
        <v>1990</v>
      </c>
      <c r="I577" s="1" t="s">
        <v>848</v>
      </c>
      <c r="J577" s="1" t="s">
        <v>321</v>
      </c>
      <c r="K577" s="268"/>
      <c r="L577" s="191"/>
      <c r="M577" s="1"/>
      <c r="N577" s="191" t="s">
        <v>794</v>
      </c>
      <c r="P577" s="1" t="s">
        <v>794</v>
      </c>
      <c r="Q577" t="s">
        <v>4266</v>
      </c>
    </row>
    <row r="578" spans="1:17" s="2" customFormat="1" ht="27.75" customHeight="1">
      <c r="A578" s="4">
        <v>575</v>
      </c>
      <c r="B578" s="5" t="s">
        <v>1983</v>
      </c>
      <c r="C578" s="5" t="s">
        <v>1983</v>
      </c>
      <c r="D578" s="5"/>
      <c r="E578" s="5" t="s">
        <v>1991</v>
      </c>
      <c r="F578" s="408"/>
      <c r="G578" s="409">
        <v>2100</v>
      </c>
      <c r="H578" s="240" t="s">
        <v>1992</v>
      </c>
      <c r="I578" s="1" t="s">
        <v>848</v>
      </c>
      <c r="J578" s="1" t="s">
        <v>321</v>
      </c>
      <c r="K578" s="268" t="s">
        <v>822</v>
      </c>
      <c r="L578" s="191"/>
      <c r="M578" s="1" t="s">
        <v>822</v>
      </c>
      <c r="N578" s="191" t="s">
        <v>794</v>
      </c>
      <c r="P578" s="1" t="s">
        <v>794</v>
      </c>
      <c r="Q578" t="s">
        <v>4266</v>
      </c>
    </row>
    <row r="579" spans="1:17" s="2" customFormat="1" ht="27.75" customHeight="1">
      <c r="A579" s="4">
        <v>576</v>
      </c>
      <c r="B579" s="5" t="s">
        <v>1993</v>
      </c>
      <c r="C579" s="5" t="s">
        <v>1993</v>
      </c>
      <c r="D579" s="5"/>
      <c r="E579" s="5" t="s">
        <v>1994</v>
      </c>
      <c r="F579" s="408"/>
      <c r="G579" s="409">
        <v>600000</v>
      </c>
      <c r="H579" s="240" t="s">
        <v>1995</v>
      </c>
      <c r="I579" s="1" t="s">
        <v>352</v>
      </c>
      <c r="J579" s="1" t="s">
        <v>740</v>
      </c>
      <c r="K579" s="268" t="s">
        <v>794</v>
      </c>
      <c r="L579" s="191"/>
      <c r="M579" s="1" t="s">
        <v>794</v>
      </c>
      <c r="N579" s="191"/>
      <c r="P579" s="1"/>
      <c r="Q579" t="s">
        <v>1345</v>
      </c>
    </row>
    <row r="580" spans="1:17" s="2" customFormat="1" ht="27.75" customHeight="1">
      <c r="A580" s="4">
        <v>577</v>
      </c>
      <c r="B580" s="5" t="s">
        <v>1993</v>
      </c>
      <c r="C580" s="5" t="s">
        <v>1993</v>
      </c>
      <c r="D580" s="5"/>
      <c r="E580" s="5" t="s">
        <v>1996</v>
      </c>
      <c r="F580" s="408"/>
      <c r="G580" s="409">
        <v>500000</v>
      </c>
      <c r="H580" s="240" t="s">
        <v>1997</v>
      </c>
      <c r="I580" s="1" t="s">
        <v>352</v>
      </c>
      <c r="J580" s="1" t="s">
        <v>740</v>
      </c>
      <c r="K580" s="268" t="s">
        <v>794</v>
      </c>
      <c r="L580" s="191"/>
      <c r="M580" s="1" t="s">
        <v>794</v>
      </c>
      <c r="N580" s="191"/>
      <c r="P580" s="1"/>
      <c r="Q580" t="s">
        <v>1345</v>
      </c>
    </row>
    <row r="581" spans="1:17" s="2" customFormat="1" ht="27.75" customHeight="1">
      <c r="A581" s="4">
        <v>578</v>
      </c>
      <c r="B581" s="5" t="s">
        <v>1993</v>
      </c>
      <c r="C581" s="5" t="s">
        <v>1993</v>
      </c>
      <c r="D581" s="5"/>
      <c r="E581" s="5" t="s">
        <v>1998</v>
      </c>
      <c r="F581" s="408"/>
      <c r="G581" s="409">
        <v>400000</v>
      </c>
      <c r="H581" s="240" t="s">
        <v>1999</v>
      </c>
      <c r="I581" s="1" t="s">
        <v>352</v>
      </c>
      <c r="J581" s="1" t="s">
        <v>740</v>
      </c>
      <c r="K581" s="268" t="s">
        <v>823</v>
      </c>
      <c r="L581" s="191"/>
      <c r="M581" s="1" t="s">
        <v>823</v>
      </c>
      <c r="N581" s="191"/>
      <c r="P581" s="1"/>
      <c r="Q581" t="s">
        <v>1345</v>
      </c>
    </row>
    <row r="582" spans="1:17" s="2" customFormat="1" ht="27.75" customHeight="1">
      <c r="A582" s="4">
        <v>579</v>
      </c>
      <c r="B582" s="5" t="s">
        <v>2000</v>
      </c>
      <c r="C582" s="5" t="s">
        <v>2000</v>
      </c>
      <c r="D582" s="5"/>
      <c r="E582" s="5" t="s">
        <v>2001</v>
      </c>
      <c r="F582" s="408"/>
      <c r="G582" s="409">
        <v>300000</v>
      </c>
      <c r="H582" s="240" t="s">
        <v>2002</v>
      </c>
      <c r="I582" s="1" t="s">
        <v>316</v>
      </c>
      <c r="J582" s="1" t="s">
        <v>849</v>
      </c>
      <c r="K582" s="268" t="s">
        <v>823</v>
      </c>
      <c r="L582" s="191"/>
      <c r="M582" s="1" t="s">
        <v>823</v>
      </c>
      <c r="N582" s="191" t="s">
        <v>3522</v>
      </c>
      <c r="P582" s="1" t="s">
        <v>830</v>
      </c>
      <c r="Q582" t="s">
        <v>4266</v>
      </c>
    </row>
    <row r="583" spans="1:17" s="2" customFormat="1" ht="27.75" customHeight="1">
      <c r="A583" s="4">
        <v>580</v>
      </c>
      <c r="B583" s="5" t="s">
        <v>2000</v>
      </c>
      <c r="C583" s="5" t="s">
        <v>2000</v>
      </c>
      <c r="D583" s="5"/>
      <c r="E583" s="5" t="s">
        <v>2003</v>
      </c>
      <c r="F583" s="408"/>
      <c r="G583" s="409">
        <v>200000</v>
      </c>
      <c r="H583" s="240" t="s">
        <v>2004</v>
      </c>
      <c r="I583" s="1" t="s">
        <v>851</v>
      </c>
      <c r="J583" s="1" t="s">
        <v>786</v>
      </c>
      <c r="K583" s="268"/>
      <c r="L583" s="191"/>
      <c r="M583" s="1"/>
      <c r="N583" s="191" t="s">
        <v>3527</v>
      </c>
      <c r="P583" s="1"/>
      <c r="Q583" t="s">
        <v>4299</v>
      </c>
    </row>
    <row r="584" spans="1:17" s="2" customFormat="1" ht="27.75" customHeight="1">
      <c r="A584" s="4">
        <v>581</v>
      </c>
      <c r="B584" s="5" t="s">
        <v>2000</v>
      </c>
      <c r="C584" s="5" t="s">
        <v>2000</v>
      </c>
      <c r="D584" s="5"/>
      <c r="E584" s="3" t="s">
        <v>1358</v>
      </c>
      <c r="F584" s="409">
        <v>300000</v>
      </c>
      <c r="G584" s="408"/>
      <c r="H584" s="240" t="s">
        <v>2005</v>
      </c>
      <c r="I584" s="1" t="s">
        <v>316</v>
      </c>
      <c r="J584" s="1" t="s">
        <v>850</v>
      </c>
      <c r="K584" s="268"/>
      <c r="L584" s="191"/>
      <c r="M584" s="1"/>
      <c r="N584" s="191" t="s">
        <v>3522</v>
      </c>
      <c r="P584" s="1" t="s">
        <v>830</v>
      </c>
      <c r="Q584" t="s">
        <v>4266</v>
      </c>
    </row>
    <row r="585" spans="1:17" ht="27.75" customHeight="1">
      <c r="A585" s="622">
        <v>582</v>
      </c>
      <c r="B585" s="614" t="s">
        <v>4536</v>
      </c>
      <c r="C585" s="614" t="s">
        <v>4536</v>
      </c>
      <c r="D585" s="614"/>
      <c r="E585" s="614" t="s">
        <v>4537</v>
      </c>
      <c r="F585" s="626">
        <v>15900</v>
      </c>
      <c r="G585" s="627"/>
      <c r="H585" s="630" t="s">
        <v>4538</v>
      </c>
      <c r="I585" s="615" t="s">
        <v>852</v>
      </c>
      <c r="J585" s="615" t="s">
        <v>853</v>
      </c>
      <c r="K585" s="629" t="s">
        <v>794</v>
      </c>
      <c r="L585" s="621"/>
      <c r="M585" s="615" t="s">
        <v>794</v>
      </c>
      <c r="N585" s="621"/>
      <c r="O585" s="612" t="s">
        <v>4261</v>
      </c>
      <c r="P585" s="615"/>
      <c r="Q585" s="612" t="s">
        <v>4294</v>
      </c>
    </row>
    <row r="586" spans="1:17" ht="27.75" customHeight="1">
      <c r="A586" s="622">
        <v>583</v>
      </c>
      <c r="B586" s="614" t="s">
        <v>4539</v>
      </c>
      <c r="C586" s="614" t="s">
        <v>4539</v>
      </c>
      <c r="D586" s="614"/>
      <c r="E586" s="614" t="s">
        <v>4540</v>
      </c>
      <c r="F586" s="626">
        <v>640000</v>
      </c>
      <c r="G586" s="627"/>
      <c r="H586" s="630" t="s">
        <v>4541</v>
      </c>
      <c r="I586" s="615" t="s">
        <v>854</v>
      </c>
      <c r="J586" s="615" t="s">
        <v>794</v>
      </c>
      <c r="K586" s="629"/>
      <c r="L586" s="621"/>
      <c r="M586" s="615"/>
      <c r="N586" s="621"/>
      <c r="P586" s="615"/>
      <c r="Q586" s="612" t="s">
        <v>4294</v>
      </c>
    </row>
    <row r="587" spans="1:17" ht="27.75" customHeight="1">
      <c r="A587" s="622">
        <v>584</v>
      </c>
      <c r="B587" s="614" t="s">
        <v>4539</v>
      </c>
      <c r="C587" s="614" t="s">
        <v>4539</v>
      </c>
      <c r="D587" s="614"/>
      <c r="E587" s="614" t="s">
        <v>4542</v>
      </c>
      <c r="F587" s="671">
        <v>1000000</v>
      </c>
      <c r="G587" s="627"/>
      <c r="H587" s="630" t="s">
        <v>4543</v>
      </c>
      <c r="I587" s="615" t="s">
        <v>854</v>
      </c>
      <c r="J587" s="615" t="s">
        <v>794</v>
      </c>
      <c r="K587" s="629" t="s">
        <v>794</v>
      </c>
      <c r="L587" s="621"/>
      <c r="M587" s="615" t="s">
        <v>794</v>
      </c>
      <c r="N587" s="621"/>
      <c r="P587" s="615"/>
      <c r="Q587" s="612" t="s">
        <v>4294</v>
      </c>
    </row>
    <row r="588" spans="1:17" ht="27.75" customHeight="1">
      <c r="A588" s="622">
        <v>585</v>
      </c>
      <c r="B588" s="614" t="s">
        <v>4539</v>
      </c>
      <c r="C588" s="614" t="s">
        <v>4539</v>
      </c>
      <c r="D588" s="614"/>
      <c r="E588" s="614" t="s">
        <v>4544</v>
      </c>
      <c r="F588" s="626">
        <v>100000</v>
      </c>
      <c r="G588" s="627"/>
      <c r="H588" s="630" t="s">
        <v>4545</v>
      </c>
      <c r="I588" s="615" t="s">
        <v>854</v>
      </c>
      <c r="J588" s="615" t="s">
        <v>794</v>
      </c>
      <c r="K588" s="629" t="s">
        <v>825</v>
      </c>
      <c r="L588" s="621" t="s">
        <v>838</v>
      </c>
      <c r="M588" s="615" t="s">
        <v>825</v>
      </c>
      <c r="N588" s="621" t="s">
        <v>838</v>
      </c>
      <c r="P588" s="615"/>
      <c r="Q588" s="612" t="s">
        <v>4294</v>
      </c>
    </row>
    <row r="589" spans="1:17" ht="27.75" customHeight="1">
      <c r="A589" s="622">
        <v>586</v>
      </c>
      <c r="B589" s="614" t="s">
        <v>4539</v>
      </c>
      <c r="C589" s="614" t="s">
        <v>4539</v>
      </c>
      <c r="D589" s="614"/>
      <c r="E589" s="614" t="s">
        <v>4546</v>
      </c>
      <c r="F589" s="626">
        <v>20600</v>
      </c>
      <c r="G589" s="627"/>
      <c r="H589" s="630" t="s">
        <v>4547</v>
      </c>
      <c r="I589" s="615" t="s">
        <v>854</v>
      </c>
      <c r="J589" s="615" t="s">
        <v>794</v>
      </c>
      <c r="K589" s="629" t="s">
        <v>794</v>
      </c>
      <c r="L589" s="621"/>
      <c r="M589" s="615" t="s">
        <v>794</v>
      </c>
      <c r="N589" s="621"/>
      <c r="P589" s="615"/>
      <c r="Q589" s="612" t="s">
        <v>4294</v>
      </c>
    </row>
    <row r="590" spans="1:17" s="2" customFormat="1" ht="27.75" customHeight="1">
      <c r="A590" s="4">
        <v>587</v>
      </c>
      <c r="B590" s="5" t="s">
        <v>2006</v>
      </c>
      <c r="C590" s="5" t="s">
        <v>2006</v>
      </c>
      <c r="D590" s="5"/>
      <c r="E590" s="5" t="s">
        <v>2007</v>
      </c>
      <c r="F590" s="408"/>
      <c r="G590" s="409">
        <v>5100</v>
      </c>
      <c r="H590" s="240" t="s">
        <v>2008</v>
      </c>
      <c r="I590" s="1" t="s">
        <v>855</v>
      </c>
      <c r="J590" s="1" t="s">
        <v>3377</v>
      </c>
      <c r="K590" s="268"/>
      <c r="L590" s="191"/>
      <c r="M590" s="1"/>
      <c r="N590" s="191" t="s">
        <v>794</v>
      </c>
      <c r="P590" s="1"/>
      <c r="Q590" t="s">
        <v>4266</v>
      </c>
    </row>
    <row r="591" spans="1:17" s="17" customFormat="1" ht="27.75" customHeight="1">
      <c r="A591" s="4">
        <v>588</v>
      </c>
      <c r="B591" s="13" t="s">
        <v>2009</v>
      </c>
      <c r="C591" s="13" t="s">
        <v>2009</v>
      </c>
      <c r="D591" s="13"/>
      <c r="E591" s="13" t="s">
        <v>2010</v>
      </c>
      <c r="F591" s="408"/>
      <c r="G591" s="409">
        <v>369000</v>
      </c>
      <c r="H591" s="239" t="s">
        <v>2011</v>
      </c>
      <c r="I591" s="16" t="s">
        <v>856</v>
      </c>
      <c r="J591" s="16" t="s">
        <v>857</v>
      </c>
      <c r="K591" s="267"/>
      <c r="L591" s="193"/>
      <c r="M591" s="1"/>
      <c r="N591" s="191" t="s">
        <v>3523</v>
      </c>
      <c r="P591" s="16"/>
      <c r="Q591" t="s">
        <v>4266</v>
      </c>
    </row>
    <row r="592" spans="1:17" s="17" customFormat="1" ht="27.75" customHeight="1">
      <c r="A592" s="4">
        <v>589</v>
      </c>
      <c r="B592" s="13" t="s">
        <v>2009</v>
      </c>
      <c r="C592" s="13" t="s">
        <v>2009</v>
      </c>
      <c r="D592" s="13"/>
      <c r="E592" s="13" t="s">
        <v>2012</v>
      </c>
      <c r="F592" s="408"/>
      <c r="G592" s="409">
        <v>371000</v>
      </c>
      <c r="H592" s="239" t="s">
        <v>2013</v>
      </c>
      <c r="I592" s="16" t="s">
        <v>859</v>
      </c>
      <c r="J592" s="16" t="s">
        <v>858</v>
      </c>
      <c r="K592" s="267"/>
      <c r="L592" s="193"/>
      <c r="M592" s="1"/>
      <c r="N592" s="191" t="s">
        <v>3523</v>
      </c>
      <c r="P592" s="16"/>
      <c r="Q592" t="s">
        <v>4266</v>
      </c>
    </row>
    <row r="593" spans="1:17" s="2" customFormat="1" ht="27.75" customHeight="1">
      <c r="A593" s="4">
        <v>590</v>
      </c>
      <c r="B593" s="5" t="s">
        <v>2009</v>
      </c>
      <c r="C593" s="5" t="s">
        <v>2009</v>
      </c>
      <c r="D593" s="5"/>
      <c r="E593" s="5" t="s">
        <v>2014</v>
      </c>
      <c r="F593" s="408"/>
      <c r="G593" s="409">
        <v>300000</v>
      </c>
      <c r="H593" s="240" t="s">
        <v>2015</v>
      </c>
      <c r="I593" s="1" t="s">
        <v>316</v>
      </c>
      <c r="J593" s="1" t="s">
        <v>317</v>
      </c>
      <c r="K593" s="268"/>
      <c r="L593" s="191"/>
      <c r="M593" s="1"/>
      <c r="N593" s="191" t="s">
        <v>794</v>
      </c>
      <c r="P593" s="1" t="s">
        <v>3896</v>
      </c>
      <c r="Q593" t="s">
        <v>4266</v>
      </c>
    </row>
    <row r="594" spans="1:17" s="2" customFormat="1" ht="27.75" customHeight="1">
      <c r="A594" s="4">
        <v>591</v>
      </c>
      <c r="B594" s="5" t="s">
        <v>2009</v>
      </c>
      <c r="C594" s="5" t="s">
        <v>2009</v>
      </c>
      <c r="D594" s="5"/>
      <c r="E594" s="5" t="s">
        <v>2016</v>
      </c>
      <c r="F594" s="409">
        <v>20000</v>
      </c>
      <c r="G594" s="408"/>
      <c r="H594" s="240" t="s">
        <v>2017</v>
      </c>
      <c r="I594" s="1" t="s">
        <v>744</v>
      </c>
      <c r="J594" s="1" t="s">
        <v>603</v>
      </c>
      <c r="K594" s="268"/>
      <c r="L594" s="191"/>
      <c r="M594" s="1"/>
      <c r="N594" s="191"/>
      <c r="P594" s="1"/>
      <c r="Q594" t="s">
        <v>4285</v>
      </c>
    </row>
    <row r="595" spans="1:17" s="2" customFormat="1" ht="27.75" customHeight="1">
      <c r="A595" s="4">
        <v>592</v>
      </c>
      <c r="B595" s="5" t="s">
        <v>2018</v>
      </c>
      <c r="C595" s="5" t="s">
        <v>2018</v>
      </c>
      <c r="D595" s="5"/>
      <c r="E595" s="5" t="s">
        <v>2019</v>
      </c>
      <c r="F595" s="408"/>
      <c r="G595" s="409">
        <v>299000</v>
      </c>
      <c r="H595" s="240" t="s">
        <v>2020</v>
      </c>
      <c r="I595" s="1" t="s">
        <v>860</v>
      </c>
      <c r="J595" s="1" t="s">
        <v>861</v>
      </c>
      <c r="K595" s="268"/>
      <c r="L595" s="191"/>
      <c r="M595" s="1"/>
      <c r="N595" s="191"/>
      <c r="P595" s="1" t="s">
        <v>794</v>
      </c>
      <c r="Q595" t="s">
        <v>4266</v>
      </c>
    </row>
    <row r="596" spans="1:17" s="17" customFormat="1" ht="27.75" customHeight="1">
      <c r="A596" s="4">
        <v>593</v>
      </c>
      <c r="B596" s="13" t="s">
        <v>2018</v>
      </c>
      <c r="C596" s="13" t="s">
        <v>2018</v>
      </c>
      <c r="D596" s="13"/>
      <c r="E596" s="13" t="s">
        <v>2021</v>
      </c>
      <c r="F596" s="409">
        <v>5000</v>
      </c>
      <c r="G596" s="408"/>
      <c r="H596" s="239" t="s">
        <v>2022</v>
      </c>
      <c r="I596" s="16" t="s">
        <v>819</v>
      </c>
      <c r="J596" s="16" t="s">
        <v>869</v>
      </c>
      <c r="K596" s="267" t="s">
        <v>823</v>
      </c>
      <c r="L596" s="193"/>
      <c r="M596" s="1" t="s">
        <v>823</v>
      </c>
      <c r="N596" s="191" t="s">
        <v>3529</v>
      </c>
      <c r="P596" s="16" t="s">
        <v>3857</v>
      </c>
      <c r="Q596" t="s">
        <v>4266</v>
      </c>
    </row>
    <row r="597" spans="1:17" s="2" customFormat="1" ht="27.75" customHeight="1">
      <c r="A597" s="4">
        <v>594</v>
      </c>
      <c r="B597" s="5" t="s">
        <v>2018</v>
      </c>
      <c r="C597" s="5" t="s">
        <v>2018</v>
      </c>
      <c r="D597" s="5"/>
      <c r="E597" s="5" t="s">
        <v>2023</v>
      </c>
      <c r="F597" s="409">
        <v>20000</v>
      </c>
      <c r="G597" s="408"/>
      <c r="H597" s="240" t="s">
        <v>2024</v>
      </c>
      <c r="I597" s="1" t="s">
        <v>715</v>
      </c>
      <c r="J597" s="1" t="s">
        <v>603</v>
      </c>
      <c r="K597" s="268"/>
      <c r="L597" s="191"/>
      <c r="M597" s="1"/>
      <c r="N597" s="191"/>
      <c r="P597" s="1"/>
      <c r="Q597" t="s">
        <v>4285</v>
      </c>
    </row>
    <row r="598" spans="1:17" s="2" customFormat="1" ht="27.75" customHeight="1">
      <c r="A598" s="4">
        <v>595</v>
      </c>
      <c r="B598" s="5" t="s">
        <v>2025</v>
      </c>
      <c r="C598" s="5" t="s">
        <v>2025</v>
      </c>
      <c r="D598" s="5"/>
      <c r="E598" s="5" t="s">
        <v>2026</v>
      </c>
      <c r="F598" s="409">
        <v>30000</v>
      </c>
      <c r="G598" s="408"/>
      <c r="H598" s="240" t="s">
        <v>2027</v>
      </c>
      <c r="I598" s="1" t="s">
        <v>149</v>
      </c>
      <c r="J598" s="1" t="s">
        <v>603</v>
      </c>
      <c r="K598" s="268"/>
      <c r="L598" s="191"/>
      <c r="M598" s="1"/>
      <c r="N598" s="191"/>
      <c r="P598" s="1"/>
      <c r="Q598" t="s">
        <v>4285</v>
      </c>
    </row>
    <row r="599" spans="1:17" s="2" customFormat="1" ht="27.75" customHeight="1">
      <c r="A599" s="4">
        <v>596</v>
      </c>
      <c r="B599" s="5" t="s">
        <v>2025</v>
      </c>
      <c r="C599" s="5" t="s">
        <v>2025</v>
      </c>
      <c r="D599" s="5"/>
      <c r="E599" s="5" t="s">
        <v>2028</v>
      </c>
      <c r="F599" s="415">
        <v>1000000</v>
      </c>
      <c r="G599" s="408"/>
      <c r="H599" s="240" t="s">
        <v>2029</v>
      </c>
      <c r="I599" s="1" t="s">
        <v>862</v>
      </c>
      <c r="J599" s="1" t="s">
        <v>898</v>
      </c>
      <c r="K599" s="268"/>
      <c r="L599" s="191"/>
      <c r="M599" s="1"/>
      <c r="N599" s="191"/>
      <c r="O599" s="2" t="s">
        <v>4261</v>
      </c>
      <c r="P599" s="1"/>
      <c r="Q599" t="s">
        <v>4300</v>
      </c>
    </row>
    <row r="600" spans="1:17" s="2" customFormat="1" ht="27.75" customHeight="1">
      <c r="A600" s="4">
        <v>597</v>
      </c>
      <c r="B600" s="5" t="s">
        <v>2030</v>
      </c>
      <c r="C600" s="5" t="s">
        <v>2030</v>
      </c>
      <c r="D600" s="5"/>
      <c r="E600" s="5" t="s">
        <v>2031</v>
      </c>
      <c r="F600" s="408"/>
      <c r="G600" s="409">
        <v>600000</v>
      </c>
      <c r="H600" s="240" t="s">
        <v>2032</v>
      </c>
      <c r="I600" s="1" t="s">
        <v>863</v>
      </c>
      <c r="J600" s="1" t="s">
        <v>1057</v>
      </c>
      <c r="K600" s="268" t="s">
        <v>823</v>
      </c>
      <c r="L600" s="191"/>
      <c r="M600" s="1" t="s">
        <v>823</v>
      </c>
      <c r="N600" s="191" t="s">
        <v>3523</v>
      </c>
      <c r="P600" s="1"/>
      <c r="Q600" t="s">
        <v>4266</v>
      </c>
    </row>
    <row r="601" spans="1:17" s="2" customFormat="1" ht="27.75" customHeight="1">
      <c r="A601" s="4">
        <v>598</v>
      </c>
      <c r="B601" s="5" t="s">
        <v>2033</v>
      </c>
      <c r="C601" s="5" t="s">
        <v>2033</v>
      </c>
      <c r="D601" s="5"/>
      <c r="E601" s="5" t="s">
        <v>2034</v>
      </c>
      <c r="F601" s="408"/>
      <c r="G601" s="409">
        <v>40000</v>
      </c>
      <c r="H601" s="240" t="s">
        <v>2035</v>
      </c>
      <c r="I601" s="1" t="s">
        <v>868</v>
      </c>
      <c r="J601" s="1" t="s">
        <v>67</v>
      </c>
      <c r="K601" s="268" t="s">
        <v>823</v>
      </c>
      <c r="L601" s="191"/>
      <c r="M601" s="1" t="s">
        <v>823</v>
      </c>
      <c r="N601" s="191" t="s">
        <v>794</v>
      </c>
      <c r="P601" s="1"/>
      <c r="Q601" t="s">
        <v>4266</v>
      </c>
    </row>
    <row r="602" spans="1:17" s="2" customFormat="1" ht="27.75" customHeight="1">
      <c r="A602" s="4">
        <v>599</v>
      </c>
      <c r="B602" s="5" t="s">
        <v>2033</v>
      </c>
      <c r="C602" s="5" t="s">
        <v>2033</v>
      </c>
      <c r="D602" s="5"/>
      <c r="E602" s="5" t="s">
        <v>2036</v>
      </c>
      <c r="F602" s="408"/>
      <c r="G602" s="409">
        <v>11000</v>
      </c>
      <c r="H602" s="240" t="s">
        <v>2037</v>
      </c>
      <c r="I602" s="1" t="s">
        <v>899</v>
      </c>
      <c r="J602" s="1" t="s">
        <v>804</v>
      </c>
      <c r="K602" s="268" t="s">
        <v>823</v>
      </c>
      <c r="L602" s="191"/>
      <c r="M602" s="1" t="s">
        <v>823</v>
      </c>
      <c r="N602" s="191" t="s">
        <v>794</v>
      </c>
      <c r="P602" s="1" t="s">
        <v>3851</v>
      </c>
      <c r="Q602" t="s">
        <v>4266</v>
      </c>
    </row>
    <row r="603" spans="1:17" s="2" customFormat="1" ht="27.75" customHeight="1">
      <c r="A603" s="4">
        <v>600</v>
      </c>
      <c r="B603" s="5" t="s">
        <v>2033</v>
      </c>
      <c r="C603" s="5" t="s">
        <v>2033</v>
      </c>
      <c r="D603" s="5"/>
      <c r="E603" s="5" t="s">
        <v>2038</v>
      </c>
      <c r="F603" s="408"/>
      <c r="G603" s="409">
        <v>300000</v>
      </c>
      <c r="H603" s="240" t="s">
        <v>2039</v>
      </c>
      <c r="I603" s="1" t="s">
        <v>866</v>
      </c>
      <c r="J603" s="1" t="s">
        <v>813</v>
      </c>
      <c r="K603" s="268"/>
      <c r="L603" s="191"/>
      <c r="M603" s="1"/>
      <c r="N603" s="191" t="s">
        <v>3522</v>
      </c>
      <c r="P603" s="1"/>
      <c r="Q603" t="s">
        <v>4266</v>
      </c>
    </row>
    <row r="604" spans="1:17" s="2" customFormat="1" ht="27.75" customHeight="1">
      <c r="A604" s="4">
        <v>601</v>
      </c>
      <c r="B604" s="5" t="s">
        <v>2033</v>
      </c>
      <c r="C604" s="5" t="s">
        <v>2033</v>
      </c>
      <c r="D604" s="5"/>
      <c r="E604" s="3" t="s">
        <v>1359</v>
      </c>
      <c r="F604" s="409">
        <v>300000</v>
      </c>
      <c r="G604" s="408"/>
      <c r="H604" s="240" t="s">
        <v>2037</v>
      </c>
      <c r="I604" s="1" t="s">
        <v>866</v>
      </c>
      <c r="J604" s="1" t="s">
        <v>865</v>
      </c>
      <c r="K604" s="268" t="s">
        <v>794</v>
      </c>
      <c r="L604" s="191"/>
      <c r="M604" s="1" t="s">
        <v>794</v>
      </c>
      <c r="N604" s="191" t="s">
        <v>3522</v>
      </c>
      <c r="P604" s="1"/>
      <c r="Q604" t="s">
        <v>4266</v>
      </c>
    </row>
    <row r="605" spans="1:17" s="2" customFormat="1" ht="27.75" customHeight="1">
      <c r="A605" s="4">
        <v>602</v>
      </c>
      <c r="B605" s="5" t="s">
        <v>2040</v>
      </c>
      <c r="C605" s="5" t="s">
        <v>2040</v>
      </c>
      <c r="D605" s="5"/>
      <c r="E605" s="5" t="s">
        <v>2041</v>
      </c>
      <c r="F605" s="408"/>
      <c r="G605" s="409">
        <v>300000</v>
      </c>
      <c r="H605" s="240" t="s">
        <v>2039</v>
      </c>
      <c r="I605" s="1" t="s">
        <v>867</v>
      </c>
      <c r="J605" s="1" t="s">
        <v>107</v>
      </c>
      <c r="K605" s="268"/>
      <c r="L605" s="191"/>
      <c r="M605" s="1"/>
      <c r="N605" s="191" t="s">
        <v>794</v>
      </c>
      <c r="P605" s="1"/>
      <c r="Q605" t="s">
        <v>4266</v>
      </c>
    </row>
    <row r="606" spans="1:17" s="2" customFormat="1" ht="27.75" customHeight="1">
      <c r="A606" s="4">
        <v>603</v>
      </c>
      <c r="B606" s="5" t="s">
        <v>2040</v>
      </c>
      <c r="C606" s="5" t="s">
        <v>2040</v>
      </c>
      <c r="D606" s="5"/>
      <c r="E606" s="5" t="s">
        <v>2038</v>
      </c>
      <c r="F606" s="408"/>
      <c r="G606" s="409">
        <v>300000</v>
      </c>
      <c r="H606" s="240" t="s">
        <v>2042</v>
      </c>
      <c r="I606" s="1" t="s">
        <v>866</v>
      </c>
      <c r="J606" s="1" t="s">
        <v>813</v>
      </c>
      <c r="K606" s="268"/>
      <c r="L606" s="191"/>
      <c r="M606" s="1"/>
      <c r="N606" s="191" t="s">
        <v>3522</v>
      </c>
      <c r="P606" s="1"/>
      <c r="Q606" t="s">
        <v>4266</v>
      </c>
    </row>
    <row r="607" spans="1:17" s="2" customFormat="1" ht="27.75" customHeight="1">
      <c r="A607" s="4">
        <v>604</v>
      </c>
      <c r="B607" s="5" t="s">
        <v>2040</v>
      </c>
      <c r="C607" s="5" t="s">
        <v>2040</v>
      </c>
      <c r="D607" s="5"/>
      <c r="E607" s="3" t="s">
        <v>1359</v>
      </c>
      <c r="F607" s="409">
        <v>300000</v>
      </c>
      <c r="G607" s="408"/>
      <c r="H607" s="240" t="s">
        <v>2039</v>
      </c>
      <c r="I607" s="1" t="s">
        <v>866</v>
      </c>
      <c r="J607" s="1" t="s">
        <v>865</v>
      </c>
      <c r="K607" s="268" t="s">
        <v>794</v>
      </c>
      <c r="L607" s="191"/>
      <c r="M607" s="1" t="s">
        <v>794</v>
      </c>
      <c r="N607" s="191" t="s">
        <v>3522</v>
      </c>
      <c r="P607" s="1"/>
      <c r="Q607" t="s">
        <v>4266</v>
      </c>
    </row>
    <row r="608" spans="1:17" ht="27.75" customHeight="1">
      <c r="A608" s="622">
        <v>605</v>
      </c>
      <c r="B608" s="614" t="s">
        <v>4548</v>
      </c>
      <c r="C608" s="614" t="s">
        <v>4548</v>
      </c>
      <c r="D608" s="614"/>
      <c r="E608" s="614" t="s">
        <v>4549</v>
      </c>
      <c r="F608" s="627"/>
      <c r="G608" s="671">
        <v>1959645</v>
      </c>
      <c r="H608" s="630" t="s">
        <v>4550</v>
      </c>
      <c r="I608" s="615" t="s">
        <v>854</v>
      </c>
      <c r="J608" s="615" t="s">
        <v>787</v>
      </c>
      <c r="K608" s="629"/>
      <c r="L608" s="621"/>
      <c r="M608" s="615"/>
      <c r="N608" s="621"/>
      <c r="P608" s="615"/>
      <c r="Q608" s="612" t="s">
        <v>4294</v>
      </c>
    </row>
    <row r="609" spans="1:17" s="17" customFormat="1" ht="27.75" customHeight="1">
      <c r="A609" s="4">
        <v>606</v>
      </c>
      <c r="B609" s="13" t="s">
        <v>2043</v>
      </c>
      <c r="C609" s="13" t="s">
        <v>2043</v>
      </c>
      <c r="D609" s="13"/>
      <c r="E609" s="13" t="s">
        <v>2044</v>
      </c>
      <c r="F609" s="411"/>
      <c r="G609" s="412">
        <v>10000</v>
      </c>
      <c r="H609" s="239" t="s">
        <v>2045</v>
      </c>
      <c r="I609" s="16" t="s">
        <v>884</v>
      </c>
      <c r="J609" s="16" t="s">
        <v>885</v>
      </c>
      <c r="K609" s="267" t="s">
        <v>794</v>
      </c>
      <c r="L609" s="193"/>
      <c r="M609" s="1" t="s">
        <v>794</v>
      </c>
      <c r="N609" s="191" t="s">
        <v>794</v>
      </c>
      <c r="P609" s="16"/>
      <c r="Q609" t="s">
        <v>4266</v>
      </c>
    </row>
    <row r="610" spans="1:17" s="2" customFormat="1" ht="27.75" customHeight="1">
      <c r="A610" s="4">
        <v>607</v>
      </c>
      <c r="B610" s="5" t="s">
        <v>2043</v>
      </c>
      <c r="C610" s="5" t="s">
        <v>2043</v>
      </c>
      <c r="D610" s="5"/>
      <c r="E610" s="5" t="s">
        <v>2046</v>
      </c>
      <c r="F610" s="409">
        <v>116400</v>
      </c>
      <c r="G610" s="408"/>
      <c r="H610" s="240" t="s">
        <v>2047</v>
      </c>
      <c r="I610" s="1" t="s">
        <v>365</v>
      </c>
      <c r="J610" s="1" t="s">
        <v>603</v>
      </c>
      <c r="K610" s="268"/>
      <c r="L610" s="191"/>
      <c r="M610" s="1"/>
      <c r="N610" s="191"/>
      <c r="P610" s="1"/>
      <c r="Q610" t="s">
        <v>4285</v>
      </c>
    </row>
    <row r="611" spans="1:17" s="2" customFormat="1" ht="27.75" customHeight="1">
      <c r="A611" s="4">
        <v>608</v>
      </c>
      <c r="B611" s="5" t="s">
        <v>2048</v>
      </c>
      <c r="C611" s="5" t="s">
        <v>2048</v>
      </c>
      <c r="D611" s="5"/>
      <c r="E611" s="5" t="s">
        <v>2049</v>
      </c>
      <c r="F611" s="415">
        <v>1000000</v>
      </c>
      <c r="G611" s="408"/>
      <c r="H611" s="240" t="s">
        <v>2050</v>
      </c>
      <c r="I611" s="1" t="s">
        <v>870</v>
      </c>
      <c r="J611" s="1" t="s">
        <v>794</v>
      </c>
      <c r="K611" s="268" t="s">
        <v>794</v>
      </c>
      <c r="L611" s="191" t="s">
        <v>839</v>
      </c>
      <c r="M611" s="1" t="s">
        <v>794</v>
      </c>
      <c r="N611" s="191" t="s">
        <v>839</v>
      </c>
      <c r="P611" s="1"/>
      <c r="Q611" s="2" t="s">
        <v>4307</v>
      </c>
    </row>
    <row r="612" spans="1:17" s="2" customFormat="1" ht="27.75" customHeight="1">
      <c r="A612" s="4">
        <v>609</v>
      </c>
      <c r="B612" s="5" t="s">
        <v>2048</v>
      </c>
      <c r="C612" s="5" t="s">
        <v>2048</v>
      </c>
      <c r="D612" s="5"/>
      <c r="E612" s="5" t="s">
        <v>2051</v>
      </c>
      <c r="F612" s="408"/>
      <c r="G612" s="409">
        <v>40000</v>
      </c>
      <c r="H612" s="240" t="s">
        <v>2052</v>
      </c>
      <c r="I612" s="1" t="s">
        <v>872</v>
      </c>
      <c r="J612" s="1" t="s">
        <v>816</v>
      </c>
      <c r="K612" s="268"/>
      <c r="L612" s="191"/>
      <c r="M612" s="1"/>
      <c r="N612" s="191" t="s">
        <v>794</v>
      </c>
      <c r="P612" s="1"/>
      <c r="Q612" t="s">
        <v>4266</v>
      </c>
    </row>
    <row r="613" spans="1:17" s="2" customFormat="1" ht="27.75" customHeight="1">
      <c r="A613" s="4">
        <v>610</v>
      </c>
      <c r="B613" s="5" t="s">
        <v>2048</v>
      </c>
      <c r="C613" s="5" t="s">
        <v>2048</v>
      </c>
      <c r="D613" s="5"/>
      <c r="E613" s="5" t="s">
        <v>2053</v>
      </c>
      <c r="F613" s="408"/>
      <c r="G613" s="409">
        <v>300000</v>
      </c>
      <c r="H613" s="240" t="s">
        <v>2054</v>
      </c>
      <c r="I613" s="1" t="s">
        <v>866</v>
      </c>
      <c r="J613" s="1" t="s">
        <v>813</v>
      </c>
      <c r="K613" s="268" t="s">
        <v>823</v>
      </c>
      <c r="L613" s="191"/>
      <c r="M613" s="1" t="s">
        <v>823</v>
      </c>
      <c r="N613" s="191" t="s">
        <v>3523</v>
      </c>
      <c r="P613" s="1"/>
      <c r="Q613" t="s">
        <v>4266</v>
      </c>
    </row>
    <row r="614" spans="1:17" s="2" customFormat="1" ht="27.75" customHeight="1">
      <c r="A614" s="4">
        <v>611</v>
      </c>
      <c r="B614" s="5" t="s">
        <v>2055</v>
      </c>
      <c r="C614" s="5" t="s">
        <v>2055</v>
      </c>
      <c r="D614" s="5"/>
      <c r="E614" s="5" t="s">
        <v>2056</v>
      </c>
      <c r="F614" s="408"/>
      <c r="G614" s="409">
        <v>100000</v>
      </c>
      <c r="H614" s="240" t="s">
        <v>2057</v>
      </c>
      <c r="I614" s="1" t="s">
        <v>153</v>
      </c>
      <c r="J614" s="1" t="s">
        <v>886</v>
      </c>
      <c r="K614" s="268" t="s">
        <v>794</v>
      </c>
      <c r="L614" s="191"/>
      <c r="M614" s="1" t="s">
        <v>794</v>
      </c>
      <c r="N614" s="191" t="s">
        <v>794</v>
      </c>
      <c r="P614" s="1"/>
      <c r="Q614" t="s">
        <v>4302</v>
      </c>
    </row>
    <row r="615" spans="1:17" s="17" customFormat="1" ht="27.75" customHeight="1">
      <c r="A615" s="4">
        <v>612</v>
      </c>
      <c r="B615" s="13" t="s">
        <v>2055</v>
      </c>
      <c r="C615" s="13" t="s">
        <v>2055</v>
      </c>
      <c r="D615" s="13"/>
      <c r="E615" s="13" t="s">
        <v>2058</v>
      </c>
      <c r="F615" s="408"/>
      <c r="G615" s="409">
        <v>60000</v>
      </c>
      <c r="H615" s="239" t="s">
        <v>2059</v>
      </c>
      <c r="I615" s="16" t="s">
        <v>871</v>
      </c>
      <c r="J615" s="16" t="s">
        <v>746</v>
      </c>
      <c r="K615" s="267"/>
      <c r="L615" s="193"/>
      <c r="M615" s="1"/>
      <c r="N615" s="191" t="s">
        <v>3522</v>
      </c>
      <c r="P615" s="16" t="s">
        <v>3252</v>
      </c>
      <c r="Q615" t="s">
        <v>4266</v>
      </c>
    </row>
    <row r="616" spans="1:17" s="17" customFormat="1" ht="27.75" customHeight="1">
      <c r="A616" s="4">
        <v>613</v>
      </c>
      <c r="B616" s="13" t="s">
        <v>2055</v>
      </c>
      <c r="C616" s="13" t="s">
        <v>2055</v>
      </c>
      <c r="D616" s="13"/>
      <c r="E616" s="13" t="s">
        <v>2060</v>
      </c>
      <c r="F616" s="411"/>
      <c r="G616" s="412">
        <v>5000</v>
      </c>
      <c r="H616" s="239" t="s">
        <v>2061</v>
      </c>
      <c r="I616" s="16" t="s">
        <v>875</v>
      </c>
      <c r="J616" s="16" t="s">
        <v>873</v>
      </c>
      <c r="K616" s="267"/>
      <c r="L616" s="193"/>
      <c r="M616" s="1"/>
      <c r="N616" s="191" t="s">
        <v>794</v>
      </c>
      <c r="P616" s="16"/>
      <c r="Q616" t="s">
        <v>4266</v>
      </c>
    </row>
    <row r="617" spans="1:17" s="17" customFormat="1" ht="27.75" customHeight="1">
      <c r="A617" s="4">
        <v>614</v>
      </c>
      <c r="B617" s="13" t="s">
        <v>2055</v>
      </c>
      <c r="C617" s="13" t="s">
        <v>2055</v>
      </c>
      <c r="D617" s="13"/>
      <c r="E617" s="13" t="s">
        <v>2062</v>
      </c>
      <c r="F617" s="411"/>
      <c r="G617" s="412">
        <v>5000</v>
      </c>
      <c r="H617" s="239" t="s">
        <v>2063</v>
      </c>
      <c r="I617" s="16" t="s">
        <v>875</v>
      </c>
      <c r="J617" s="16" t="s">
        <v>874</v>
      </c>
      <c r="K617" s="267"/>
      <c r="L617" s="193"/>
      <c r="M617" s="1"/>
      <c r="N617" s="191" t="s">
        <v>794</v>
      </c>
      <c r="P617" s="16"/>
      <c r="Q617" t="s">
        <v>4266</v>
      </c>
    </row>
    <row r="618" spans="1:17" s="17" customFormat="1" ht="27.75" customHeight="1">
      <c r="A618" s="4">
        <v>615</v>
      </c>
      <c r="B618" s="13" t="s">
        <v>2055</v>
      </c>
      <c r="C618" s="13" t="s">
        <v>2055</v>
      </c>
      <c r="D618" s="13"/>
      <c r="E618" s="18" t="s">
        <v>1360</v>
      </c>
      <c r="F618" s="409">
        <v>60000</v>
      </c>
      <c r="G618" s="408"/>
      <c r="H618" s="239" t="s">
        <v>2064</v>
      </c>
      <c r="I618" s="16" t="s">
        <v>871</v>
      </c>
      <c r="J618" s="16" t="s">
        <v>869</v>
      </c>
      <c r="K618" s="267" t="s">
        <v>794</v>
      </c>
      <c r="L618" s="193"/>
      <c r="M618" s="1" t="s">
        <v>794</v>
      </c>
      <c r="N618" s="191" t="s">
        <v>3522</v>
      </c>
      <c r="P618" s="16" t="s">
        <v>3252</v>
      </c>
      <c r="Q618" t="s">
        <v>4266</v>
      </c>
    </row>
    <row r="619" spans="1:17" ht="27.75" customHeight="1">
      <c r="A619" s="622">
        <v>616</v>
      </c>
      <c r="B619" s="614" t="s">
        <v>4551</v>
      </c>
      <c r="C619" s="614" t="s">
        <v>4551</v>
      </c>
      <c r="D619" s="614"/>
      <c r="E619" s="619" t="s">
        <v>1361</v>
      </c>
      <c r="F619" s="626">
        <v>118</v>
      </c>
      <c r="G619" s="627"/>
      <c r="H619" s="630" t="s">
        <v>4552</v>
      </c>
      <c r="I619" s="615" t="s">
        <v>38</v>
      </c>
      <c r="J619" s="615" t="s">
        <v>788</v>
      </c>
      <c r="K619" s="629" t="s">
        <v>794</v>
      </c>
      <c r="L619" s="621"/>
      <c r="M619" s="615" t="s">
        <v>794</v>
      </c>
      <c r="N619" s="621"/>
      <c r="O619" s="612" t="s">
        <v>4261</v>
      </c>
      <c r="P619" s="615"/>
      <c r="Q619" s="612" t="s">
        <v>788</v>
      </c>
    </row>
    <row r="620" spans="1:17" ht="27.75" customHeight="1">
      <c r="A620" s="622">
        <v>617</v>
      </c>
      <c r="B620" s="614" t="s">
        <v>4439</v>
      </c>
      <c r="C620" s="614" t="s">
        <v>4439</v>
      </c>
      <c r="D620" s="614"/>
      <c r="E620" s="614" t="s">
        <v>4440</v>
      </c>
      <c r="F620" s="626">
        <v>30000</v>
      </c>
      <c r="G620" s="627"/>
      <c r="H620" s="630" t="s">
        <v>4441</v>
      </c>
      <c r="I620" s="615" t="s">
        <v>3253</v>
      </c>
      <c r="J620" s="615" t="s">
        <v>603</v>
      </c>
      <c r="K620" s="629"/>
      <c r="L620" s="621"/>
      <c r="M620" s="615"/>
      <c r="N620" s="621"/>
      <c r="P620" s="615"/>
      <c r="Q620" s="612" t="s">
        <v>4286</v>
      </c>
    </row>
    <row r="621" spans="1:17" s="2" customFormat="1" ht="27.75" customHeight="1">
      <c r="A621" s="4">
        <v>618</v>
      </c>
      <c r="B621" s="5" t="s">
        <v>2065</v>
      </c>
      <c r="C621" s="5" t="s">
        <v>2065</v>
      </c>
      <c r="D621" s="5"/>
      <c r="E621" s="5" t="s">
        <v>2066</v>
      </c>
      <c r="F621" s="409">
        <v>100000</v>
      </c>
      <c r="G621" s="408"/>
      <c r="H621" s="240" t="s">
        <v>2067</v>
      </c>
      <c r="I621" s="1" t="s">
        <v>887</v>
      </c>
      <c r="J621" s="1" t="s">
        <v>794</v>
      </c>
      <c r="K621" s="268" t="s">
        <v>823</v>
      </c>
      <c r="L621" s="191"/>
      <c r="M621" s="1" t="s">
        <v>823</v>
      </c>
      <c r="N621" s="191"/>
      <c r="P621" s="1"/>
      <c r="Q621" s="2" t="s">
        <v>887</v>
      </c>
    </row>
    <row r="622" spans="1:17" s="2" customFormat="1" ht="27.75" customHeight="1">
      <c r="A622" s="4">
        <v>619</v>
      </c>
      <c r="B622" s="5" t="s">
        <v>2065</v>
      </c>
      <c r="C622" s="5" t="s">
        <v>2065</v>
      </c>
      <c r="D622" s="5"/>
      <c r="E622" s="3" t="s">
        <v>1362</v>
      </c>
      <c r="F622" s="408"/>
      <c r="G622" s="409">
        <v>382250</v>
      </c>
      <c r="H622" s="240" t="s">
        <v>2068</v>
      </c>
      <c r="I622" s="1" t="s">
        <v>50</v>
      </c>
      <c r="J622" s="1" t="s">
        <v>51</v>
      </c>
      <c r="K622" s="268" t="s">
        <v>794</v>
      </c>
      <c r="L622" s="191"/>
      <c r="M622" s="1" t="s">
        <v>794</v>
      </c>
      <c r="N622" s="191" t="s">
        <v>822</v>
      </c>
      <c r="P622" s="1"/>
      <c r="Q622" t="s">
        <v>4266</v>
      </c>
    </row>
    <row r="623" spans="1:17" ht="27.75" customHeight="1">
      <c r="A623" s="622">
        <v>620</v>
      </c>
      <c r="B623" s="614" t="s">
        <v>4553</v>
      </c>
      <c r="C623" s="614" t="s">
        <v>4553</v>
      </c>
      <c r="D623" s="614"/>
      <c r="E623" s="614" t="s">
        <v>4554</v>
      </c>
      <c r="F623" s="626">
        <v>80000</v>
      </c>
      <c r="G623" s="627"/>
      <c r="H623" s="630" t="s">
        <v>4555</v>
      </c>
      <c r="I623" s="615" t="s">
        <v>614</v>
      </c>
      <c r="J623" s="615" t="s">
        <v>597</v>
      </c>
      <c r="K623" s="629" t="s">
        <v>823</v>
      </c>
      <c r="L623" s="621"/>
      <c r="M623" s="615" t="s">
        <v>823</v>
      </c>
      <c r="N623" s="621"/>
      <c r="O623" s="612" t="s">
        <v>4261</v>
      </c>
      <c r="P623" s="615" t="s">
        <v>3838</v>
      </c>
      <c r="Q623" s="612" t="s">
        <v>821</v>
      </c>
    </row>
    <row r="624" spans="1:17" s="2" customFormat="1" ht="27.75" customHeight="1">
      <c r="A624" s="4">
        <v>621</v>
      </c>
      <c r="B624" s="5" t="s">
        <v>2069</v>
      </c>
      <c r="C624" s="5" t="s">
        <v>2069</v>
      </c>
      <c r="D624" s="5"/>
      <c r="E624" s="5" t="s">
        <v>2070</v>
      </c>
      <c r="F624" s="409">
        <v>116400</v>
      </c>
      <c r="G624" s="408"/>
      <c r="H624" s="240" t="s">
        <v>2071</v>
      </c>
      <c r="I624" s="1" t="s">
        <v>369</v>
      </c>
      <c r="J624" s="1" t="s">
        <v>603</v>
      </c>
      <c r="K624" s="268"/>
      <c r="L624" s="191"/>
      <c r="M624" s="1"/>
      <c r="N624" s="191"/>
      <c r="P624" s="1"/>
      <c r="Q624" t="s">
        <v>4285</v>
      </c>
    </row>
    <row r="625" spans="1:17" s="2" customFormat="1" ht="27.75" customHeight="1">
      <c r="A625" s="4">
        <v>622</v>
      </c>
      <c r="B625" s="5" t="s">
        <v>2069</v>
      </c>
      <c r="C625" s="5" t="s">
        <v>2069</v>
      </c>
      <c r="D625" s="5"/>
      <c r="E625" s="5" t="s">
        <v>2072</v>
      </c>
      <c r="F625" s="409">
        <v>87300</v>
      </c>
      <c r="G625" s="408"/>
      <c r="H625" s="240" t="s">
        <v>2073</v>
      </c>
      <c r="I625" s="1" t="s">
        <v>37</v>
      </c>
      <c r="J625" s="1" t="s">
        <v>603</v>
      </c>
      <c r="K625" s="268"/>
      <c r="L625" s="191"/>
      <c r="M625" s="1"/>
      <c r="N625" s="191"/>
      <c r="P625" s="1"/>
      <c r="Q625" t="s">
        <v>4285</v>
      </c>
    </row>
    <row r="626" spans="1:17" s="2" customFormat="1" ht="27.75" customHeight="1">
      <c r="A626" s="4">
        <v>623</v>
      </c>
      <c r="B626" s="5" t="s">
        <v>2069</v>
      </c>
      <c r="C626" s="5" t="s">
        <v>2069</v>
      </c>
      <c r="D626" s="5"/>
      <c r="E626" s="5" t="s">
        <v>2074</v>
      </c>
      <c r="F626" s="409">
        <v>87300</v>
      </c>
      <c r="G626" s="408"/>
      <c r="H626" s="240" t="s">
        <v>2075</v>
      </c>
      <c r="I626" s="1" t="s">
        <v>605</v>
      </c>
      <c r="J626" s="1" t="s">
        <v>603</v>
      </c>
      <c r="K626" s="268"/>
      <c r="L626" s="191"/>
      <c r="M626" s="1"/>
      <c r="N626" s="191"/>
      <c r="P626" s="1"/>
      <c r="Q626" t="s">
        <v>4285</v>
      </c>
    </row>
    <row r="627" spans="1:17" s="186" customFormat="1" ht="27.75" customHeight="1">
      <c r="A627" s="4">
        <v>624</v>
      </c>
      <c r="B627" s="188" t="s">
        <v>3150</v>
      </c>
      <c r="C627" s="188" t="s">
        <v>3149</v>
      </c>
      <c r="E627" s="189" t="s">
        <v>3151</v>
      </c>
      <c r="F627" s="424">
        <v>116400</v>
      </c>
      <c r="G627" s="410"/>
      <c r="H627" s="243">
        <v>5700088.9000000004</v>
      </c>
      <c r="I627" s="271" t="s">
        <v>606</v>
      </c>
      <c r="J627" s="185" t="s">
        <v>603</v>
      </c>
      <c r="K627" s="270"/>
      <c r="L627" s="192"/>
      <c r="M627" s="1"/>
      <c r="N627" s="191"/>
      <c r="P627" s="185"/>
      <c r="Q627" t="s">
        <v>4285</v>
      </c>
    </row>
    <row r="628" spans="1:17" s="2" customFormat="1" ht="27.75" customHeight="1">
      <c r="A628" s="4">
        <v>625</v>
      </c>
      <c r="B628" s="5" t="s">
        <v>2069</v>
      </c>
      <c r="C628" s="5" t="s">
        <v>2069</v>
      </c>
      <c r="D628" s="5"/>
      <c r="E628" s="5" t="s">
        <v>2076</v>
      </c>
      <c r="F628" s="409">
        <v>116400</v>
      </c>
      <c r="G628" s="408"/>
      <c r="H628" s="240" t="s">
        <v>2077</v>
      </c>
      <c r="I628" s="1" t="s">
        <v>86</v>
      </c>
      <c r="J628" s="1" t="s">
        <v>603</v>
      </c>
      <c r="K628" s="268"/>
      <c r="L628" s="191"/>
      <c r="M628" s="1"/>
      <c r="N628" s="191"/>
      <c r="P628" s="1"/>
      <c r="Q628" t="s">
        <v>4285</v>
      </c>
    </row>
    <row r="629" spans="1:17" s="2" customFormat="1" ht="27.75" customHeight="1">
      <c r="A629" s="4">
        <v>626</v>
      </c>
      <c r="B629" s="5" t="s">
        <v>2069</v>
      </c>
      <c r="C629" s="5" t="s">
        <v>2069</v>
      </c>
      <c r="D629" s="5"/>
      <c r="E629" s="5" t="s">
        <v>2078</v>
      </c>
      <c r="F629" s="409">
        <v>116400</v>
      </c>
      <c r="G629" s="408"/>
      <c r="H629" s="240" t="s">
        <v>2079</v>
      </c>
      <c r="I629" s="1" t="s">
        <v>411</v>
      </c>
      <c r="J629" s="1" t="s">
        <v>603</v>
      </c>
      <c r="K629" s="268"/>
      <c r="L629" s="191"/>
      <c r="M629" s="1"/>
      <c r="N629" s="191"/>
      <c r="P629" s="1"/>
      <c r="Q629" t="s">
        <v>4285</v>
      </c>
    </row>
    <row r="630" spans="1:17" s="2" customFormat="1" ht="27.75" customHeight="1">
      <c r="A630" s="4">
        <v>627</v>
      </c>
      <c r="B630" s="5" t="s">
        <v>2069</v>
      </c>
      <c r="C630" s="5" t="s">
        <v>2069</v>
      </c>
      <c r="D630" s="5"/>
      <c r="E630" s="5" t="s">
        <v>2080</v>
      </c>
      <c r="F630" s="409">
        <v>116400</v>
      </c>
      <c r="G630" s="408"/>
      <c r="H630" s="240" t="s">
        <v>2081</v>
      </c>
      <c r="I630" s="1" t="s">
        <v>607</v>
      </c>
      <c r="J630" s="1" t="s">
        <v>603</v>
      </c>
      <c r="K630" s="268"/>
      <c r="L630" s="191"/>
      <c r="M630" s="1"/>
      <c r="N630" s="191"/>
      <c r="P630" s="1"/>
      <c r="Q630" t="s">
        <v>4285</v>
      </c>
    </row>
    <row r="631" spans="1:17" s="2" customFormat="1" ht="27.75" customHeight="1">
      <c r="A631" s="4">
        <v>628</v>
      </c>
      <c r="B631" s="5" t="s">
        <v>2069</v>
      </c>
      <c r="C631" s="5" t="s">
        <v>2069</v>
      </c>
      <c r="D631" s="5"/>
      <c r="E631" s="5" t="s">
        <v>2082</v>
      </c>
      <c r="F631" s="415">
        <v>1000000</v>
      </c>
      <c r="G631" s="408"/>
      <c r="H631" s="240" t="s">
        <v>2083</v>
      </c>
      <c r="I631" s="1" t="s">
        <v>870</v>
      </c>
      <c r="J631" s="1" t="s">
        <v>794</v>
      </c>
      <c r="K631" s="268" t="s">
        <v>823</v>
      </c>
      <c r="L631" s="191"/>
      <c r="M631" s="1" t="s">
        <v>823</v>
      </c>
      <c r="N631" s="191"/>
      <c r="P631" s="1"/>
      <c r="Q631" s="2" t="s">
        <v>4307</v>
      </c>
    </row>
    <row r="632" spans="1:17" s="2" customFormat="1" ht="27.75" customHeight="1">
      <c r="A632" s="4">
        <v>629</v>
      </c>
      <c r="B632" s="5" t="s">
        <v>2069</v>
      </c>
      <c r="C632" s="5" t="s">
        <v>2069</v>
      </c>
      <c r="D632" s="5"/>
      <c r="E632" s="5" t="s">
        <v>2084</v>
      </c>
      <c r="F632" s="415">
        <v>1000000</v>
      </c>
      <c r="G632" s="408"/>
      <c r="H632" s="240" t="s">
        <v>2085</v>
      </c>
      <c r="I632" s="1" t="s">
        <v>870</v>
      </c>
      <c r="J632" s="1" t="s">
        <v>794</v>
      </c>
      <c r="K632" s="268" t="s">
        <v>794</v>
      </c>
      <c r="L632" s="191"/>
      <c r="M632" s="1" t="s">
        <v>794</v>
      </c>
      <c r="N632" s="191"/>
      <c r="P632" s="1"/>
      <c r="Q632" s="2" t="s">
        <v>4307</v>
      </c>
    </row>
    <row r="633" spans="1:17" s="2" customFormat="1" ht="27.75" customHeight="1">
      <c r="A633" s="4">
        <v>630</v>
      </c>
      <c r="B633" s="5" t="s">
        <v>2069</v>
      </c>
      <c r="C633" s="5" t="s">
        <v>2069</v>
      </c>
      <c r="D633" s="5"/>
      <c r="E633" s="5" t="s">
        <v>2086</v>
      </c>
      <c r="F633" s="415">
        <v>1000000</v>
      </c>
      <c r="G633" s="408"/>
      <c r="H633" s="240" t="s">
        <v>2087</v>
      </c>
      <c r="I633" s="1" t="s">
        <v>870</v>
      </c>
      <c r="J633" s="1" t="s">
        <v>794</v>
      </c>
      <c r="K633" s="268" t="s">
        <v>794</v>
      </c>
      <c r="L633" s="191"/>
      <c r="M633" s="1" t="s">
        <v>794</v>
      </c>
      <c r="N633" s="191"/>
      <c r="P633" s="1"/>
      <c r="Q633" s="2" t="s">
        <v>4307</v>
      </c>
    </row>
    <row r="634" spans="1:17" s="2" customFormat="1" ht="27.75" customHeight="1">
      <c r="A634" s="4">
        <v>631</v>
      </c>
      <c r="B634" s="5" t="s">
        <v>2069</v>
      </c>
      <c r="C634" s="5" t="s">
        <v>2069</v>
      </c>
      <c r="D634" s="5"/>
      <c r="E634" s="5" t="s">
        <v>2088</v>
      </c>
      <c r="F634" s="415">
        <v>1000000</v>
      </c>
      <c r="G634" s="408"/>
      <c r="H634" s="240" t="s">
        <v>2089</v>
      </c>
      <c r="I634" s="1" t="s">
        <v>870</v>
      </c>
      <c r="J634" s="1" t="s">
        <v>794</v>
      </c>
      <c r="K634" s="268" t="s">
        <v>794</v>
      </c>
      <c r="L634" s="191"/>
      <c r="M634" s="1" t="s">
        <v>794</v>
      </c>
      <c r="N634" s="191"/>
      <c r="P634" s="1"/>
      <c r="Q634" s="2" t="s">
        <v>4307</v>
      </c>
    </row>
    <row r="635" spans="1:17" s="2" customFormat="1" ht="27.75" customHeight="1">
      <c r="A635" s="4">
        <v>632</v>
      </c>
      <c r="B635" s="5" t="s">
        <v>2090</v>
      </c>
      <c r="C635" s="5" t="s">
        <v>2091</v>
      </c>
      <c r="D635" s="5"/>
      <c r="E635" s="5" t="s">
        <v>2092</v>
      </c>
      <c r="F635" s="409">
        <v>150000</v>
      </c>
      <c r="G635" s="408"/>
      <c r="H635" s="240" t="s">
        <v>2093</v>
      </c>
      <c r="I635" s="1" t="s">
        <v>2</v>
      </c>
      <c r="J635" s="1" t="s">
        <v>603</v>
      </c>
      <c r="K635" s="268"/>
      <c r="L635" s="191"/>
      <c r="M635" s="1"/>
      <c r="N635" s="191"/>
      <c r="P635" s="1"/>
      <c r="Q635" t="s">
        <v>4285</v>
      </c>
    </row>
    <row r="636" spans="1:17" s="17" customFormat="1" ht="27.75" customHeight="1">
      <c r="A636" s="4">
        <v>633</v>
      </c>
      <c r="B636" s="13" t="s">
        <v>2094</v>
      </c>
      <c r="C636" s="13" t="s">
        <v>2091</v>
      </c>
      <c r="D636" s="13"/>
      <c r="E636" s="13" t="s">
        <v>2095</v>
      </c>
      <c r="F636" s="411"/>
      <c r="G636" s="412">
        <v>20000</v>
      </c>
      <c r="H636" s="239" t="s">
        <v>2096</v>
      </c>
      <c r="I636" s="16" t="s">
        <v>877</v>
      </c>
      <c r="J636" s="16" t="s">
        <v>2181</v>
      </c>
      <c r="K636" s="267"/>
      <c r="L636" s="193"/>
      <c r="M636" s="1"/>
      <c r="N636" s="191" t="s">
        <v>794</v>
      </c>
      <c r="P636" s="16"/>
      <c r="Q636" t="s">
        <v>4266</v>
      </c>
    </row>
    <row r="637" spans="1:17" s="2" customFormat="1" ht="27.75" customHeight="1">
      <c r="A637" s="4">
        <v>634</v>
      </c>
      <c r="B637" s="5" t="s">
        <v>2097</v>
      </c>
      <c r="C637" s="5" t="s">
        <v>2097</v>
      </c>
      <c r="D637" s="5"/>
      <c r="E637" s="5" t="s">
        <v>2098</v>
      </c>
      <c r="F637" s="408"/>
      <c r="G637" s="415">
        <v>1000000</v>
      </c>
      <c r="H637" s="240" t="s">
        <v>2099</v>
      </c>
      <c r="I637" s="1" t="s">
        <v>870</v>
      </c>
      <c r="J637" s="1" t="s">
        <v>787</v>
      </c>
      <c r="K637" s="268"/>
      <c r="L637" s="191"/>
      <c r="M637" s="1"/>
      <c r="N637" s="191"/>
      <c r="P637" s="1"/>
      <c r="Q637" s="2" t="s">
        <v>4307</v>
      </c>
    </row>
    <row r="638" spans="1:17" s="2" customFormat="1" ht="27.75" customHeight="1">
      <c r="A638" s="4">
        <v>635</v>
      </c>
      <c r="B638" s="5" t="s">
        <v>2097</v>
      </c>
      <c r="C638" s="5" t="s">
        <v>2097</v>
      </c>
      <c r="D638" s="5"/>
      <c r="E638" s="5" t="s">
        <v>2100</v>
      </c>
      <c r="F638" s="408"/>
      <c r="G638" s="415">
        <v>1000000</v>
      </c>
      <c r="H638" s="240" t="s">
        <v>2101</v>
      </c>
      <c r="I638" s="1" t="s">
        <v>870</v>
      </c>
      <c r="J638" s="1" t="s">
        <v>787</v>
      </c>
      <c r="K638" s="268"/>
      <c r="L638" s="191"/>
      <c r="M638" s="1"/>
      <c r="N638" s="191"/>
      <c r="P638" s="1"/>
      <c r="Q638" s="2" t="s">
        <v>4307</v>
      </c>
    </row>
    <row r="639" spans="1:17" s="2" customFormat="1" ht="27.75" customHeight="1">
      <c r="A639" s="4">
        <v>636</v>
      </c>
      <c r="B639" s="5" t="s">
        <v>2097</v>
      </c>
      <c r="C639" s="5" t="s">
        <v>2097</v>
      </c>
      <c r="D639" s="5"/>
      <c r="E639" s="5" t="s">
        <v>2102</v>
      </c>
      <c r="F639" s="415">
        <v>1000000</v>
      </c>
      <c r="G639" s="408"/>
      <c r="H639" s="240" t="s">
        <v>2099</v>
      </c>
      <c r="I639" s="1" t="s">
        <v>862</v>
      </c>
      <c r="J639" s="1" t="s">
        <v>1028</v>
      </c>
      <c r="K639" s="268"/>
      <c r="L639" s="191"/>
      <c r="M639" s="1"/>
      <c r="N639" s="191"/>
      <c r="O639" s="2" t="s">
        <v>4261</v>
      </c>
      <c r="P639" s="1"/>
      <c r="Q639" t="s">
        <v>4300</v>
      </c>
    </row>
    <row r="640" spans="1:17" s="2" customFormat="1" ht="27.75" customHeight="1">
      <c r="A640" s="4">
        <v>637</v>
      </c>
      <c r="B640" s="5" t="s">
        <v>2097</v>
      </c>
      <c r="C640" s="5" t="s">
        <v>2097</v>
      </c>
      <c r="D640" s="5"/>
      <c r="E640" s="5" t="s">
        <v>2103</v>
      </c>
      <c r="F640" s="415">
        <v>1000000</v>
      </c>
      <c r="G640" s="408"/>
      <c r="H640" s="240" t="s">
        <v>2096</v>
      </c>
      <c r="I640" s="1" t="s">
        <v>862</v>
      </c>
      <c r="J640" s="1" t="s">
        <v>1028</v>
      </c>
      <c r="K640" s="268"/>
      <c r="L640" s="191"/>
      <c r="M640" s="1"/>
      <c r="N640" s="191"/>
      <c r="O640" s="2" t="s">
        <v>4261</v>
      </c>
      <c r="P640" s="1"/>
      <c r="Q640" t="s">
        <v>4300</v>
      </c>
    </row>
    <row r="641" spans="1:17" s="17" customFormat="1" ht="27.75" customHeight="1">
      <c r="A641" s="4">
        <v>638</v>
      </c>
      <c r="B641" s="13" t="s">
        <v>2097</v>
      </c>
      <c r="C641" s="13" t="s">
        <v>2097</v>
      </c>
      <c r="D641" s="13"/>
      <c r="E641" s="13" t="s">
        <v>2104</v>
      </c>
      <c r="F641" s="411"/>
      <c r="G641" s="412">
        <v>10000</v>
      </c>
      <c r="H641" s="239" t="s">
        <v>2105</v>
      </c>
      <c r="I641" s="16" t="s">
        <v>878</v>
      </c>
      <c r="J641" s="16" t="s">
        <v>882</v>
      </c>
      <c r="K641" s="267"/>
      <c r="L641" s="193"/>
      <c r="M641" s="1"/>
      <c r="N641" s="191" t="s">
        <v>794</v>
      </c>
      <c r="P641" s="16"/>
      <c r="Q641" t="s">
        <v>4266</v>
      </c>
    </row>
    <row r="642" spans="1:17" ht="27.75" customHeight="1">
      <c r="A642" s="622">
        <v>639</v>
      </c>
      <c r="B642" s="614" t="s">
        <v>4556</v>
      </c>
      <c r="C642" s="614" t="s">
        <v>4556</v>
      </c>
      <c r="D642" s="614"/>
      <c r="E642" s="614" t="s">
        <v>4557</v>
      </c>
      <c r="F642" s="626">
        <v>65000</v>
      </c>
      <c r="G642" s="627"/>
      <c r="H642" s="630" t="s">
        <v>4558</v>
      </c>
      <c r="I642" s="615" t="s">
        <v>614</v>
      </c>
      <c r="J642" s="615" t="s">
        <v>597</v>
      </c>
      <c r="K642" s="629" t="s">
        <v>794</v>
      </c>
      <c r="L642" s="621"/>
      <c r="M642" s="615" t="s">
        <v>794</v>
      </c>
      <c r="N642" s="621"/>
      <c r="O642" s="612" t="s">
        <v>4261</v>
      </c>
      <c r="P642" s="615" t="s">
        <v>3838</v>
      </c>
      <c r="Q642" s="612" t="s">
        <v>821</v>
      </c>
    </row>
    <row r="643" spans="1:17" s="2" customFormat="1" ht="27.75" customHeight="1">
      <c r="A643" s="4">
        <v>640</v>
      </c>
      <c r="B643" s="5" t="s">
        <v>2106</v>
      </c>
      <c r="C643" s="5" t="s">
        <v>2106</v>
      </c>
      <c r="D643" s="5"/>
      <c r="E643" s="3" t="s">
        <v>1363</v>
      </c>
      <c r="F643" s="408"/>
      <c r="G643" s="409">
        <v>200000</v>
      </c>
      <c r="H643" s="240" t="s">
        <v>2107</v>
      </c>
      <c r="I643" s="1" t="s">
        <v>610</v>
      </c>
      <c r="J643" s="1" t="s">
        <v>467</v>
      </c>
      <c r="K643" s="268" t="s">
        <v>794</v>
      </c>
      <c r="L643" s="191"/>
      <c r="M643" s="1" t="s">
        <v>794</v>
      </c>
      <c r="N643" s="191" t="s">
        <v>794</v>
      </c>
      <c r="P643" s="1" t="s">
        <v>794</v>
      </c>
      <c r="Q643" t="s">
        <v>4266</v>
      </c>
    </row>
    <row r="644" spans="1:17" s="17" customFormat="1" ht="27.75" customHeight="1">
      <c r="A644" s="4">
        <v>641</v>
      </c>
      <c r="B644" s="13" t="s">
        <v>2106</v>
      </c>
      <c r="C644" s="13" t="s">
        <v>2106</v>
      </c>
      <c r="D644" s="13"/>
      <c r="E644" s="13" t="s">
        <v>2108</v>
      </c>
      <c r="F644" s="411"/>
      <c r="G644" s="412">
        <v>51000</v>
      </c>
      <c r="H644" s="239" t="s">
        <v>2109</v>
      </c>
      <c r="I644" s="16" t="s">
        <v>879</v>
      </c>
      <c r="J644" s="16" t="s">
        <v>880</v>
      </c>
      <c r="K644" s="267" t="s">
        <v>840</v>
      </c>
      <c r="L644" s="193"/>
      <c r="M644" s="1" t="s">
        <v>3530</v>
      </c>
      <c r="N644" s="1" t="s">
        <v>3530</v>
      </c>
      <c r="P644" s="16"/>
      <c r="Q644" t="s">
        <v>4266</v>
      </c>
    </row>
    <row r="645" spans="1:17" s="2" customFormat="1" ht="27.75" customHeight="1">
      <c r="A645" s="4">
        <v>642</v>
      </c>
      <c r="B645" s="5" t="s">
        <v>2106</v>
      </c>
      <c r="C645" s="5" t="s">
        <v>2106</v>
      </c>
      <c r="D645" s="5"/>
      <c r="E645" s="5" t="s">
        <v>2110</v>
      </c>
      <c r="F645" s="408"/>
      <c r="G645" s="409">
        <v>392000</v>
      </c>
      <c r="H645" s="240" t="s">
        <v>2111</v>
      </c>
      <c r="I645" s="1" t="s">
        <v>881</v>
      </c>
      <c r="J645" s="1" t="s">
        <v>321</v>
      </c>
      <c r="K645" s="268" t="s">
        <v>794</v>
      </c>
      <c r="L645" s="191"/>
      <c r="M645" s="1" t="s">
        <v>794</v>
      </c>
      <c r="N645" s="191" t="s">
        <v>3531</v>
      </c>
      <c r="P645" s="1" t="s">
        <v>3883</v>
      </c>
      <c r="Q645" t="s">
        <v>4266</v>
      </c>
    </row>
    <row r="646" spans="1:17" s="17" customFormat="1" ht="27.75" customHeight="1">
      <c r="A646" s="4">
        <v>643</v>
      </c>
      <c r="B646" s="21" t="s">
        <v>2112</v>
      </c>
      <c r="C646" s="21" t="s">
        <v>2113</v>
      </c>
      <c r="D646" s="21"/>
      <c r="E646" s="21" t="s">
        <v>2114</v>
      </c>
      <c r="F646" s="425"/>
      <c r="G646" s="426">
        <v>10000</v>
      </c>
      <c r="H646" s="244" t="s">
        <v>2115</v>
      </c>
      <c r="I646" s="16" t="s">
        <v>883</v>
      </c>
      <c r="J646" s="16" t="s">
        <v>114</v>
      </c>
      <c r="K646" s="17" t="s">
        <v>794</v>
      </c>
      <c r="L646" s="17" t="s">
        <v>841</v>
      </c>
      <c r="M646" s="2" t="s">
        <v>794</v>
      </c>
      <c r="N646" s="2" t="s">
        <v>794</v>
      </c>
      <c r="P646" s="16"/>
      <c r="Q646" t="s">
        <v>4266</v>
      </c>
    </row>
    <row r="647" spans="1:17" s="2" customFormat="1" ht="27.75" customHeight="1">
      <c r="A647" s="4">
        <v>644</v>
      </c>
      <c r="B647" s="19" t="s">
        <v>2116</v>
      </c>
      <c r="C647" s="19" t="s">
        <v>2116</v>
      </c>
      <c r="D647" s="19"/>
      <c r="E647" s="19" t="s">
        <v>2117</v>
      </c>
      <c r="F647" s="427">
        <v>19400</v>
      </c>
      <c r="G647" s="428"/>
      <c r="H647" s="245" t="s">
        <v>2118</v>
      </c>
      <c r="I647" s="1" t="s">
        <v>744</v>
      </c>
      <c r="J647" s="1" t="s">
        <v>603</v>
      </c>
      <c r="P647" s="1"/>
      <c r="Q647" t="s">
        <v>4285</v>
      </c>
    </row>
    <row r="648" spans="1:17" s="2" customFormat="1" ht="27.75" customHeight="1">
      <c r="A648" s="4">
        <v>645</v>
      </c>
      <c r="B648" s="19" t="s">
        <v>2116</v>
      </c>
      <c r="C648" s="19" t="s">
        <v>2116</v>
      </c>
      <c r="D648" s="19"/>
      <c r="E648" s="19" t="s">
        <v>2119</v>
      </c>
      <c r="F648" s="428"/>
      <c r="G648" s="427">
        <v>100000</v>
      </c>
      <c r="H648" s="245" t="s">
        <v>2120</v>
      </c>
      <c r="I648" s="1" t="s">
        <v>887</v>
      </c>
      <c r="J648" s="1" t="s">
        <v>787</v>
      </c>
      <c r="P648" s="1"/>
      <c r="Q648" s="2" t="s">
        <v>887</v>
      </c>
    </row>
    <row r="649" spans="1:17" s="2" customFormat="1" ht="27.75" customHeight="1">
      <c r="A649" s="4">
        <v>646</v>
      </c>
      <c r="B649" s="19" t="s">
        <v>2121</v>
      </c>
      <c r="C649" s="389" t="s">
        <v>4218</v>
      </c>
      <c r="D649" s="389"/>
      <c r="E649" s="390" t="s">
        <v>4212</v>
      </c>
      <c r="F649" s="429">
        <v>806000</v>
      </c>
      <c r="G649" s="430"/>
      <c r="H649" s="245" t="s">
        <v>2122</v>
      </c>
      <c r="I649" s="1" t="s">
        <v>888</v>
      </c>
      <c r="J649" s="1" t="s">
        <v>350</v>
      </c>
      <c r="K649" s="2" t="s">
        <v>794</v>
      </c>
      <c r="M649" s="2" t="s">
        <v>794</v>
      </c>
      <c r="P649" s="1" t="s">
        <v>3838</v>
      </c>
      <c r="Q649" t="s">
        <v>1345</v>
      </c>
    </row>
    <row r="650" spans="1:17" ht="27.75" customHeight="1">
      <c r="A650" s="622">
        <v>647</v>
      </c>
      <c r="B650" s="631" t="s">
        <v>4559</v>
      </c>
      <c r="C650" s="631" t="s">
        <v>4559</v>
      </c>
      <c r="D650" s="631"/>
      <c r="E650" s="631" t="s">
        <v>4560</v>
      </c>
      <c r="F650" s="632">
        <v>234500</v>
      </c>
      <c r="G650" s="633"/>
      <c r="H650" s="672">
        <v>858988.9</v>
      </c>
      <c r="I650" s="615" t="s">
        <v>713</v>
      </c>
      <c r="J650" s="615" t="s">
        <v>794</v>
      </c>
      <c r="K650" s="612" t="s">
        <v>794</v>
      </c>
      <c r="L650" s="612" t="s">
        <v>828</v>
      </c>
      <c r="M650" s="612" t="s">
        <v>794</v>
      </c>
      <c r="N650" s="612" t="s">
        <v>828</v>
      </c>
      <c r="P650" s="615" t="s">
        <v>3838</v>
      </c>
      <c r="Q650" s="612" t="s">
        <v>4283</v>
      </c>
    </row>
    <row r="651" spans="1:17" s="2" customFormat="1" ht="27.75" customHeight="1">
      <c r="A651" s="4">
        <v>648</v>
      </c>
      <c r="B651" s="19" t="s">
        <v>2123</v>
      </c>
      <c r="C651" s="19" t="s">
        <v>2123</v>
      </c>
      <c r="D651" s="19"/>
      <c r="E651" s="19" t="s">
        <v>2124</v>
      </c>
      <c r="F651" s="428"/>
      <c r="G651" s="427">
        <v>50000</v>
      </c>
      <c r="H651" s="246">
        <v>908988.9</v>
      </c>
      <c r="I651" s="1" t="s">
        <v>1134</v>
      </c>
      <c r="J651" s="1" t="s">
        <v>3146</v>
      </c>
      <c r="N651" s="2" t="s">
        <v>794</v>
      </c>
      <c r="P651" s="1"/>
      <c r="Q651" t="s">
        <v>4266</v>
      </c>
    </row>
    <row r="652" spans="1:17" s="2" customFormat="1" ht="27.75" customHeight="1">
      <c r="A652" s="4">
        <v>649</v>
      </c>
      <c r="B652" s="19" t="s">
        <v>2125</v>
      </c>
      <c r="C652" s="19" t="s">
        <v>2125</v>
      </c>
      <c r="D652" s="19"/>
      <c r="E652" s="19" t="s">
        <v>2126</v>
      </c>
      <c r="F652" s="428"/>
      <c r="G652" s="427">
        <v>289000</v>
      </c>
      <c r="H652" s="245" t="s">
        <v>2127</v>
      </c>
      <c r="I652" s="1" t="s">
        <v>349</v>
      </c>
      <c r="J652" s="1" t="s">
        <v>787</v>
      </c>
      <c r="P652" s="1"/>
      <c r="Q652" t="s">
        <v>1345</v>
      </c>
    </row>
    <row r="653" spans="1:17" s="2" customFormat="1" ht="27.75" customHeight="1">
      <c r="A653" s="4">
        <v>650</v>
      </c>
      <c r="B653" s="19" t="s">
        <v>2125</v>
      </c>
      <c r="C653" s="19" t="s">
        <v>2125</v>
      </c>
      <c r="D653" s="19"/>
      <c r="E653" s="19" t="s">
        <v>2128</v>
      </c>
      <c r="F653" s="428"/>
      <c r="G653" s="427">
        <v>266000</v>
      </c>
      <c r="H653" s="245" t="s">
        <v>2129</v>
      </c>
      <c r="I653" s="1" t="s">
        <v>472</v>
      </c>
      <c r="J653" s="1" t="s">
        <v>889</v>
      </c>
      <c r="K653" s="2" t="s">
        <v>824</v>
      </c>
      <c r="M653" s="2" t="s">
        <v>824</v>
      </c>
      <c r="N653" s="2" t="s">
        <v>3522</v>
      </c>
      <c r="P653" s="1"/>
      <c r="Q653" t="s">
        <v>4266</v>
      </c>
    </row>
    <row r="654" spans="1:17" s="2" customFormat="1" ht="27.75" customHeight="1">
      <c r="A654" s="4">
        <v>651</v>
      </c>
      <c r="B654" s="19" t="s">
        <v>2125</v>
      </c>
      <c r="C654" s="19" t="s">
        <v>2125</v>
      </c>
      <c r="D654" s="19"/>
      <c r="E654" s="19" t="s">
        <v>2130</v>
      </c>
      <c r="F654" s="428"/>
      <c r="G654" s="427">
        <v>430000</v>
      </c>
      <c r="H654" s="245" t="s">
        <v>2131</v>
      </c>
      <c r="I654" s="1" t="s">
        <v>890</v>
      </c>
      <c r="J654" s="1" t="s">
        <v>1048</v>
      </c>
      <c r="N654" s="2" t="s">
        <v>794</v>
      </c>
      <c r="P654" s="1"/>
      <c r="Q654" t="s">
        <v>4266</v>
      </c>
    </row>
    <row r="655" spans="1:17" s="2" customFormat="1" ht="27.75" customHeight="1">
      <c r="A655" s="4">
        <v>652</v>
      </c>
      <c r="B655" s="19" t="s">
        <v>2125</v>
      </c>
      <c r="C655" s="19" t="s">
        <v>2125</v>
      </c>
      <c r="D655" s="19"/>
      <c r="E655" s="20" t="s">
        <v>1364</v>
      </c>
      <c r="F655" s="427">
        <v>266000</v>
      </c>
      <c r="G655" s="428"/>
      <c r="H655" s="245" t="s">
        <v>2132</v>
      </c>
      <c r="I655" s="1" t="s">
        <v>472</v>
      </c>
      <c r="J655" s="1" t="s">
        <v>892</v>
      </c>
      <c r="K655" s="2" t="s">
        <v>794</v>
      </c>
      <c r="M655" s="2" t="s">
        <v>794</v>
      </c>
      <c r="N655" s="2" t="s">
        <v>3522</v>
      </c>
      <c r="P655" s="1"/>
      <c r="Q655" t="s">
        <v>4266</v>
      </c>
    </row>
    <row r="656" spans="1:17" ht="27.75" customHeight="1">
      <c r="A656" s="622">
        <v>653</v>
      </c>
      <c r="B656" s="631" t="s">
        <v>4561</v>
      </c>
      <c r="C656" s="631" t="s">
        <v>4561</v>
      </c>
      <c r="D656" s="631"/>
      <c r="E656" s="673" t="s">
        <v>1365</v>
      </c>
      <c r="F656" s="632">
        <v>118</v>
      </c>
      <c r="G656" s="633"/>
      <c r="H656" s="634" t="s">
        <v>4562</v>
      </c>
      <c r="I656" s="615" t="s">
        <v>38</v>
      </c>
      <c r="J656" s="615" t="s">
        <v>788</v>
      </c>
      <c r="K656" s="612" t="s">
        <v>794</v>
      </c>
      <c r="M656" s="612" t="s">
        <v>794</v>
      </c>
      <c r="O656" s="612" t="s">
        <v>4261</v>
      </c>
      <c r="P656" s="615"/>
      <c r="Q656" s="612" t="s">
        <v>788</v>
      </c>
    </row>
    <row r="657" spans="1:17" ht="27.75" customHeight="1">
      <c r="A657" s="622">
        <v>654</v>
      </c>
      <c r="B657" s="631" t="s">
        <v>4563</v>
      </c>
      <c r="C657" s="631" t="s">
        <v>4563</v>
      </c>
      <c r="D657" s="631"/>
      <c r="E657" s="631" t="s">
        <v>4564</v>
      </c>
      <c r="F657" s="632">
        <v>75000</v>
      </c>
      <c r="G657" s="633"/>
      <c r="H657" s="634" t="s">
        <v>4565</v>
      </c>
      <c r="I657" s="615" t="s">
        <v>614</v>
      </c>
      <c r="J657" s="615" t="s">
        <v>597</v>
      </c>
      <c r="K657" s="612" t="s">
        <v>794</v>
      </c>
      <c r="M657" s="612" t="s">
        <v>794</v>
      </c>
      <c r="O657" s="612" t="s">
        <v>4261</v>
      </c>
      <c r="P657" s="615" t="s">
        <v>3838</v>
      </c>
      <c r="Q657" s="612" t="s">
        <v>821</v>
      </c>
    </row>
    <row r="658" spans="1:17" s="17" customFormat="1" ht="27.75" customHeight="1">
      <c r="A658" s="4">
        <v>655</v>
      </c>
      <c r="B658" s="21" t="s">
        <v>2133</v>
      </c>
      <c r="C658" s="21" t="s">
        <v>2133</v>
      </c>
      <c r="D658" s="21"/>
      <c r="E658" s="21" t="s">
        <v>2134</v>
      </c>
      <c r="F658" s="425"/>
      <c r="G658" s="426">
        <v>5000</v>
      </c>
      <c r="H658" s="244" t="s">
        <v>2135</v>
      </c>
      <c r="I658" s="16" t="s">
        <v>1287</v>
      </c>
      <c r="J658" s="16" t="s">
        <v>1128</v>
      </c>
      <c r="K658" s="17" t="s">
        <v>830</v>
      </c>
      <c r="M658" s="2" t="s">
        <v>830</v>
      </c>
      <c r="N658" s="2" t="s">
        <v>3574</v>
      </c>
      <c r="P658" s="16"/>
      <c r="Q658" t="s">
        <v>4266</v>
      </c>
    </row>
    <row r="659" spans="1:17" s="17" customFormat="1" ht="27.75" customHeight="1">
      <c r="A659" s="4">
        <v>656</v>
      </c>
      <c r="B659" s="21" t="s">
        <v>2133</v>
      </c>
      <c r="C659" s="21" t="s">
        <v>2133</v>
      </c>
      <c r="D659" s="21"/>
      <c r="E659" s="21" t="s">
        <v>2136</v>
      </c>
      <c r="F659" s="426">
        <v>371000</v>
      </c>
      <c r="G659" s="425"/>
      <c r="H659" s="244" t="s">
        <v>2137</v>
      </c>
      <c r="I659" s="16" t="s">
        <v>89</v>
      </c>
      <c r="J659" s="16" t="s">
        <v>891</v>
      </c>
      <c r="K659" s="17" t="s">
        <v>823</v>
      </c>
      <c r="M659" s="2" t="s">
        <v>823</v>
      </c>
      <c r="N659" s="2" t="s">
        <v>832</v>
      </c>
      <c r="P659" s="16"/>
      <c r="Q659" t="s">
        <v>4266</v>
      </c>
    </row>
    <row r="660" spans="1:17" s="2" customFormat="1" ht="27.75" customHeight="1">
      <c r="A660" s="4">
        <v>657</v>
      </c>
      <c r="B660" s="19" t="s">
        <v>2133</v>
      </c>
      <c r="C660" s="19" t="s">
        <v>2133</v>
      </c>
      <c r="D660" s="19"/>
      <c r="E660" s="19" t="s">
        <v>2138</v>
      </c>
      <c r="F660" s="428"/>
      <c r="G660" s="427">
        <v>175000</v>
      </c>
      <c r="H660" s="245" t="s">
        <v>2139</v>
      </c>
      <c r="I660" s="1" t="s">
        <v>93</v>
      </c>
      <c r="J660" s="1" t="s">
        <v>94</v>
      </c>
      <c r="K660" s="2" t="s">
        <v>794</v>
      </c>
      <c r="M660" s="2" t="s">
        <v>794</v>
      </c>
      <c r="N660" s="2" t="s">
        <v>794</v>
      </c>
      <c r="P660" s="1"/>
      <c r="Q660" t="s">
        <v>4266</v>
      </c>
    </row>
    <row r="661" spans="1:17" s="2" customFormat="1" ht="27.75" customHeight="1">
      <c r="A661" s="4">
        <v>658</v>
      </c>
      <c r="B661" s="19" t="s">
        <v>2140</v>
      </c>
      <c r="C661" s="19" t="s">
        <v>2141</v>
      </c>
      <c r="D661" s="19"/>
      <c r="E661" s="19" t="s">
        <v>2142</v>
      </c>
      <c r="F661" s="427">
        <v>200000</v>
      </c>
      <c r="G661" s="428"/>
      <c r="H661" s="245" t="s">
        <v>2143</v>
      </c>
      <c r="I661" s="1" t="s">
        <v>4</v>
      </c>
      <c r="J661" s="1" t="s">
        <v>603</v>
      </c>
      <c r="P661" s="1"/>
      <c r="Q661" t="s">
        <v>4285</v>
      </c>
    </row>
    <row r="662" spans="1:17" s="2" customFormat="1" ht="27.75" customHeight="1">
      <c r="A662" s="4">
        <v>659</v>
      </c>
      <c r="B662" s="19" t="s">
        <v>2140</v>
      </c>
      <c r="C662" s="19" t="s">
        <v>2141</v>
      </c>
      <c r="D662" s="19"/>
      <c r="E662" s="19" t="s">
        <v>2144</v>
      </c>
      <c r="F662" s="427">
        <v>38800</v>
      </c>
      <c r="G662" s="428"/>
      <c r="H662" s="245" t="s">
        <v>2145</v>
      </c>
      <c r="I662" s="1" t="s">
        <v>369</v>
      </c>
      <c r="J662" s="1" t="s">
        <v>603</v>
      </c>
      <c r="P662" s="1"/>
      <c r="Q662" t="s">
        <v>4285</v>
      </c>
    </row>
    <row r="663" spans="1:17" s="2" customFormat="1" ht="27.75" customHeight="1">
      <c r="A663" s="4">
        <v>660</v>
      </c>
      <c r="B663" s="19" t="s">
        <v>2140</v>
      </c>
      <c r="C663" s="19" t="s">
        <v>2141</v>
      </c>
      <c r="D663" s="19"/>
      <c r="E663" s="19" t="s">
        <v>2146</v>
      </c>
      <c r="F663" s="427">
        <v>38800</v>
      </c>
      <c r="G663" s="428"/>
      <c r="H663" s="245" t="s">
        <v>2147</v>
      </c>
      <c r="I663" s="1" t="s">
        <v>37</v>
      </c>
      <c r="J663" s="1" t="s">
        <v>603</v>
      </c>
      <c r="P663" s="1"/>
      <c r="Q663" t="s">
        <v>4285</v>
      </c>
    </row>
    <row r="664" spans="1:17" s="2" customFormat="1" ht="27.75" customHeight="1">
      <c r="A664" s="4">
        <v>661</v>
      </c>
      <c r="B664" s="19" t="s">
        <v>2140</v>
      </c>
      <c r="C664" s="19" t="s">
        <v>2141</v>
      </c>
      <c r="D664" s="19"/>
      <c r="E664" s="19" t="s">
        <v>2148</v>
      </c>
      <c r="F664" s="427">
        <v>29100</v>
      </c>
      <c r="G664" s="428"/>
      <c r="H664" s="245" t="s">
        <v>2149</v>
      </c>
      <c r="I664" s="1" t="s">
        <v>37</v>
      </c>
      <c r="J664" s="1" t="s">
        <v>794</v>
      </c>
      <c r="K664" s="2" t="s">
        <v>794</v>
      </c>
      <c r="M664" s="2" t="s">
        <v>794</v>
      </c>
      <c r="P664" s="1"/>
      <c r="Q664" t="s">
        <v>4285</v>
      </c>
    </row>
    <row r="665" spans="1:17" ht="27.75" customHeight="1">
      <c r="A665" s="622">
        <v>662</v>
      </c>
      <c r="B665" s="631" t="s">
        <v>4442</v>
      </c>
      <c r="C665" s="631" t="s">
        <v>4443</v>
      </c>
      <c r="D665" s="631"/>
      <c r="E665" s="631" t="s">
        <v>4444</v>
      </c>
      <c r="F665" s="632">
        <v>29100</v>
      </c>
      <c r="G665" s="633"/>
      <c r="H665" s="634" t="s">
        <v>4445</v>
      </c>
      <c r="I665" s="615" t="s">
        <v>3253</v>
      </c>
      <c r="J665" s="615" t="s">
        <v>603</v>
      </c>
      <c r="M665" s="612"/>
      <c r="P665" s="615">
        <v>900</v>
      </c>
      <c r="Q665" s="612" t="s">
        <v>4286</v>
      </c>
    </row>
    <row r="666" spans="1:17" s="2" customFormat="1" ht="27.75" customHeight="1">
      <c r="A666" s="4">
        <v>663</v>
      </c>
      <c r="B666" s="19" t="s">
        <v>2140</v>
      </c>
      <c r="C666" s="19" t="s">
        <v>2141</v>
      </c>
      <c r="D666" s="19"/>
      <c r="E666" s="19" t="s">
        <v>2150</v>
      </c>
      <c r="F666" s="427">
        <v>29100</v>
      </c>
      <c r="G666" s="428"/>
      <c r="H666" s="246">
        <v>996970.9</v>
      </c>
      <c r="I666" s="1" t="s">
        <v>605</v>
      </c>
      <c r="J666" s="1" t="s">
        <v>603</v>
      </c>
      <c r="P666" s="1"/>
      <c r="Q666" t="s">
        <v>4285</v>
      </c>
    </row>
    <row r="667" spans="1:17" s="2" customFormat="1" ht="27.75" customHeight="1">
      <c r="A667" s="4">
        <v>664</v>
      </c>
      <c r="B667" s="19" t="s">
        <v>2140</v>
      </c>
      <c r="C667" s="19" t="s">
        <v>2141</v>
      </c>
      <c r="D667" s="19"/>
      <c r="E667" s="20" t="s">
        <v>1366</v>
      </c>
      <c r="F667" s="427">
        <v>29100</v>
      </c>
      <c r="G667" s="428"/>
      <c r="H667" s="246">
        <v>967870.9</v>
      </c>
      <c r="I667" s="1" t="s">
        <v>606</v>
      </c>
      <c r="J667" s="1" t="s">
        <v>603</v>
      </c>
      <c r="P667" s="1"/>
      <c r="Q667" t="s">
        <v>4285</v>
      </c>
    </row>
    <row r="668" spans="1:17" s="2" customFormat="1" ht="27.75" customHeight="1">
      <c r="A668" s="4">
        <v>665</v>
      </c>
      <c r="B668" s="19" t="s">
        <v>2140</v>
      </c>
      <c r="C668" s="19" t="s">
        <v>2141</v>
      </c>
      <c r="D668" s="19"/>
      <c r="E668" s="19" t="s">
        <v>2151</v>
      </c>
      <c r="F668" s="427">
        <v>29100</v>
      </c>
      <c r="G668" s="428"/>
      <c r="H668" s="246">
        <v>938770.9</v>
      </c>
      <c r="I668" s="1" t="s">
        <v>86</v>
      </c>
      <c r="J668" s="1" t="s">
        <v>603</v>
      </c>
      <c r="P668" s="1"/>
      <c r="Q668" t="s">
        <v>4285</v>
      </c>
    </row>
    <row r="669" spans="1:17" s="2" customFormat="1" ht="27.75" customHeight="1">
      <c r="A669" s="4">
        <v>666</v>
      </c>
      <c r="B669" s="19" t="s">
        <v>2140</v>
      </c>
      <c r="C669" s="19" t="s">
        <v>2141</v>
      </c>
      <c r="D669" s="19"/>
      <c r="E669" s="19" t="s">
        <v>2152</v>
      </c>
      <c r="F669" s="427">
        <v>29100</v>
      </c>
      <c r="G669" s="428"/>
      <c r="H669" s="246">
        <v>909670.9</v>
      </c>
      <c r="I669" s="1" t="s">
        <v>411</v>
      </c>
      <c r="J669" s="1" t="s">
        <v>603</v>
      </c>
      <c r="P669" s="1"/>
      <c r="Q669" t="s">
        <v>4285</v>
      </c>
    </row>
    <row r="670" spans="1:17" s="2" customFormat="1" ht="27.75" customHeight="1">
      <c r="A670" s="4">
        <v>667</v>
      </c>
      <c r="B670" s="19" t="s">
        <v>2140</v>
      </c>
      <c r="C670" s="19" t="s">
        <v>2141</v>
      </c>
      <c r="D670" s="19"/>
      <c r="E670" s="19" t="s">
        <v>2153</v>
      </c>
      <c r="F670" s="427">
        <v>29100</v>
      </c>
      <c r="G670" s="428"/>
      <c r="H670" s="246">
        <v>880570.9</v>
      </c>
      <c r="I670" s="1" t="s">
        <v>149</v>
      </c>
      <c r="J670" s="1" t="s">
        <v>603</v>
      </c>
      <c r="P670" s="1">
        <v>900</v>
      </c>
      <c r="Q670" t="s">
        <v>4285</v>
      </c>
    </row>
    <row r="671" spans="1:17" s="2" customFormat="1" ht="27.75" customHeight="1">
      <c r="A671" s="4">
        <v>668</v>
      </c>
      <c r="B671" s="19" t="s">
        <v>2140</v>
      </c>
      <c r="C671" s="19" t="s">
        <v>2141</v>
      </c>
      <c r="D671" s="19"/>
      <c r="E671" s="19" t="s">
        <v>2154</v>
      </c>
      <c r="F671" s="427">
        <v>29100</v>
      </c>
      <c r="G671" s="428"/>
      <c r="H671" s="246">
        <v>851470.9</v>
      </c>
      <c r="I671" s="1" t="s">
        <v>607</v>
      </c>
      <c r="J671" s="1" t="s">
        <v>603</v>
      </c>
      <c r="P671" s="1"/>
      <c r="Q671" t="s">
        <v>4285</v>
      </c>
    </row>
    <row r="672" spans="1:17" s="2" customFormat="1" ht="27.75" customHeight="1">
      <c r="A672" s="4">
        <v>669</v>
      </c>
      <c r="B672" s="19" t="s">
        <v>2140</v>
      </c>
      <c r="C672" s="19" t="s">
        <v>2141</v>
      </c>
      <c r="D672" s="19"/>
      <c r="E672" s="19" t="s">
        <v>2155</v>
      </c>
      <c r="F672" s="427">
        <v>19400</v>
      </c>
      <c r="G672" s="428"/>
      <c r="H672" s="246">
        <v>832070.9</v>
      </c>
      <c r="I672" s="1" t="s">
        <v>715</v>
      </c>
      <c r="J672" s="1" t="s">
        <v>603</v>
      </c>
      <c r="P672" s="1">
        <v>600</v>
      </c>
      <c r="Q672" t="s">
        <v>4285</v>
      </c>
    </row>
    <row r="673" spans="1:17" s="2" customFormat="1" ht="27.75" customHeight="1">
      <c r="A673" s="4">
        <v>670</v>
      </c>
      <c r="B673" s="19" t="s">
        <v>2140</v>
      </c>
      <c r="C673" s="19" t="s">
        <v>2141</v>
      </c>
      <c r="D673" s="19"/>
      <c r="E673" s="19" t="s">
        <v>2156</v>
      </c>
      <c r="F673" s="427">
        <v>600000</v>
      </c>
      <c r="G673" s="428"/>
      <c r="H673" s="246">
        <v>232070.9</v>
      </c>
      <c r="I673" s="1" t="s">
        <v>2</v>
      </c>
      <c r="J673" s="1" t="s">
        <v>603</v>
      </c>
      <c r="P673" s="1"/>
      <c r="Q673" t="s">
        <v>4285</v>
      </c>
    </row>
    <row r="674" spans="1:17" s="2" customFormat="1" ht="27.75" customHeight="1">
      <c r="A674" s="4">
        <v>671</v>
      </c>
      <c r="B674" s="19" t="s">
        <v>2140</v>
      </c>
      <c r="C674" s="19" t="s">
        <v>2141</v>
      </c>
      <c r="D674" s="19"/>
      <c r="E674" s="19" t="s">
        <v>2157</v>
      </c>
      <c r="F674" s="428"/>
      <c r="G674" s="427">
        <v>600000</v>
      </c>
      <c r="H674" s="246">
        <v>832070.9</v>
      </c>
      <c r="I674" s="1" t="s">
        <v>870</v>
      </c>
      <c r="J674" s="1" t="s">
        <v>787</v>
      </c>
      <c r="P674" s="1"/>
      <c r="Q674" s="2" t="s">
        <v>4307</v>
      </c>
    </row>
    <row r="675" spans="1:17" s="2" customFormat="1" ht="27.75" customHeight="1">
      <c r="A675" s="4">
        <v>672</v>
      </c>
      <c r="B675" s="19" t="s">
        <v>2140</v>
      </c>
      <c r="C675" s="19" t="s">
        <v>2141</v>
      </c>
      <c r="D675" s="19"/>
      <c r="E675" s="19" t="s">
        <v>2158</v>
      </c>
      <c r="F675" s="427">
        <v>600000</v>
      </c>
      <c r="G675" s="428"/>
      <c r="H675" s="246">
        <v>232070.9</v>
      </c>
      <c r="I675" s="1" t="s">
        <v>78</v>
      </c>
      <c r="J675" s="1" t="s">
        <v>893</v>
      </c>
      <c r="K675" s="2" t="s">
        <v>794</v>
      </c>
      <c r="M675" s="2" t="s">
        <v>794</v>
      </c>
      <c r="N675" s="2" t="s">
        <v>3532</v>
      </c>
      <c r="P675" s="1"/>
      <c r="Q675" t="s">
        <v>4266</v>
      </c>
    </row>
    <row r="676" spans="1:17" s="17" customFormat="1" ht="27.75" customHeight="1">
      <c r="A676" s="4">
        <v>673</v>
      </c>
      <c r="B676" s="21" t="s">
        <v>2141</v>
      </c>
      <c r="C676" s="21" t="s">
        <v>2141</v>
      </c>
      <c r="D676" s="21"/>
      <c r="E676" s="21" t="s">
        <v>2159</v>
      </c>
      <c r="F676" s="425"/>
      <c r="G676" s="426">
        <v>100000</v>
      </c>
      <c r="H676" s="247">
        <v>332070.90000000002</v>
      </c>
      <c r="I676" s="16" t="s">
        <v>1050</v>
      </c>
      <c r="J676" s="16" t="s">
        <v>1049</v>
      </c>
      <c r="M676" s="2"/>
      <c r="N676" s="2" t="s">
        <v>3533</v>
      </c>
      <c r="P676" s="16"/>
      <c r="Q676" t="s">
        <v>4266</v>
      </c>
    </row>
    <row r="677" spans="1:17" s="2" customFormat="1" ht="27.75" customHeight="1">
      <c r="A677" s="4">
        <v>674</v>
      </c>
      <c r="B677" s="19" t="s">
        <v>2141</v>
      </c>
      <c r="C677" s="19" t="s">
        <v>2141</v>
      </c>
      <c r="D677" s="19"/>
      <c r="E677" s="19" t="s">
        <v>2160</v>
      </c>
      <c r="F677" s="427">
        <v>29100</v>
      </c>
      <c r="G677" s="428"/>
      <c r="H677" s="246">
        <v>302970.90000000002</v>
      </c>
      <c r="I677" s="1" t="s">
        <v>365</v>
      </c>
      <c r="J677" s="1" t="s">
        <v>603</v>
      </c>
      <c r="P677" s="1"/>
      <c r="Q677" t="s">
        <v>4285</v>
      </c>
    </row>
    <row r="678" spans="1:17" s="2" customFormat="1" ht="27.75" customHeight="1">
      <c r="A678" s="4">
        <v>675</v>
      </c>
      <c r="B678" s="19" t="s">
        <v>2141</v>
      </c>
      <c r="C678" s="19" t="s">
        <v>2141</v>
      </c>
      <c r="D678" s="19"/>
      <c r="E678" s="19" t="s">
        <v>2161</v>
      </c>
      <c r="F678" s="428"/>
      <c r="G678" s="427">
        <v>300000</v>
      </c>
      <c r="H678" s="246">
        <v>602970.9</v>
      </c>
      <c r="I678" s="1" t="s">
        <v>147</v>
      </c>
      <c r="J678" s="1" t="s">
        <v>897</v>
      </c>
      <c r="K678" s="2" t="s">
        <v>823</v>
      </c>
      <c r="M678" s="2" t="s">
        <v>823</v>
      </c>
      <c r="N678" s="191" t="s">
        <v>794</v>
      </c>
      <c r="P678" s="1"/>
      <c r="Q678" t="s">
        <v>4266</v>
      </c>
    </row>
    <row r="679" spans="1:17" s="2" customFormat="1" ht="27.75" customHeight="1">
      <c r="A679" s="4">
        <v>676</v>
      </c>
      <c r="B679" s="19" t="s">
        <v>2162</v>
      </c>
      <c r="C679" s="19" t="s">
        <v>2162</v>
      </c>
      <c r="D679" s="19"/>
      <c r="E679" s="19" t="s">
        <v>2128</v>
      </c>
      <c r="F679" s="428"/>
      <c r="G679" s="427">
        <v>266000</v>
      </c>
      <c r="H679" s="246">
        <v>868970.9</v>
      </c>
      <c r="I679" s="1" t="s">
        <v>472</v>
      </c>
      <c r="J679" s="1" t="s">
        <v>889</v>
      </c>
      <c r="K679" s="2" t="s">
        <v>794</v>
      </c>
      <c r="M679" s="2" t="s">
        <v>794</v>
      </c>
      <c r="N679" s="2" t="s">
        <v>3523</v>
      </c>
      <c r="P679" s="1"/>
      <c r="Q679" t="s">
        <v>4266</v>
      </c>
    </row>
    <row r="680" spans="1:17" s="2" customFormat="1" ht="27.75" customHeight="1">
      <c r="A680" s="4">
        <v>677</v>
      </c>
      <c r="B680" s="19" t="s">
        <v>2162</v>
      </c>
      <c r="C680" s="19" t="s">
        <v>2162</v>
      </c>
      <c r="D680" s="19"/>
      <c r="E680" s="19" t="s">
        <v>2163</v>
      </c>
      <c r="F680" s="428"/>
      <c r="G680" s="427">
        <v>10000</v>
      </c>
      <c r="H680" s="246">
        <v>878970.9</v>
      </c>
      <c r="I680" s="1" t="s">
        <v>1032</v>
      </c>
      <c r="J680" s="1" t="s">
        <v>1051</v>
      </c>
      <c r="K680" s="2" t="s">
        <v>823</v>
      </c>
      <c r="M680" s="2" t="s">
        <v>823</v>
      </c>
      <c r="N680" s="2" t="s">
        <v>3534</v>
      </c>
      <c r="P680" s="1" t="s">
        <v>3852</v>
      </c>
      <c r="Q680" t="s">
        <v>4266</v>
      </c>
    </row>
    <row r="681" spans="1:17" s="2" customFormat="1" ht="27.75" customHeight="1">
      <c r="A681" s="4">
        <v>678</v>
      </c>
      <c r="B681" s="19" t="s">
        <v>2164</v>
      </c>
      <c r="C681" s="19" t="s">
        <v>2164</v>
      </c>
      <c r="D681" s="19"/>
      <c r="E681" s="20" t="s">
        <v>1367</v>
      </c>
      <c r="F681" s="428"/>
      <c r="G681" s="427">
        <v>500000</v>
      </c>
      <c r="H681" s="245" t="s">
        <v>2165</v>
      </c>
      <c r="I681" s="1" t="s">
        <v>353</v>
      </c>
      <c r="J681" s="1" t="s">
        <v>787</v>
      </c>
      <c r="P681" s="1"/>
      <c r="Q681" t="s">
        <v>1345</v>
      </c>
    </row>
    <row r="682" spans="1:17" s="17" customFormat="1" ht="27.75" customHeight="1">
      <c r="A682" s="4">
        <v>679</v>
      </c>
      <c r="B682" s="21" t="s">
        <v>2166</v>
      </c>
      <c r="C682" s="21" t="s">
        <v>2166</v>
      </c>
      <c r="D682" s="21"/>
      <c r="E682" s="21" t="s">
        <v>2167</v>
      </c>
      <c r="F682" s="426">
        <v>350000</v>
      </c>
      <c r="G682" s="425"/>
      <c r="H682" s="244" t="s">
        <v>2168</v>
      </c>
      <c r="I682" s="16" t="s">
        <v>134</v>
      </c>
      <c r="J682" s="16" t="s">
        <v>1288</v>
      </c>
      <c r="K682" s="17" t="s">
        <v>794</v>
      </c>
      <c r="M682" s="2" t="s">
        <v>794</v>
      </c>
      <c r="N682" s="2" t="s">
        <v>3535</v>
      </c>
      <c r="P682" s="16"/>
      <c r="Q682" t="s">
        <v>4266</v>
      </c>
    </row>
    <row r="683" spans="1:17" ht="27.75" customHeight="1">
      <c r="A683" s="622">
        <v>680</v>
      </c>
      <c r="B683" s="631" t="s">
        <v>4566</v>
      </c>
      <c r="C683" s="631" t="s">
        <v>4566</v>
      </c>
      <c r="D683" s="631"/>
      <c r="E683" s="631" t="s">
        <v>4567</v>
      </c>
      <c r="F683" s="632">
        <v>300000</v>
      </c>
      <c r="G683" s="633"/>
      <c r="H683" s="672">
        <v>728970.9</v>
      </c>
      <c r="I683" s="615" t="s">
        <v>713</v>
      </c>
      <c r="J683" s="615" t="s">
        <v>601</v>
      </c>
      <c r="K683" s="612" t="s">
        <v>823</v>
      </c>
      <c r="M683" s="612" t="s">
        <v>823</v>
      </c>
      <c r="O683" s="612" t="s">
        <v>4261</v>
      </c>
      <c r="P683" s="615" t="s">
        <v>3838</v>
      </c>
      <c r="Q683" s="612" t="s">
        <v>4283</v>
      </c>
    </row>
    <row r="684" spans="1:17" ht="27.75" customHeight="1">
      <c r="A684" s="622">
        <v>681</v>
      </c>
      <c r="B684" s="631" t="s">
        <v>4566</v>
      </c>
      <c r="C684" s="631" t="s">
        <v>4566</v>
      </c>
      <c r="D684" s="631"/>
      <c r="E684" s="631" t="s">
        <v>4568</v>
      </c>
      <c r="F684" s="632">
        <v>100000</v>
      </c>
      <c r="G684" s="633"/>
      <c r="H684" s="672">
        <v>628970.9</v>
      </c>
      <c r="I684" s="615" t="s">
        <v>614</v>
      </c>
      <c r="J684" s="615" t="s">
        <v>597</v>
      </c>
      <c r="M684" s="612"/>
      <c r="O684" s="612" t="s">
        <v>4261</v>
      </c>
      <c r="P684" s="615" t="s">
        <v>3838</v>
      </c>
      <c r="Q684" s="612" t="s">
        <v>821</v>
      </c>
    </row>
    <row r="685" spans="1:17" s="17" customFormat="1" ht="27.75" customHeight="1">
      <c r="A685" s="4">
        <v>682</v>
      </c>
      <c r="B685" s="21" t="s">
        <v>2169</v>
      </c>
      <c r="C685" s="21" t="s">
        <v>2169</v>
      </c>
      <c r="D685" s="21"/>
      <c r="E685" s="21" t="s">
        <v>2170</v>
      </c>
      <c r="F685" s="425"/>
      <c r="G685" s="426">
        <v>254000</v>
      </c>
      <c r="H685" s="247">
        <v>882970.9</v>
      </c>
      <c r="I685" s="16" t="s">
        <v>894</v>
      </c>
      <c r="J685" s="16" t="s">
        <v>1052</v>
      </c>
      <c r="K685" s="17" t="s">
        <v>823</v>
      </c>
      <c r="M685" s="2" t="s">
        <v>823</v>
      </c>
      <c r="N685" s="2" t="s">
        <v>3523</v>
      </c>
      <c r="P685" s="16"/>
      <c r="Q685" t="s">
        <v>4266</v>
      </c>
    </row>
    <row r="686" spans="1:17" s="17" customFormat="1" ht="27.75" customHeight="1">
      <c r="A686" s="4">
        <v>683</v>
      </c>
      <c r="B686" s="21" t="s">
        <v>2169</v>
      </c>
      <c r="C686" s="21" t="s">
        <v>2169</v>
      </c>
      <c r="D686" s="21"/>
      <c r="E686" s="21" t="s">
        <v>2058</v>
      </c>
      <c r="F686" s="428"/>
      <c r="G686" s="427">
        <v>60000</v>
      </c>
      <c r="H686" s="247">
        <v>942970.9</v>
      </c>
      <c r="I686" s="16" t="s">
        <v>871</v>
      </c>
      <c r="J686" s="16" t="s">
        <v>746</v>
      </c>
      <c r="K686" s="17" t="s">
        <v>794</v>
      </c>
      <c r="M686" s="2" t="s">
        <v>794</v>
      </c>
      <c r="N686" s="2" t="s">
        <v>3536</v>
      </c>
      <c r="P686" s="16" t="s">
        <v>3536</v>
      </c>
      <c r="Q686" t="s">
        <v>4266</v>
      </c>
    </row>
    <row r="687" spans="1:17" ht="27.75" customHeight="1">
      <c r="A687" s="622">
        <v>684</v>
      </c>
      <c r="B687" s="631" t="s">
        <v>4569</v>
      </c>
      <c r="C687" s="631" t="s">
        <v>4569</v>
      </c>
      <c r="D687" s="631"/>
      <c r="E687" s="631" t="s">
        <v>4570</v>
      </c>
      <c r="F687" s="632">
        <v>100000</v>
      </c>
      <c r="G687" s="633"/>
      <c r="H687" s="672">
        <v>842970.9</v>
      </c>
      <c r="I687" s="615" t="s">
        <v>1135</v>
      </c>
      <c r="J687" s="615" t="s">
        <v>1053</v>
      </c>
      <c r="K687" s="612" t="s">
        <v>823</v>
      </c>
      <c r="L687" s="612" t="s">
        <v>4418</v>
      </c>
      <c r="M687" s="612" t="s">
        <v>823</v>
      </c>
      <c r="N687" s="612" t="s">
        <v>1275</v>
      </c>
      <c r="O687" s="612" t="s">
        <v>4261</v>
      </c>
      <c r="P687" s="615"/>
      <c r="Q687" s="612" t="s">
        <v>1209</v>
      </c>
    </row>
    <row r="688" spans="1:17" s="17" customFormat="1" ht="27.75" customHeight="1">
      <c r="A688" s="4">
        <v>685</v>
      </c>
      <c r="B688" s="21" t="s">
        <v>2171</v>
      </c>
      <c r="C688" s="21" t="s">
        <v>2171</v>
      </c>
      <c r="D688" s="21"/>
      <c r="E688" s="21" t="s">
        <v>2172</v>
      </c>
      <c r="F688" s="425"/>
      <c r="G688" s="426">
        <v>100000</v>
      </c>
      <c r="H688" s="247">
        <v>942970.9</v>
      </c>
      <c r="I688" s="16" t="s">
        <v>1026</v>
      </c>
      <c r="J688" s="16" t="s">
        <v>895</v>
      </c>
      <c r="M688" s="2"/>
      <c r="N688" s="2" t="s">
        <v>3523</v>
      </c>
      <c r="P688" s="16"/>
      <c r="Q688" t="s">
        <v>4266</v>
      </c>
    </row>
    <row r="689" spans="1:17" s="2" customFormat="1" ht="27.75" customHeight="1">
      <c r="A689" s="4">
        <v>686</v>
      </c>
      <c r="B689" s="22" t="s">
        <v>2171</v>
      </c>
      <c r="C689" s="22" t="s">
        <v>2171</v>
      </c>
      <c r="D689" s="22"/>
      <c r="E689" s="22" t="s">
        <v>2173</v>
      </c>
      <c r="F689" s="431"/>
      <c r="G689" s="432">
        <v>100000</v>
      </c>
      <c r="H689" s="248" t="s">
        <v>2174</v>
      </c>
      <c r="I689" s="1" t="s">
        <v>1027</v>
      </c>
      <c r="J689" s="1" t="s">
        <v>3132</v>
      </c>
      <c r="K689" s="2" t="s">
        <v>794</v>
      </c>
      <c r="M689" s="2" t="s">
        <v>794</v>
      </c>
      <c r="N689" s="2" t="s">
        <v>794</v>
      </c>
      <c r="P689" s="1"/>
      <c r="Q689" t="s">
        <v>4266</v>
      </c>
    </row>
    <row r="690" spans="1:17" s="2" customFormat="1" ht="27.75" customHeight="1">
      <c r="A690" s="4">
        <v>687</v>
      </c>
      <c r="B690" s="22" t="s">
        <v>2175</v>
      </c>
      <c r="C690" s="22" t="s">
        <v>2175</v>
      </c>
      <c r="D690" s="22"/>
      <c r="E690" s="22" t="s">
        <v>2176</v>
      </c>
      <c r="F690" s="431"/>
      <c r="G690" s="433">
        <v>2000000</v>
      </c>
      <c r="H690" s="248" t="s">
        <v>2177</v>
      </c>
      <c r="I690" s="1" t="s">
        <v>862</v>
      </c>
      <c r="J690" s="1" t="s">
        <v>1028</v>
      </c>
      <c r="O690" s="2" t="s">
        <v>4324</v>
      </c>
      <c r="P690" s="1"/>
      <c r="Q690" t="s">
        <v>4324</v>
      </c>
    </row>
    <row r="691" spans="1:17" s="2" customFormat="1" ht="27.75" customHeight="1">
      <c r="A691" s="4">
        <v>688</v>
      </c>
      <c r="B691" s="22" t="s">
        <v>2178</v>
      </c>
      <c r="C691" s="22" t="s">
        <v>2178</v>
      </c>
      <c r="D691" s="22"/>
      <c r="E691" s="22" t="s">
        <v>2179</v>
      </c>
      <c r="F691" s="431"/>
      <c r="G691" s="432">
        <v>300000</v>
      </c>
      <c r="H691" s="248" t="s">
        <v>2180</v>
      </c>
      <c r="I691" s="1" t="s">
        <v>313</v>
      </c>
      <c r="J691" s="1" t="s">
        <v>1029</v>
      </c>
      <c r="K691" s="2" t="s">
        <v>823</v>
      </c>
      <c r="M691" s="2" t="s">
        <v>823</v>
      </c>
      <c r="N691" s="2" t="s">
        <v>794</v>
      </c>
      <c r="P691" s="1"/>
      <c r="Q691" t="s">
        <v>4266</v>
      </c>
    </row>
    <row r="692" spans="1:17" s="2" customFormat="1" ht="27.75" customHeight="1">
      <c r="A692" s="4">
        <v>689</v>
      </c>
      <c r="B692" s="23" t="s">
        <v>901</v>
      </c>
      <c r="C692" s="23" t="s">
        <v>902</v>
      </c>
      <c r="D692" s="24" t="s">
        <v>900</v>
      </c>
      <c r="E692" s="24" t="s">
        <v>903</v>
      </c>
      <c r="F692" s="434">
        <v>29100</v>
      </c>
      <c r="G692" s="435"/>
      <c r="H692" s="157">
        <v>3313870.9</v>
      </c>
      <c r="I692" s="1" t="s">
        <v>149</v>
      </c>
      <c r="J692" s="1" t="s">
        <v>603</v>
      </c>
      <c r="P692" s="1">
        <v>900</v>
      </c>
      <c r="Q692" t="s">
        <v>4285</v>
      </c>
    </row>
    <row r="693" spans="1:17" s="2" customFormat="1" ht="27.75" customHeight="1">
      <c r="A693" s="4">
        <v>690</v>
      </c>
      <c r="B693" s="23" t="s">
        <v>904</v>
      </c>
      <c r="C693" s="23" t="s">
        <v>905</v>
      </c>
      <c r="D693" s="24" t="s">
        <v>900</v>
      </c>
      <c r="E693" s="24" t="s">
        <v>906</v>
      </c>
      <c r="F693" s="436">
        <v>19400</v>
      </c>
      <c r="G693" s="435"/>
      <c r="H693" s="157">
        <v>3294470.9</v>
      </c>
      <c r="I693" s="1" t="s">
        <v>744</v>
      </c>
      <c r="J693" s="1" t="s">
        <v>603</v>
      </c>
      <c r="P693" s="1"/>
      <c r="Q693" t="s">
        <v>4285</v>
      </c>
    </row>
    <row r="694" spans="1:17" ht="27.75" customHeight="1">
      <c r="A694" s="622">
        <v>691</v>
      </c>
      <c r="B694" s="635" t="s">
        <v>907</v>
      </c>
      <c r="C694" s="635" t="s">
        <v>908</v>
      </c>
      <c r="D694" s="636" t="s">
        <v>900</v>
      </c>
      <c r="E694" s="636" t="s">
        <v>909</v>
      </c>
      <c r="F694" s="637">
        <v>43000</v>
      </c>
      <c r="G694" s="637"/>
      <c r="H694" s="638">
        <v>3251470.9</v>
      </c>
      <c r="I694" s="615" t="s">
        <v>1030</v>
      </c>
      <c r="J694" s="615" t="s">
        <v>1031</v>
      </c>
      <c r="M694" s="612"/>
      <c r="O694" s="612" t="s">
        <v>4261</v>
      </c>
      <c r="P694" s="615"/>
      <c r="Q694" s="612" t="s">
        <v>1031</v>
      </c>
    </row>
    <row r="695" spans="1:17" s="2" customFormat="1" ht="27.75" customHeight="1">
      <c r="A695" s="4">
        <v>692</v>
      </c>
      <c r="B695" s="23" t="s">
        <v>907</v>
      </c>
      <c r="C695" s="23" t="s">
        <v>910</v>
      </c>
      <c r="D695" s="24" t="s">
        <v>900</v>
      </c>
      <c r="E695" s="24" t="s">
        <v>911</v>
      </c>
      <c r="F695" s="436">
        <v>19400</v>
      </c>
      <c r="G695" s="435"/>
      <c r="H695" s="157">
        <v>3232070.9</v>
      </c>
      <c r="I695" s="1" t="s">
        <v>715</v>
      </c>
      <c r="J695" s="1" t="s">
        <v>603</v>
      </c>
      <c r="P695" s="1">
        <v>600</v>
      </c>
      <c r="Q695" t="s">
        <v>4285</v>
      </c>
    </row>
    <row r="696" spans="1:17" s="2" customFormat="1" ht="27.75" customHeight="1">
      <c r="A696" s="4">
        <v>693</v>
      </c>
      <c r="B696" s="23" t="s">
        <v>912</v>
      </c>
      <c r="C696" s="23" t="s">
        <v>913</v>
      </c>
      <c r="D696" s="24" t="s">
        <v>900</v>
      </c>
      <c r="E696" s="24" t="s">
        <v>914</v>
      </c>
      <c r="F696" s="435"/>
      <c r="G696" s="435">
        <v>400000</v>
      </c>
      <c r="H696" s="157">
        <v>3632070.9</v>
      </c>
      <c r="I696" s="1" t="s">
        <v>375</v>
      </c>
      <c r="J696" s="1" t="s">
        <v>122</v>
      </c>
      <c r="N696" s="2" t="s">
        <v>794</v>
      </c>
      <c r="P696" s="1"/>
      <c r="Q696" t="s">
        <v>4266</v>
      </c>
    </row>
    <row r="697" spans="1:17" s="17" customFormat="1" ht="27.75" customHeight="1">
      <c r="A697" s="4">
        <v>694</v>
      </c>
      <c r="B697" s="30" t="s">
        <v>912</v>
      </c>
      <c r="C697" s="30" t="s">
        <v>915</v>
      </c>
      <c r="D697" s="31" t="s">
        <v>900</v>
      </c>
      <c r="E697" s="31" t="s">
        <v>916</v>
      </c>
      <c r="F697" s="437">
        <v>51000</v>
      </c>
      <c r="G697" s="437"/>
      <c r="H697" s="32">
        <v>3581070.9</v>
      </c>
      <c r="I697" s="16" t="s">
        <v>879</v>
      </c>
      <c r="J697" s="16" t="s">
        <v>1054</v>
      </c>
      <c r="K697" s="17" t="s">
        <v>794</v>
      </c>
      <c r="M697" s="1" t="s">
        <v>3537</v>
      </c>
      <c r="N697" s="1" t="s">
        <v>3537</v>
      </c>
      <c r="P697" s="16"/>
      <c r="Q697" t="s">
        <v>4266</v>
      </c>
    </row>
    <row r="698" spans="1:17" s="2" customFormat="1" ht="27.75" customHeight="1">
      <c r="A698" s="4">
        <v>695</v>
      </c>
      <c r="B698" s="23" t="s">
        <v>917</v>
      </c>
      <c r="C698" s="23" t="s">
        <v>918</v>
      </c>
      <c r="D698" s="24" t="s">
        <v>900</v>
      </c>
      <c r="E698" s="24" t="s">
        <v>919</v>
      </c>
      <c r="F698" s="435">
        <v>1000000</v>
      </c>
      <c r="G698" s="435"/>
      <c r="H698" s="157">
        <v>2581070.9</v>
      </c>
      <c r="I698" s="1" t="s">
        <v>870</v>
      </c>
      <c r="J698" s="1" t="s">
        <v>794</v>
      </c>
      <c r="P698" s="1"/>
      <c r="Q698" s="2" t="s">
        <v>4307</v>
      </c>
    </row>
    <row r="699" spans="1:17" s="2" customFormat="1" ht="27.75" customHeight="1">
      <c r="A699" s="4">
        <v>696</v>
      </c>
      <c r="B699" s="23" t="s">
        <v>917</v>
      </c>
      <c r="C699" s="23" t="s">
        <v>920</v>
      </c>
      <c r="D699" s="24" t="s">
        <v>900</v>
      </c>
      <c r="E699" s="24" t="s">
        <v>921</v>
      </c>
      <c r="F699" s="435">
        <v>1000000</v>
      </c>
      <c r="G699" s="435"/>
      <c r="H699" s="157">
        <v>1581070.9</v>
      </c>
      <c r="I699" s="1" t="s">
        <v>870</v>
      </c>
      <c r="J699" s="1" t="s">
        <v>794</v>
      </c>
      <c r="K699" s="2" t="s">
        <v>794</v>
      </c>
      <c r="M699" s="2" t="s">
        <v>794</v>
      </c>
      <c r="P699" s="1"/>
      <c r="Q699" s="2" t="s">
        <v>4307</v>
      </c>
    </row>
    <row r="700" spans="1:17" s="2" customFormat="1" ht="27.75" customHeight="1">
      <c r="A700" s="4">
        <v>697</v>
      </c>
      <c r="B700" s="23" t="s">
        <v>917</v>
      </c>
      <c r="C700" s="23" t="s">
        <v>922</v>
      </c>
      <c r="D700" s="24" t="s">
        <v>900</v>
      </c>
      <c r="E700" s="24" t="s">
        <v>923</v>
      </c>
      <c r="F700" s="435">
        <v>1000000</v>
      </c>
      <c r="G700" s="435"/>
      <c r="H700" s="157">
        <v>581070.9</v>
      </c>
      <c r="I700" s="1" t="s">
        <v>870</v>
      </c>
      <c r="J700" s="1" t="s">
        <v>794</v>
      </c>
      <c r="K700" s="2" t="s">
        <v>794</v>
      </c>
      <c r="M700" s="2" t="s">
        <v>794</v>
      </c>
      <c r="P700" s="1"/>
      <c r="Q700" s="2" t="s">
        <v>4307</v>
      </c>
    </row>
    <row r="701" spans="1:17" s="2" customFormat="1" ht="27.75" customHeight="1">
      <c r="A701" s="4">
        <v>698</v>
      </c>
      <c r="B701" s="23" t="s">
        <v>917</v>
      </c>
      <c r="C701" s="23" t="s">
        <v>924</v>
      </c>
      <c r="D701" s="24" t="s">
        <v>900</v>
      </c>
      <c r="E701" s="24" t="s">
        <v>925</v>
      </c>
      <c r="F701" s="435">
        <v>500000</v>
      </c>
      <c r="G701" s="435"/>
      <c r="H701" s="157">
        <v>81070.899999999994</v>
      </c>
      <c r="I701" s="1" t="s">
        <v>870</v>
      </c>
      <c r="J701" s="1" t="s">
        <v>794</v>
      </c>
      <c r="K701" s="2" t="s">
        <v>794</v>
      </c>
      <c r="M701" s="2" t="s">
        <v>794</v>
      </c>
      <c r="P701" s="1"/>
      <c r="Q701" s="2" t="s">
        <v>4307</v>
      </c>
    </row>
    <row r="702" spans="1:17" s="2" customFormat="1" ht="27.75" customHeight="1">
      <c r="A702" s="4">
        <v>699</v>
      </c>
      <c r="B702" s="23" t="s">
        <v>926</v>
      </c>
      <c r="C702" s="23" t="s">
        <v>927</v>
      </c>
      <c r="D702" s="24" t="s">
        <v>900</v>
      </c>
      <c r="E702" s="24" t="s">
        <v>928</v>
      </c>
      <c r="F702" s="435"/>
      <c r="G702" s="438">
        <v>460000</v>
      </c>
      <c r="H702" s="157">
        <v>541070.9</v>
      </c>
      <c r="I702" s="1" t="s">
        <v>352</v>
      </c>
      <c r="J702" s="1" t="s">
        <v>822</v>
      </c>
      <c r="P702" s="1"/>
      <c r="Q702" t="s">
        <v>1345</v>
      </c>
    </row>
    <row r="703" spans="1:17" s="2" customFormat="1" ht="27.75" customHeight="1">
      <c r="A703" s="4">
        <v>700</v>
      </c>
      <c r="B703" s="23" t="s">
        <v>926</v>
      </c>
      <c r="C703" s="23" t="s">
        <v>929</v>
      </c>
      <c r="D703" s="24" t="s">
        <v>900</v>
      </c>
      <c r="E703" s="24" t="s">
        <v>930</v>
      </c>
      <c r="F703" s="435">
        <v>10000</v>
      </c>
      <c r="G703" s="435"/>
      <c r="H703" s="157">
        <v>531070.9</v>
      </c>
      <c r="I703" s="1" t="s">
        <v>1032</v>
      </c>
      <c r="J703" s="1" t="s">
        <v>1033</v>
      </c>
      <c r="K703" s="2" t="s">
        <v>794</v>
      </c>
      <c r="M703" s="2" t="s">
        <v>794</v>
      </c>
      <c r="N703" s="2" t="s">
        <v>3538</v>
      </c>
      <c r="P703" s="1" t="s">
        <v>3853</v>
      </c>
      <c r="Q703" t="s">
        <v>4266</v>
      </c>
    </row>
    <row r="704" spans="1:17" s="2" customFormat="1" ht="27.75" customHeight="1">
      <c r="A704" s="4">
        <v>701</v>
      </c>
      <c r="B704" s="23" t="s">
        <v>931</v>
      </c>
      <c r="C704" s="23" t="s">
        <v>932</v>
      </c>
      <c r="D704" s="24" t="s">
        <v>900</v>
      </c>
      <c r="E704" s="24" t="s">
        <v>933</v>
      </c>
      <c r="F704" s="435"/>
      <c r="G704" s="435">
        <v>600000</v>
      </c>
      <c r="H704" s="157">
        <v>1131070.8999999999</v>
      </c>
      <c r="I704" s="1" t="s">
        <v>796</v>
      </c>
      <c r="J704" s="1" t="s">
        <v>876</v>
      </c>
      <c r="K704" s="2" t="s">
        <v>794</v>
      </c>
      <c r="M704" s="2" t="s">
        <v>794</v>
      </c>
      <c r="N704" s="2" t="s">
        <v>3523</v>
      </c>
      <c r="P704" s="1"/>
      <c r="Q704" t="s">
        <v>4266</v>
      </c>
    </row>
    <row r="705" spans="1:17" s="2" customFormat="1" ht="27.75" customHeight="1">
      <c r="A705" s="4">
        <v>702</v>
      </c>
      <c r="B705" s="23" t="s">
        <v>931</v>
      </c>
      <c r="C705" s="23" t="s">
        <v>934</v>
      </c>
      <c r="D705" s="24" t="s">
        <v>900</v>
      </c>
      <c r="E705" s="24" t="s">
        <v>935</v>
      </c>
      <c r="F705" s="436">
        <v>10000</v>
      </c>
      <c r="G705" s="435"/>
      <c r="H705" s="157">
        <v>1121070.8999999999</v>
      </c>
      <c r="I705" s="1" t="s">
        <v>744</v>
      </c>
      <c r="J705" s="1" t="s">
        <v>1034</v>
      </c>
      <c r="P705" s="1"/>
      <c r="Q705" t="s">
        <v>4285</v>
      </c>
    </row>
    <row r="706" spans="1:17" s="2" customFormat="1" ht="27.75" customHeight="1">
      <c r="A706" s="4">
        <v>703</v>
      </c>
      <c r="B706" s="23" t="s">
        <v>936</v>
      </c>
      <c r="C706" s="23" t="s">
        <v>937</v>
      </c>
      <c r="D706" s="24" t="s">
        <v>900</v>
      </c>
      <c r="E706" s="24" t="s">
        <v>938</v>
      </c>
      <c r="F706" s="435"/>
      <c r="G706" s="435">
        <v>216000</v>
      </c>
      <c r="H706" s="157">
        <v>1337070.8999999999</v>
      </c>
      <c r="I706" s="1" t="s">
        <v>351</v>
      </c>
      <c r="J706" s="1" t="s">
        <v>822</v>
      </c>
      <c r="P706" s="1"/>
      <c r="Q706" t="s">
        <v>1345</v>
      </c>
    </row>
    <row r="707" spans="1:17" s="17" customFormat="1" ht="27.75" customHeight="1">
      <c r="A707" s="4">
        <v>704</v>
      </c>
      <c r="B707" s="30" t="s">
        <v>936</v>
      </c>
      <c r="C707" s="30" t="s">
        <v>939</v>
      </c>
      <c r="D707" s="31" t="s">
        <v>900</v>
      </c>
      <c r="E707" s="31" t="s">
        <v>940</v>
      </c>
      <c r="F707" s="437"/>
      <c r="G707" s="437">
        <v>100000</v>
      </c>
      <c r="H707" s="32">
        <v>1437070.9</v>
      </c>
      <c r="I707" s="16" t="s">
        <v>1035</v>
      </c>
      <c r="J707" s="16" t="s">
        <v>726</v>
      </c>
      <c r="K707" s="17" t="s">
        <v>794</v>
      </c>
      <c r="M707" s="2" t="s">
        <v>794</v>
      </c>
      <c r="N707" s="2" t="s">
        <v>794</v>
      </c>
      <c r="P707" s="16"/>
      <c r="Q707" t="s">
        <v>4266</v>
      </c>
    </row>
    <row r="708" spans="1:17" s="2" customFormat="1" ht="27.75" customHeight="1">
      <c r="A708" s="4">
        <v>705</v>
      </c>
      <c r="B708" s="23" t="s">
        <v>936</v>
      </c>
      <c r="C708" s="23" t="s">
        <v>941</v>
      </c>
      <c r="D708" s="24" t="s">
        <v>900</v>
      </c>
      <c r="E708" s="24" t="s">
        <v>942</v>
      </c>
      <c r="F708" s="435"/>
      <c r="G708" s="435">
        <v>57000</v>
      </c>
      <c r="H708" s="157">
        <v>1494070.9</v>
      </c>
      <c r="I708" s="1" t="s">
        <v>349</v>
      </c>
      <c r="J708" s="1" t="s">
        <v>822</v>
      </c>
      <c r="P708" s="1"/>
      <c r="Q708" t="s">
        <v>1345</v>
      </c>
    </row>
    <row r="709" spans="1:17" s="2" customFormat="1" ht="27.75" customHeight="1">
      <c r="A709" s="4">
        <v>706</v>
      </c>
      <c r="B709" s="23" t="s">
        <v>936</v>
      </c>
      <c r="C709" s="23" t="s">
        <v>943</v>
      </c>
      <c r="D709" s="24" t="s">
        <v>900</v>
      </c>
      <c r="E709" s="24" t="s">
        <v>944</v>
      </c>
      <c r="F709" s="435"/>
      <c r="G709" s="435">
        <v>200000</v>
      </c>
      <c r="H709" s="157">
        <v>1694070.9</v>
      </c>
      <c r="I709" s="1" t="s">
        <v>411</v>
      </c>
      <c r="J709" s="1" t="s">
        <v>780</v>
      </c>
      <c r="N709" s="2" t="s">
        <v>794</v>
      </c>
      <c r="P709" s="1" t="s">
        <v>794</v>
      </c>
      <c r="Q709" t="s">
        <v>4270</v>
      </c>
    </row>
    <row r="710" spans="1:17" s="2" customFormat="1" ht="27.75" customHeight="1">
      <c r="A710" s="4">
        <v>707</v>
      </c>
      <c r="B710" s="23" t="s">
        <v>936</v>
      </c>
      <c r="C710" s="23" t="s">
        <v>945</v>
      </c>
      <c r="D710" s="24" t="s">
        <v>900</v>
      </c>
      <c r="E710" s="24" t="s">
        <v>946</v>
      </c>
      <c r="F710" s="435"/>
      <c r="G710" s="435">
        <v>450000</v>
      </c>
      <c r="H710" s="157">
        <v>2144070.9</v>
      </c>
      <c r="I710" s="1" t="s">
        <v>870</v>
      </c>
      <c r="J710" s="1" t="s">
        <v>822</v>
      </c>
      <c r="P710" s="1"/>
      <c r="Q710" s="2" t="s">
        <v>4307</v>
      </c>
    </row>
    <row r="711" spans="1:17" s="2" customFormat="1" ht="27.75" customHeight="1">
      <c r="A711" s="4">
        <v>708</v>
      </c>
      <c r="B711" s="23" t="s">
        <v>936</v>
      </c>
      <c r="C711" s="23" t="s">
        <v>947</v>
      </c>
      <c r="D711" s="24" t="s">
        <v>900</v>
      </c>
      <c r="E711" s="24" t="s">
        <v>948</v>
      </c>
      <c r="F711" s="435"/>
      <c r="G711" s="435">
        <v>200000</v>
      </c>
      <c r="H711" s="157">
        <v>2344070.9</v>
      </c>
      <c r="I711" s="1" t="s">
        <v>86</v>
      </c>
      <c r="J711" s="1" t="s">
        <v>780</v>
      </c>
      <c r="N711" s="191" t="s">
        <v>822</v>
      </c>
      <c r="P711" s="1"/>
      <c r="Q711" s="2" t="s">
        <v>86</v>
      </c>
    </row>
    <row r="712" spans="1:17" s="2" customFormat="1" ht="27.75" customHeight="1">
      <c r="A712" s="4">
        <v>709</v>
      </c>
      <c r="B712" s="23" t="s">
        <v>936</v>
      </c>
      <c r="C712" s="23" t="s">
        <v>949</v>
      </c>
      <c r="D712" s="24" t="s">
        <v>900</v>
      </c>
      <c r="E712" s="24" t="s">
        <v>950</v>
      </c>
      <c r="F712" s="435"/>
      <c r="G712" s="435">
        <v>95000</v>
      </c>
      <c r="H712" s="157">
        <v>2439070.9</v>
      </c>
      <c r="I712" s="1" t="s">
        <v>365</v>
      </c>
      <c r="J712" s="1" t="s">
        <v>794</v>
      </c>
      <c r="K712" s="2" t="s">
        <v>794</v>
      </c>
      <c r="M712" s="2" t="s">
        <v>794</v>
      </c>
      <c r="N712" s="2" t="s">
        <v>794</v>
      </c>
      <c r="P712" s="1" t="s">
        <v>3889</v>
      </c>
      <c r="Q712" t="s">
        <v>4304</v>
      </c>
    </row>
    <row r="713" spans="1:17" s="2" customFormat="1" ht="27.75" customHeight="1">
      <c r="A713" s="4">
        <v>710</v>
      </c>
      <c r="B713" s="23" t="s">
        <v>936</v>
      </c>
      <c r="C713" s="23" t="s">
        <v>951</v>
      </c>
      <c r="D713" s="24" t="s">
        <v>900</v>
      </c>
      <c r="E713" s="24" t="s">
        <v>952</v>
      </c>
      <c r="F713" s="435"/>
      <c r="G713" s="435">
        <v>1000000</v>
      </c>
      <c r="H713" s="157">
        <v>3439070.9</v>
      </c>
      <c r="I713" s="1" t="s">
        <v>1036</v>
      </c>
      <c r="J713" s="1" t="s">
        <v>1037</v>
      </c>
      <c r="P713" s="1"/>
      <c r="Q713" t="s">
        <v>1345</v>
      </c>
    </row>
    <row r="714" spans="1:17" s="2" customFormat="1" ht="27.75" customHeight="1">
      <c r="A714" s="4">
        <v>711</v>
      </c>
      <c r="B714" s="23" t="s">
        <v>936</v>
      </c>
      <c r="C714" s="23" t="s">
        <v>953</v>
      </c>
      <c r="D714" s="24" t="s">
        <v>900</v>
      </c>
      <c r="E714" s="24" t="s">
        <v>954</v>
      </c>
      <c r="F714" s="435"/>
      <c r="G714" s="435">
        <v>245000</v>
      </c>
      <c r="H714" s="157">
        <v>3684070.9</v>
      </c>
      <c r="I714" s="1" t="s">
        <v>1027</v>
      </c>
      <c r="J714" s="1" t="s">
        <v>3697</v>
      </c>
      <c r="K714" s="2" t="s">
        <v>794</v>
      </c>
      <c r="M714" s="2" t="s">
        <v>794</v>
      </c>
      <c r="N714" s="2" t="s">
        <v>794</v>
      </c>
      <c r="P714" s="1"/>
      <c r="Q714" t="s">
        <v>4266</v>
      </c>
    </row>
    <row r="715" spans="1:17" s="2" customFormat="1" ht="27.75" customHeight="1">
      <c r="A715" s="4">
        <v>712</v>
      </c>
      <c r="B715" s="23" t="s">
        <v>936</v>
      </c>
      <c r="C715" s="23" t="s">
        <v>955</v>
      </c>
      <c r="D715" s="24" t="s">
        <v>900</v>
      </c>
      <c r="E715" s="24" t="s">
        <v>956</v>
      </c>
      <c r="F715" s="435"/>
      <c r="G715" s="435">
        <v>300000</v>
      </c>
      <c r="H715" s="157">
        <v>3984070.9</v>
      </c>
      <c r="I715" s="1" t="s">
        <v>332</v>
      </c>
      <c r="J715" s="1" t="s">
        <v>794</v>
      </c>
      <c r="N715" s="2" t="s">
        <v>794</v>
      </c>
      <c r="P715" s="1"/>
      <c r="Q715" t="s">
        <v>4305</v>
      </c>
    </row>
    <row r="716" spans="1:17" s="2" customFormat="1" ht="27.75" customHeight="1">
      <c r="A716" s="4">
        <v>713</v>
      </c>
      <c r="B716" s="23" t="s">
        <v>936</v>
      </c>
      <c r="C716" s="23" t="s">
        <v>957</v>
      </c>
      <c r="D716" s="24" t="s">
        <v>900</v>
      </c>
      <c r="E716" s="24" t="s">
        <v>958</v>
      </c>
      <c r="F716" s="435"/>
      <c r="G716" s="435">
        <v>60000</v>
      </c>
      <c r="H716" s="157">
        <v>4044070.9</v>
      </c>
      <c r="I716" s="1" t="s">
        <v>58</v>
      </c>
      <c r="J716" s="1" t="s">
        <v>794</v>
      </c>
      <c r="N716" s="2" t="s">
        <v>3539</v>
      </c>
      <c r="P716" s="1" t="s">
        <v>3872</v>
      </c>
      <c r="Q716" t="s">
        <v>4266</v>
      </c>
    </row>
    <row r="717" spans="1:17" s="2" customFormat="1" ht="27.75" customHeight="1">
      <c r="A717" s="4">
        <v>714</v>
      </c>
      <c r="B717" s="23" t="s">
        <v>936</v>
      </c>
      <c r="C717" s="23" t="s">
        <v>959</v>
      </c>
      <c r="D717" s="24" t="s">
        <v>900</v>
      </c>
      <c r="E717" s="24" t="s">
        <v>960</v>
      </c>
      <c r="F717" s="435"/>
      <c r="G717" s="435">
        <v>240000</v>
      </c>
      <c r="H717" s="157">
        <v>4284070.9000000004</v>
      </c>
      <c r="I717" s="1" t="s">
        <v>1038</v>
      </c>
      <c r="J717" s="1" t="s">
        <v>794</v>
      </c>
      <c r="K717" s="2" t="s">
        <v>794</v>
      </c>
      <c r="M717" s="2" t="s">
        <v>794</v>
      </c>
      <c r="N717" s="2" t="s">
        <v>3540</v>
      </c>
      <c r="P717" s="1"/>
      <c r="Q717" t="s">
        <v>4266</v>
      </c>
    </row>
    <row r="718" spans="1:17" s="2" customFormat="1" ht="27.75" customHeight="1">
      <c r="A718" s="4">
        <v>715</v>
      </c>
      <c r="B718" s="23" t="s">
        <v>936</v>
      </c>
      <c r="C718" s="23" t="s">
        <v>961</v>
      </c>
      <c r="D718" s="24" t="s">
        <v>900</v>
      </c>
      <c r="E718" s="24" t="s">
        <v>962</v>
      </c>
      <c r="F718" s="435"/>
      <c r="G718" s="435">
        <v>700000</v>
      </c>
      <c r="H718" s="157">
        <v>4984070.9000000004</v>
      </c>
      <c r="I718" s="1" t="s">
        <v>1039</v>
      </c>
      <c r="J718" s="1" t="s">
        <v>794</v>
      </c>
      <c r="K718" s="2" t="s">
        <v>846</v>
      </c>
      <c r="M718" s="2" t="s">
        <v>846</v>
      </c>
      <c r="N718" s="2" t="s">
        <v>3541</v>
      </c>
      <c r="P718" s="1"/>
      <c r="Q718" t="s">
        <v>4266</v>
      </c>
    </row>
    <row r="719" spans="1:17" s="2" customFormat="1" ht="27.75" customHeight="1">
      <c r="A719" s="4">
        <v>716</v>
      </c>
      <c r="B719" s="23" t="s">
        <v>963</v>
      </c>
      <c r="C719" s="391" t="s">
        <v>964</v>
      </c>
      <c r="D719" s="392" t="s">
        <v>900</v>
      </c>
      <c r="E719" s="392" t="s">
        <v>965</v>
      </c>
      <c r="F719" s="439">
        <v>462000</v>
      </c>
      <c r="G719" s="439"/>
      <c r="H719" s="157">
        <v>4522070.9000000004</v>
      </c>
      <c r="I719" s="1" t="s">
        <v>1040</v>
      </c>
      <c r="J719" s="1" t="s">
        <v>350</v>
      </c>
      <c r="K719" s="2" t="s">
        <v>794</v>
      </c>
      <c r="M719" s="2" t="s">
        <v>794</v>
      </c>
      <c r="P719" s="1"/>
      <c r="Q719" t="s">
        <v>1345</v>
      </c>
    </row>
    <row r="720" spans="1:17" s="2" customFormat="1" ht="27.75" customHeight="1">
      <c r="A720" s="4">
        <v>717</v>
      </c>
      <c r="B720" s="23" t="s">
        <v>966</v>
      </c>
      <c r="C720" s="23" t="s">
        <v>967</v>
      </c>
      <c r="D720" s="24" t="s">
        <v>900</v>
      </c>
      <c r="E720" s="24" t="s">
        <v>968</v>
      </c>
      <c r="F720" s="435"/>
      <c r="G720" s="435">
        <v>125000</v>
      </c>
      <c r="H720" s="157">
        <v>4647070.9000000004</v>
      </c>
      <c r="I720" s="1" t="s">
        <v>137</v>
      </c>
      <c r="J720" s="1" t="s">
        <v>138</v>
      </c>
      <c r="K720" s="2" t="s">
        <v>794</v>
      </c>
      <c r="M720" s="2" t="s">
        <v>794</v>
      </c>
      <c r="N720" s="2" t="s">
        <v>794</v>
      </c>
      <c r="P720" s="1" t="s">
        <v>3898</v>
      </c>
      <c r="Q720" t="s">
        <v>4266</v>
      </c>
    </row>
    <row r="721" spans="1:17" s="17" customFormat="1" ht="27.75" customHeight="1">
      <c r="A721" s="4">
        <v>718</v>
      </c>
      <c r="B721" s="30" t="s">
        <v>969</v>
      </c>
      <c r="C721" s="30" t="s">
        <v>970</v>
      </c>
      <c r="D721" s="31" t="s">
        <v>900</v>
      </c>
      <c r="E721" s="31" t="s">
        <v>971</v>
      </c>
      <c r="F721" s="437"/>
      <c r="G721" s="437">
        <v>119000</v>
      </c>
      <c r="H721" s="32">
        <v>4766070.9000000004</v>
      </c>
      <c r="I721" s="16" t="s">
        <v>1041</v>
      </c>
      <c r="J721" s="16" t="s">
        <v>1042</v>
      </c>
      <c r="M721" s="2"/>
      <c r="N721" s="2" t="s">
        <v>3575</v>
      </c>
      <c r="P721" s="16"/>
      <c r="Q721" t="s">
        <v>4266</v>
      </c>
    </row>
    <row r="722" spans="1:17" s="17" customFormat="1" ht="27.75" customHeight="1">
      <c r="A722" s="4">
        <v>719</v>
      </c>
      <c r="B722" s="30" t="s">
        <v>972</v>
      </c>
      <c r="C722" s="30" t="s">
        <v>973</v>
      </c>
      <c r="D722" s="31" t="s">
        <v>900</v>
      </c>
      <c r="E722" s="31" t="s">
        <v>974</v>
      </c>
      <c r="F722" s="437">
        <v>90000</v>
      </c>
      <c r="G722" s="437"/>
      <c r="H722" s="32">
        <v>4676070.9000000004</v>
      </c>
      <c r="I722" s="16" t="s">
        <v>366</v>
      </c>
      <c r="J722" s="16" t="s">
        <v>1043</v>
      </c>
      <c r="K722" s="17" t="s">
        <v>794</v>
      </c>
      <c r="M722" s="2" t="s">
        <v>794</v>
      </c>
      <c r="N722" s="2" t="s">
        <v>3542</v>
      </c>
      <c r="P722" s="16" t="s">
        <v>3542</v>
      </c>
      <c r="Q722" t="s">
        <v>4266</v>
      </c>
    </row>
    <row r="723" spans="1:17" s="17" customFormat="1" ht="27.75" customHeight="1">
      <c r="A723" s="4">
        <v>720</v>
      </c>
      <c r="B723" s="30" t="s">
        <v>972</v>
      </c>
      <c r="C723" s="30" t="s">
        <v>975</v>
      </c>
      <c r="D723" s="31" t="s">
        <v>900</v>
      </c>
      <c r="E723" s="31" t="s">
        <v>976</v>
      </c>
      <c r="F723" s="437">
        <v>100000</v>
      </c>
      <c r="G723" s="437"/>
      <c r="H723" s="32">
        <v>4576070.9000000004</v>
      </c>
      <c r="I723" s="16" t="s">
        <v>110</v>
      </c>
      <c r="J723" s="16" t="s">
        <v>1043</v>
      </c>
      <c r="K723" s="17" t="s">
        <v>794</v>
      </c>
      <c r="M723" s="2" t="s">
        <v>794</v>
      </c>
      <c r="N723" s="2" t="s">
        <v>3543</v>
      </c>
      <c r="P723" s="16"/>
      <c r="Q723" t="s">
        <v>4266</v>
      </c>
    </row>
    <row r="724" spans="1:17" s="17" customFormat="1" ht="27.75" customHeight="1">
      <c r="A724" s="4">
        <v>721</v>
      </c>
      <c r="B724" s="30" t="s">
        <v>972</v>
      </c>
      <c r="C724" s="30" t="s">
        <v>977</v>
      </c>
      <c r="D724" s="31" t="s">
        <v>900</v>
      </c>
      <c r="E724" s="31" t="s">
        <v>978</v>
      </c>
      <c r="F724" s="437">
        <v>610000</v>
      </c>
      <c r="G724" s="437"/>
      <c r="H724" s="32">
        <v>3966070.9</v>
      </c>
      <c r="I724" s="16" t="s">
        <v>1044</v>
      </c>
      <c r="J724" s="16" t="s">
        <v>1043</v>
      </c>
      <c r="K724" s="17" t="s">
        <v>794</v>
      </c>
      <c r="L724" s="17" t="s">
        <v>1283</v>
      </c>
      <c r="M724" s="2" t="s">
        <v>794</v>
      </c>
      <c r="N724" s="2" t="s">
        <v>3544</v>
      </c>
      <c r="P724" s="16"/>
      <c r="Q724" t="s">
        <v>4266</v>
      </c>
    </row>
    <row r="725" spans="1:17" s="2" customFormat="1" ht="27.75" customHeight="1">
      <c r="A725" s="4">
        <v>722</v>
      </c>
      <c r="B725" s="23" t="s">
        <v>979</v>
      </c>
      <c r="C725" s="23" t="s">
        <v>980</v>
      </c>
      <c r="D725" s="24" t="s">
        <v>900</v>
      </c>
      <c r="E725" s="24" t="s">
        <v>981</v>
      </c>
      <c r="F725" s="435"/>
      <c r="G725" s="438">
        <v>1600000</v>
      </c>
      <c r="H725" s="157">
        <v>5566070.9000000004</v>
      </c>
      <c r="I725" s="1" t="s">
        <v>352</v>
      </c>
      <c r="J725" s="1" t="s">
        <v>1037</v>
      </c>
      <c r="P725" s="1"/>
      <c r="Q725" t="s">
        <v>1345</v>
      </c>
    </row>
    <row r="726" spans="1:17" s="2" customFormat="1" ht="27.75" customHeight="1">
      <c r="A726" s="4">
        <v>723</v>
      </c>
      <c r="B726" s="23" t="s">
        <v>982</v>
      </c>
      <c r="C726" s="23" t="s">
        <v>983</v>
      </c>
      <c r="D726" s="24" t="s">
        <v>900</v>
      </c>
      <c r="E726" s="24" t="s">
        <v>984</v>
      </c>
      <c r="F726" s="435">
        <v>58200</v>
      </c>
      <c r="G726" s="435"/>
      <c r="H726" s="157">
        <v>5507870.9000000004</v>
      </c>
      <c r="I726" s="1" t="s">
        <v>605</v>
      </c>
      <c r="J726" s="1" t="s">
        <v>603</v>
      </c>
      <c r="P726" s="1"/>
      <c r="Q726" t="s">
        <v>4285</v>
      </c>
    </row>
    <row r="727" spans="1:17" s="2" customFormat="1" ht="27.75" customHeight="1">
      <c r="A727" s="4">
        <v>724</v>
      </c>
      <c r="B727" s="23" t="s">
        <v>982</v>
      </c>
      <c r="C727" s="23" t="s">
        <v>985</v>
      </c>
      <c r="D727" s="24" t="s">
        <v>900</v>
      </c>
      <c r="E727" s="24" t="s">
        <v>986</v>
      </c>
      <c r="F727" s="436">
        <v>19400</v>
      </c>
      <c r="G727" s="435"/>
      <c r="H727" s="157">
        <v>5488470.9000000004</v>
      </c>
      <c r="I727" s="1" t="s">
        <v>744</v>
      </c>
      <c r="J727" s="1" t="s">
        <v>603</v>
      </c>
      <c r="P727" s="1"/>
      <c r="Q727" t="s">
        <v>4285</v>
      </c>
    </row>
    <row r="728" spans="1:17" s="2" customFormat="1" ht="27.75" customHeight="1">
      <c r="A728" s="4">
        <v>725</v>
      </c>
      <c r="B728" s="23" t="s">
        <v>987</v>
      </c>
      <c r="C728" s="23" t="s">
        <v>988</v>
      </c>
      <c r="D728" s="24" t="s">
        <v>900</v>
      </c>
      <c r="E728" s="24" t="s">
        <v>989</v>
      </c>
      <c r="F728" s="435">
        <v>500000</v>
      </c>
      <c r="G728" s="435"/>
      <c r="H728" s="157">
        <v>4988470.9000000004</v>
      </c>
      <c r="I728" s="1" t="s">
        <v>870</v>
      </c>
      <c r="J728" s="1" t="s">
        <v>794</v>
      </c>
      <c r="P728" s="1"/>
      <c r="Q728" s="2" t="s">
        <v>4307</v>
      </c>
    </row>
    <row r="729" spans="1:17" s="2" customFormat="1" ht="27.75" customHeight="1">
      <c r="A729" s="4">
        <v>726</v>
      </c>
      <c r="B729" s="23" t="s">
        <v>990</v>
      </c>
      <c r="C729" s="23" t="s">
        <v>991</v>
      </c>
      <c r="D729" s="24" t="s">
        <v>900</v>
      </c>
      <c r="E729" s="24" t="s">
        <v>992</v>
      </c>
      <c r="F729" s="435">
        <v>300000</v>
      </c>
      <c r="G729" s="435"/>
      <c r="H729" s="157">
        <v>4688470.9000000004</v>
      </c>
      <c r="I729" s="1" t="s">
        <v>125</v>
      </c>
      <c r="J729" s="1" t="s">
        <v>1055</v>
      </c>
      <c r="K729" s="2" t="s">
        <v>794</v>
      </c>
      <c r="M729" s="2" t="s">
        <v>794</v>
      </c>
      <c r="N729" s="2" t="s">
        <v>3545</v>
      </c>
      <c r="P729" s="1"/>
      <c r="Q729" t="s">
        <v>4266</v>
      </c>
    </row>
    <row r="730" spans="1:17" s="2" customFormat="1" ht="27.75" customHeight="1">
      <c r="A730" s="4">
        <v>727</v>
      </c>
      <c r="B730" s="23" t="s">
        <v>993</v>
      </c>
      <c r="C730" s="23" t="s">
        <v>994</v>
      </c>
      <c r="D730" s="24" t="s">
        <v>900</v>
      </c>
      <c r="E730" s="24" t="s">
        <v>995</v>
      </c>
      <c r="F730" s="435">
        <v>500000</v>
      </c>
      <c r="G730" s="435"/>
      <c r="H730" s="157">
        <v>4188470.9</v>
      </c>
      <c r="I730" s="1" t="s">
        <v>870</v>
      </c>
      <c r="J730" s="1" t="s">
        <v>794</v>
      </c>
      <c r="K730" s="2" t="s">
        <v>794</v>
      </c>
      <c r="M730" s="2" t="s">
        <v>794</v>
      </c>
      <c r="P730" s="1"/>
      <c r="Q730" s="2" t="s">
        <v>4307</v>
      </c>
    </row>
    <row r="731" spans="1:17" s="2" customFormat="1" ht="27.75" customHeight="1">
      <c r="A731" s="4">
        <v>728</v>
      </c>
      <c r="B731" s="23" t="s">
        <v>993</v>
      </c>
      <c r="C731" s="23" t="s">
        <v>996</v>
      </c>
      <c r="D731" s="24" t="s">
        <v>900</v>
      </c>
      <c r="E731" s="24" t="s">
        <v>997</v>
      </c>
      <c r="F731" s="436">
        <v>19400</v>
      </c>
      <c r="G731" s="435"/>
      <c r="H731" s="157">
        <v>4169070.9</v>
      </c>
      <c r="I731" s="1" t="s">
        <v>715</v>
      </c>
      <c r="J731" s="1" t="s">
        <v>603</v>
      </c>
      <c r="P731" s="1">
        <v>600</v>
      </c>
      <c r="Q731" t="s">
        <v>4285</v>
      </c>
    </row>
    <row r="732" spans="1:17" s="2" customFormat="1" ht="27.75" customHeight="1">
      <c r="A732" s="4">
        <v>729</v>
      </c>
      <c r="B732" s="23" t="s">
        <v>993</v>
      </c>
      <c r="C732" s="23" t="s">
        <v>998</v>
      </c>
      <c r="D732" s="24" t="s">
        <v>900</v>
      </c>
      <c r="E732" s="24" t="s">
        <v>999</v>
      </c>
      <c r="F732" s="435">
        <v>100000</v>
      </c>
      <c r="G732" s="435"/>
      <c r="H732" s="157">
        <v>4069070.9</v>
      </c>
      <c r="I732" s="1" t="s">
        <v>1045</v>
      </c>
      <c r="J732" s="1" t="s">
        <v>794</v>
      </c>
      <c r="K732" s="2" t="s">
        <v>794</v>
      </c>
      <c r="M732" s="2" t="s">
        <v>794</v>
      </c>
      <c r="P732" s="1"/>
      <c r="Q732" t="s">
        <v>4306</v>
      </c>
    </row>
    <row r="733" spans="1:17" s="2" customFormat="1" ht="27.75" customHeight="1">
      <c r="A733" s="4">
        <v>730</v>
      </c>
      <c r="B733" s="23" t="s">
        <v>993</v>
      </c>
      <c r="C733" s="23" t="s">
        <v>1000</v>
      </c>
      <c r="D733" s="24" t="s">
        <v>900</v>
      </c>
      <c r="E733" s="24" t="s">
        <v>1001</v>
      </c>
      <c r="F733" s="435">
        <v>400000</v>
      </c>
      <c r="G733" s="435"/>
      <c r="H733" s="157">
        <v>3669070.9</v>
      </c>
      <c r="I733" s="1" t="s">
        <v>134</v>
      </c>
      <c r="J733" s="1" t="s">
        <v>1037</v>
      </c>
      <c r="N733" s="2" t="s">
        <v>3546</v>
      </c>
      <c r="P733" s="1"/>
      <c r="Q733" t="s">
        <v>4266</v>
      </c>
    </row>
    <row r="734" spans="1:17" s="2" customFormat="1" ht="27.75" customHeight="1">
      <c r="A734" s="4">
        <v>731</v>
      </c>
      <c r="B734" s="28" t="s">
        <v>993</v>
      </c>
      <c r="C734" s="228" t="s">
        <v>1002</v>
      </c>
      <c r="D734" s="232" t="s">
        <v>900</v>
      </c>
      <c r="E734" s="232" t="s">
        <v>1003</v>
      </c>
      <c r="F734" s="435">
        <v>200000</v>
      </c>
      <c r="G734" s="435"/>
      <c r="H734" s="29">
        <v>3469070.9</v>
      </c>
      <c r="I734" s="1" t="s">
        <v>1046</v>
      </c>
      <c r="J734" s="1" t="s">
        <v>1056</v>
      </c>
      <c r="K734" s="227" t="s">
        <v>794</v>
      </c>
      <c r="L734" s="227"/>
      <c r="M734" s="2" t="s">
        <v>794</v>
      </c>
      <c r="N734" s="2" t="s">
        <v>3546</v>
      </c>
      <c r="P734" s="1" t="s">
        <v>3863</v>
      </c>
      <c r="Q734" t="s">
        <v>4266</v>
      </c>
    </row>
    <row r="735" spans="1:17" s="2" customFormat="1" ht="27.75" customHeight="1">
      <c r="A735" s="4">
        <v>732</v>
      </c>
      <c r="B735" s="23" t="s">
        <v>993</v>
      </c>
      <c r="C735" s="23" t="s">
        <v>1004</v>
      </c>
      <c r="D735" s="24" t="s">
        <v>900</v>
      </c>
      <c r="E735" s="24" t="s">
        <v>1005</v>
      </c>
      <c r="F735" s="435">
        <v>200000</v>
      </c>
      <c r="G735" s="435"/>
      <c r="H735" s="157">
        <v>3269070.9</v>
      </c>
      <c r="I735" s="1" t="s">
        <v>851</v>
      </c>
      <c r="J735" s="1" t="s">
        <v>1037</v>
      </c>
      <c r="N735" s="2" t="s">
        <v>3547</v>
      </c>
      <c r="P735" s="1"/>
      <c r="Q735" s="2" t="s">
        <v>4266</v>
      </c>
    </row>
    <row r="736" spans="1:17" s="2" customFormat="1" ht="27.75" customHeight="1">
      <c r="A736" s="4">
        <v>733</v>
      </c>
      <c r="B736" s="23" t="s">
        <v>1006</v>
      </c>
      <c r="C736" s="23" t="s">
        <v>1007</v>
      </c>
      <c r="D736" s="24" t="s">
        <v>900</v>
      </c>
      <c r="E736" s="24" t="s">
        <v>1008</v>
      </c>
      <c r="F736" s="435">
        <v>300000</v>
      </c>
      <c r="G736" s="435"/>
      <c r="H736" s="157">
        <v>2969070.9</v>
      </c>
      <c r="I736" s="1" t="s">
        <v>870</v>
      </c>
      <c r="J736" s="1" t="s">
        <v>794</v>
      </c>
      <c r="P736" s="1"/>
      <c r="Q736" s="2" t="s">
        <v>4307</v>
      </c>
    </row>
    <row r="737" spans="1:17" s="17" customFormat="1" ht="27.75" customHeight="1">
      <c r="A737" s="4">
        <v>734</v>
      </c>
      <c r="B737" s="30" t="s">
        <v>1006</v>
      </c>
      <c r="C737" s="30" t="s">
        <v>1009</v>
      </c>
      <c r="D737" s="31" t="s">
        <v>900</v>
      </c>
      <c r="E737" s="31" t="s">
        <v>1010</v>
      </c>
      <c r="F737" s="437"/>
      <c r="G737" s="437">
        <v>700000</v>
      </c>
      <c r="H737" s="32">
        <v>3669070.9</v>
      </c>
      <c r="I737" s="16" t="s">
        <v>1047</v>
      </c>
      <c r="J737" s="16" t="s">
        <v>113</v>
      </c>
      <c r="K737" s="17" t="s">
        <v>844</v>
      </c>
      <c r="M737" s="2"/>
      <c r="N737" s="2" t="s">
        <v>794</v>
      </c>
      <c r="P737" s="16"/>
      <c r="Q737" t="s">
        <v>4266</v>
      </c>
    </row>
    <row r="738" spans="1:17" s="2" customFormat="1" ht="27.75" customHeight="1">
      <c r="A738" s="4">
        <v>735</v>
      </c>
      <c r="B738" s="23" t="s">
        <v>1011</v>
      </c>
      <c r="C738" s="23" t="s">
        <v>1012</v>
      </c>
      <c r="D738" s="24" t="s">
        <v>900</v>
      </c>
      <c r="E738" s="24" t="s">
        <v>1013</v>
      </c>
      <c r="F738" s="435">
        <v>60000</v>
      </c>
      <c r="G738" s="435"/>
      <c r="H738" s="157">
        <v>3609070.9</v>
      </c>
      <c r="I738" s="1" t="s">
        <v>58</v>
      </c>
      <c r="J738" s="1" t="s">
        <v>1037</v>
      </c>
      <c r="N738" s="2" t="s">
        <v>3548</v>
      </c>
      <c r="P738" s="1" t="s">
        <v>3873</v>
      </c>
      <c r="Q738" s="2" t="s">
        <v>4266</v>
      </c>
    </row>
    <row r="739" spans="1:17" s="2" customFormat="1" ht="27.75" customHeight="1">
      <c r="A739" s="4">
        <v>736</v>
      </c>
      <c r="B739" s="23" t="s">
        <v>1011</v>
      </c>
      <c r="C739" s="23" t="s">
        <v>1014</v>
      </c>
      <c r="D739" s="24" t="s">
        <v>900</v>
      </c>
      <c r="E739" s="24" t="s">
        <v>1015</v>
      </c>
      <c r="F739" s="435">
        <v>10000</v>
      </c>
      <c r="G739" s="435"/>
      <c r="H739" s="157">
        <v>3599070.9</v>
      </c>
      <c r="I739" s="1" t="s">
        <v>817</v>
      </c>
      <c r="J739" s="1" t="s">
        <v>1025</v>
      </c>
      <c r="K739" s="2" t="s">
        <v>794</v>
      </c>
      <c r="M739" s="2" t="s">
        <v>794</v>
      </c>
      <c r="N739" s="2" t="s">
        <v>3549</v>
      </c>
      <c r="P739" s="1"/>
      <c r="Q739" t="s">
        <v>4266</v>
      </c>
    </row>
    <row r="740" spans="1:17" ht="27.75" customHeight="1">
      <c r="A740" s="622">
        <v>737</v>
      </c>
      <c r="B740" s="635" t="s">
        <v>1011</v>
      </c>
      <c r="C740" s="635" t="s">
        <v>1016</v>
      </c>
      <c r="D740" s="636" t="s">
        <v>900</v>
      </c>
      <c r="E740" s="636" t="s">
        <v>1017</v>
      </c>
      <c r="F740" s="637">
        <v>100000</v>
      </c>
      <c r="G740" s="637"/>
      <c r="H740" s="638">
        <v>3499070.9</v>
      </c>
      <c r="I740" s="615" t="s">
        <v>1023</v>
      </c>
      <c r="J740" s="615" t="s">
        <v>1024</v>
      </c>
      <c r="K740" s="612" t="s">
        <v>826</v>
      </c>
      <c r="L740" s="612" t="s">
        <v>4418</v>
      </c>
      <c r="M740" s="612" t="s">
        <v>826</v>
      </c>
      <c r="N740" s="612" t="s">
        <v>3550</v>
      </c>
      <c r="O740" s="612" t="s">
        <v>4261</v>
      </c>
      <c r="P740" s="615"/>
      <c r="Q740" s="612" t="s">
        <v>1209</v>
      </c>
    </row>
    <row r="741" spans="1:17" s="2" customFormat="1" ht="27.75" customHeight="1">
      <c r="A741" s="4">
        <v>738</v>
      </c>
      <c r="B741" s="23" t="s">
        <v>1018</v>
      </c>
      <c r="C741" s="23" t="s">
        <v>1019</v>
      </c>
      <c r="D741" s="24" t="s">
        <v>900</v>
      </c>
      <c r="E741" s="24" t="s">
        <v>1020</v>
      </c>
      <c r="F741" s="440"/>
      <c r="G741" s="435">
        <v>100000</v>
      </c>
      <c r="H741" s="157">
        <v>3599070.9</v>
      </c>
      <c r="I741" s="1" t="s">
        <v>45</v>
      </c>
      <c r="J741" s="1" t="s">
        <v>769</v>
      </c>
      <c r="K741" s="2" t="s">
        <v>794</v>
      </c>
      <c r="M741" s="2" t="s">
        <v>794</v>
      </c>
      <c r="N741" s="2" t="s">
        <v>794</v>
      </c>
      <c r="P741" s="1"/>
      <c r="Q741" t="s">
        <v>4266</v>
      </c>
    </row>
    <row r="742" spans="1:17" s="2" customFormat="1" ht="27.75" customHeight="1">
      <c r="A742" s="4">
        <v>739</v>
      </c>
      <c r="B742" s="23" t="s">
        <v>1018</v>
      </c>
      <c r="C742" s="23" t="s">
        <v>1021</v>
      </c>
      <c r="D742" s="24" t="s">
        <v>900</v>
      </c>
      <c r="E742" s="24" t="s">
        <v>1022</v>
      </c>
      <c r="F742" s="440"/>
      <c r="G742" s="435">
        <v>382250</v>
      </c>
      <c r="H742" s="157">
        <v>3981320.9</v>
      </c>
      <c r="I742" s="1" t="s">
        <v>50</v>
      </c>
      <c r="J742" s="1" t="s">
        <v>51</v>
      </c>
      <c r="N742" s="2" t="s">
        <v>822</v>
      </c>
      <c r="P742" s="1"/>
      <c r="Q742" t="s">
        <v>4266</v>
      </c>
    </row>
    <row r="743" spans="1:17" s="2" customFormat="1" ht="27.75" customHeight="1">
      <c r="A743" s="4">
        <v>740</v>
      </c>
      <c r="B743" s="23" t="s">
        <v>1058</v>
      </c>
      <c r="C743" s="23" t="s">
        <v>1059</v>
      </c>
      <c r="D743" s="24" t="s">
        <v>900</v>
      </c>
      <c r="E743" s="24" t="s">
        <v>1060</v>
      </c>
      <c r="F743" s="435"/>
      <c r="G743" s="435">
        <v>10000</v>
      </c>
      <c r="H743" s="157">
        <v>3991320.9</v>
      </c>
      <c r="I743" s="1"/>
      <c r="J743" s="1" t="s">
        <v>3157</v>
      </c>
      <c r="N743" s="2" t="s">
        <v>3574</v>
      </c>
      <c r="P743" s="1"/>
      <c r="Q743" t="s">
        <v>4266</v>
      </c>
    </row>
    <row r="744" spans="1:17" s="17" customFormat="1" ht="27.75" customHeight="1">
      <c r="A744" s="4">
        <v>741</v>
      </c>
      <c r="B744" s="30" t="s">
        <v>1058</v>
      </c>
      <c r="C744" s="30" t="s">
        <v>1061</v>
      </c>
      <c r="D744" s="31" t="s">
        <v>900</v>
      </c>
      <c r="E744" s="31" t="s">
        <v>1062</v>
      </c>
      <c r="F744" s="437"/>
      <c r="G744" s="437">
        <v>1</v>
      </c>
      <c r="H744" s="32">
        <v>3991321.9</v>
      </c>
      <c r="I744" s="16" t="s">
        <v>45</v>
      </c>
      <c r="J744" s="16" t="s">
        <v>1214</v>
      </c>
      <c r="K744" s="17" t="s">
        <v>823</v>
      </c>
      <c r="M744" s="2" t="s">
        <v>823</v>
      </c>
      <c r="N744" s="2" t="s">
        <v>794</v>
      </c>
      <c r="P744" s="16"/>
      <c r="Q744" t="s">
        <v>4266</v>
      </c>
    </row>
    <row r="745" spans="1:17" s="2" customFormat="1" ht="27.75" customHeight="1">
      <c r="A745" s="4">
        <v>742</v>
      </c>
      <c r="B745" s="23" t="s">
        <v>1058</v>
      </c>
      <c r="C745" s="23" t="s">
        <v>1063</v>
      </c>
      <c r="D745" s="24" t="s">
        <v>900</v>
      </c>
      <c r="E745" s="24" t="s">
        <v>1064</v>
      </c>
      <c r="F745" s="435">
        <v>300000</v>
      </c>
      <c r="G745" s="435"/>
      <c r="H745" s="157">
        <v>3691321.9</v>
      </c>
      <c r="I745" s="1" t="s">
        <v>870</v>
      </c>
      <c r="J745" s="1" t="s">
        <v>794</v>
      </c>
      <c r="K745" s="2" t="s">
        <v>794</v>
      </c>
      <c r="M745" s="2" t="s">
        <v>794</v>
      </c>
      <c r="P745" s="1"/>
      <c r="Q745" s="2" t="s">
        <v>4307</v>
      </c>
    </row>
    <row r="746" spans="1:17" s="2" customFormat="1" ht="27.75" customHeight="1">
      <c r="A746" s="4">
        <v>743</v>
      </c>
      <c r="B746" s="23" t="s">
        <v>1058</v>
      </c>
      <c r="C746" s="23" t="s">
        <v>1065</v>
      </c>
      <c r="D746" s="24" t="s">
        <v>900</v>
      </c>
      <c r="E746" s="24" t="s">
        <v>1066</v>
      </c>
      <c r="F746" s="435">
        <v>500000</v>
      </c>
      <c r="G746" s="435"/>
      <c r="H746" s="157">
        <v>3191321.9</v>
      </c>
      <c r="I746" s="1" t="s">
        <v>870</v>
      </c>
      <c r="J746" s="1" t="s">
        <v>794</v>
      </c>
      <c r="K746" s="2" t="s">
        <v>794</v>
      </c>
      <c r="M746" s="2" t="s">
        <v>794</v>
      </c>
      <c r="P746" s="1"/>
      <c r="Q746" s="2" t="s">
        <v>4307</v>
      </c>
    </row>
    <row r="747" spans="1:17" s="2" customFormat="1" ht="27.75" customHeight="1">
      <c r="A747" s="4">
        <v>744</v>
      </c>
      <c r="B747" s="23" t="s">
        <v>1058</v>
      </c>
      <c r="C747" s="23" t="s">
        <v>1067</v>
      </c>
      <c r="D747" s="24" t="s">
        <v>900</v>
      </c>
      <c r="E747" s="24" t="s">
        <v>1068</v>
      </c>
      <c r="F747" s="435">
        <v>240000</v>
      </c>
      <c r="G747" s="435"/>
      <c r="H747" s="157">
        <v>2951321.9</v>
      </c>
      <c r="I747" s="1" t="s">
        <v>1038</v>
      </c>
      <c r="J747" s="1" t="s">
        <v>822</v>
      </c>
      <c r="N747" s="2" t="s">
        <v>3551</v>
      </c>
      <c r="P747" s="1"/>
      <c r="Q747" s="2" t="s">
        <v>4266</v>
      </c>
    </row>
    <row r="748" spans="1:17" s="17" customFormat="1" ht="27.75" customHeight="1">
      <c r="A748" s="4">
        <v>745</v>
      </c>
      <c r="B748" s="30" t="s">
        <v>1069</v>
      </c>
      <c r="C748" s="30" t="s">
        <v>1070</v>
      </c>
      <c r="D748" s="31" t="s">
        <v>900</v>
      </c>
      <c r="E748" s="31" t="s">
        <v>1071</v>
      </c>
      <c r="F748" s="437"/>
      <c r="G748" s="437">
        <v>99999</v>
      </c>
      <c r="H748" s="32">
        <v>3051320.9</v>
      </c>
      <c r="I748" s="16" t="s">
        <v>45</v>
      </c>
      <c r="J748" s="16" t="s">
        <v>1214</v>
      </c>
      <c r="K748" s="17" t="s">
        <v>823</v>
      </c>
      <c r="M748" s="2" t="s">
        <v>823</v>
      </c>
      <c r="N748" s="2" t="s">
        <v>794</v>
      </c>
      <c r="P748" s="16"/>
      <c r="Q748" t="s">
        <v>4266</v>
      </c>
    </row>
    <row r="749" spans="1:17" s="2" customFormat="1" ht="27.75" customHeight="1">
      <c r="A749" s="4">
        <v>746</v>
      </c>
      <c r="B749" s="23" t="s">
        <v>1069</v>
      </c>
      <c r="C749" s="23" t="s">
        <v>1072</v>
      </c>
      <c r="D749" s="24" t="s">
        <v>900</v>
      </c>
      <c r="E749" s="24" t="s">
        <v>1073</v>
      </c>
      <c r="F749" s="434">
        <v>29100</v>
      </c>
      <c r="G749" s="435"/>
      <c r="H749" s="157">
        <v>3022220.9</v>
      </c>
      <c r="I749" s="1" t="s">
        <v>149</v>
      </c>
      <c r="J749" s="1" t="s">
        <v>603</v>
      </c>
      <c r="P749" s="1">
        <v>900</v>
      </c>
      <c r="Q749" s="2" t="s">
        <v>4285</v>
      </c>
    </row>
    <row r="750" spans="1:17" ht="27.75" customHeight="1">
      <c r="A750" s="622">
        <v>747</v>
      </c>
      <c r="B750" s="635" t="s">
        <v>1069</v>
      </c>
      <c r="C750" s="635" t="s">
        <v>1074</v>
      </c>
      <c r="D750" s="636" t="s">
        <v>900</v>
      </c>
      <c r="E750" s="636" t="s">
        <v>1075</v>
      </c>
      <c r="F750" s="637">
        <v>58200</v>
      </c>
      <c r="G750" s="637"/>
      <c r="H750" s="638">
        <v>2964020.9</v>
      </c>
      <c r="I750" s="615" t="s">
        <v>3253</v>
      </c>
      <c r="J750" s="615" t="s">
        <v>603</v>
      </c>
      <c r="M750" s="612"/>
      <c r="P750" s="615">
        <v>1800</v>
      </c>
      <c r="Q750" s="612" t="s">
        <v>4286</v>
      </c>
    </row>
    <row r="751" spans="1:17" ht="27.75" customHeight="1">
      <c r="A751" s="622">
        <v>748</v>
      </c>
      <c r="B751" s="635" t="s">
        <v>1076</v>
      </c>
      <c r="C751" s="635" t="s">
        <v>1077</v>
      </c>
      <c r="D751" s="636" t="s">
        <v>900</v>
      </c>
      <c r="E751" s="636" t="s">
        <v>1078</v>
      </c>
      <c r="F751" s="637"/>
      <c r="G751" s="637">
        <v>100000</v>
      </c>
      <c r="H751" s="638">
        <v>3064020.9</v>
      </c>
      <c r="I751" s="615" t="s">
        <v>1135</v>
      </c>
      <c r="J751" s="615" t="s">
        <v>1213</v>
      </c>
      <c r="K751" s="612" t="s">
        <v>794</v>
      </c>
      <c r="L751" s="612" t="s">
        <v>4418</v>
      </c>
      <c r="M751" s="612" t="s">
        <v>794</v>
      </c>
      <c r="N751" s="612" t="s">
        <v>3552</v>
      </c>
      <c r="O751" s="612" t="s">
        <v>4261</v>
      </c>
      <c r="P751" s="615"/>
      <c r="Q751" s="612" t="s">
        <v>1209</v>
      </c>
    </row>
    <row r="752" spans="1:17" s="2" customFormat="1" ht="27.75" customHeight="1">
      <c r="A752" s="4">
        <v>749</v>
      </c>
      <c r="B752" s="23" t="s">
        <v>1076</v>
      </c>
      <c r="C752" s="23" t="s">
        <v>1079</v>
      </c>
      <c r="D752" s="24" t="s">
        <v>900</v>
      </c>
      <c r="E752" s="24" t="s">
        <v>1080</v>
      </c>
      <c r="F752" s="435">
        <v>250000</v>
      </c>
      <c r="G752" s="435"/>
      <c r="H752" s="157">
        <v>2814020.9</v>
      </c>
      <c r="I752" s="1" t="s">
        <v>870</v>
      </c>
      <c r="J752" s="1" t="s">
        <v>794</v>
      </c>
      <c r="K752" s="2" t="s">
        <v>794</v>
      </c>
      <c r="M752" s="2" t="s">
        <v>794</v>
      </c>
      <c r="P752" s="1"/>
      <c r="Q752" s="2" t="s">
        <v>4307</v>
      </c>
    </row>
    <row r="753" spans="1:17" s="2" customFormat="1" ht="27.75" customHeight="1">
      <c r="A753" s="4">
        <v>750</v>
      </c>
      <c r="B753" s="23" t="s">
        <v>1076</v>
      </c>
      <c r="C753" s="23" t="s">
        <v>1081</v>
      </c>
      <c r="D753" s="24" t="s">
        <v>900</v>
      </c>
      <c r="E753" s="24" t="s">
        <v>1082</v>
      </c>
      <c r="F753" s="435">
        <v>1000000</v>
      </c>
      <c r="G753" s="435"/>
      <c r="H753" s="157">
        <v>1814020.9</v>
      </c>
      <c r="I753" s="1" t="s">
        <v>870</v>
      </c>
      <c r="J753" s="1" t="s">
        <v>794</v>
      </c>
      <c r="K753" s="2" t="s">
        <v>794</v>
      </c>
      <c r="M753" s="2" t="s">
        <v>794</v>
      </c>
      <c r="P753" s="1"/>
      <c r="Q753" s="2" t="s">
        <v>4307</v>
      </c>
    </row>
    <row r="754" spans="1:17" s="2" customFormat="1" ht="27.75" customHeight="1">
      <c r="A754" s="4">
        <v>751</v>
      </c>
      <c r="B754" s="23" t="s">
        <v>1076</v>
      </c>
      <c r="C754" s="23" t="s">
        <v>1083</v>
      </c>
      <c r="D754" s="24" t="s">
        <v>900</v>
      </c>
      <c r="E754" s="24" t="s">
        <v>1084</v>
      </c>
      <c r="F754" s="435">
        <v>1000000</v>
      </c>
      <c r="G754" s="435"/>
      <c r="H754" s="157">
        <v>814020.9</v>
      </c>
      <c r="I754" s="1" t="s">
        <v>870</v>
      </c>
      <c r="J754" s="1" t="s">
        <v>794</v>
      </c>
      <c r="K754" s="2" t="s">
        <v>794</v>
      </c>
      <c r="M754" s="2" t="s">
        <v>794</v>
      </c>
      <c r="P754" s="1"/>
      <c r="Q754" s="2" t="s">
        <v>4307</v>
      </c>
    </row>
    <row r="755" spans="1:17" s="2" customFormat="1" ht="27.75" customHeight="1">
      <c r="A755" s="4">
        <v>752</v>
      </c>
      <c r="B755" s="23" t="s">
        <v>1076</v>
      </c>
      <c r="C755" s="23" t="s">
        <v>1085</v>
      </c>
      <c r="D755" s="24" t="s">
        <v>900</v>
      </c>
      <c r="E755" s="24" t="s">
        <v>1086</v>
      </c>
      <c r="F755" s="435"/>
      <c r="G755" s="435">
        <v>10000</v>
      </c>
      <c r="H755" s="157">
        <v>824020.9</v>
      </c>
      <c r="I755" s="1" t="s">
        <v>3156</v>
      </c>
      <c r="J755" s="1" t="s">
        <v>1132</v>
      </c>
      <c r="N755" s="2" t="s">
        <v>794</v>
      </c>
      <c r="P755" s="1"/>
      <c r="Q755" t="s">
        <v>4266</v>
      </c>
    </row>
    <row r="756" spans="1:17" s="2" customFormat="1" ht="27.75" customHeight="1">
      <c r="A756" s="4">
        <v>753</v>
      </c>
      <c r="B756" s="23" t="s">
        <v>1087</v>
      </c>
      <c r="C756" s="23" t="s">
        <v>1088</v>
      </c>
      <c r="D756" s="24" t="s">
        <v>900</v>
      </c>
      <c r="E756" s="24" t="s">
        <v>1089</v>
      </c>
      <c r="F756" s="435"/>
      <c r="G756" s="435">
        <v>100</v>
      </c>
      <c r="H756" s="157">
        <v>824120.9</v>
      </c>
      <c r="I756" s="1" t="s">
        <v>1125</v>
      </c>
      <c r="J756" s="1" t="s">
        <v>1126</v>
      </c>
      <c r="N756" s="2" t="s">
        <v>794</v>
      </c>
      <c r="P756" s="1"/>
      <c r="Q756" t="s">
        <v>4266</v>
      </c>
    </row>
    <row r="757" spans="1:17" s="2" customFormat="1" ht="27.75" customHeight="1">
      <c r="A757" s="4">
        <v>754</v>
      </c>
      <c r="B757" s="23" t="s">
        <v>1087</v>
      </c>
      <c r="C757" s="23" t="s">
        <v>1090</v>
      </c>
      <c r="D757" s="24" t="s">
        <v>900</v>
      </c>
      <c r="E757" s="24" t="s">
        <v>1091</v>
      </c>
      <c r="F757" s="435"/>
      <c r="G757" s="435">
        <v>4900</v>
      </c>
      <c r="H757" s="157">
        <v>829020.9</v>
      </c>
      <c r="I757" s="1" t="s">
        <v>1125</v>
      </c>
      <c r="J757" s="1" t="s">
        <v>1126</v>
      </c>
      <c r="N757" s="2" t="s">
        <v>794</v>
      </c>
      <c r="P757" s="1"/>
      <c r="Q757" t="s">
        <v>4266</v>
      </c>
    </row>
    <row r="758" spans="1:17" s="2" customFormat="1" ht="27.75" customHeight="1">
      <c r="A758" s="4">
        <v>755</v>
      </c>
      <c r="B758" s="23" t="s">
        <v>1087</v>
      </c>
      <c r="C758" s="23" t="s">
        <v>1092</v>
      </c>
      <c r="D758" s="24" t="s">
        <v>900</v>
      </c>
      <c r="E758" s="24" t="s">
        <v>1093</v>
      </c>
      <c r="F758" s="435"/>
      <c r="G758" s="435">
        <v>90000</v>
      </c>
      <c r="H758" s="157">
        <v>919020.9</v>
      </c>
      <c r="I758" s="1" t="s">
        <v>1045</v>
      </c>
      <c r="J758" s="1" t="s">
        <v>822</v>
      </c>
      <c r="P758" s="1"/>
      <c r="Q758" s="2" t="s">
        <v>4306</v>
      </c>
    </row>
    <row r="759" spans="1:17" s="2" customFormat="1" ht="27.75" customHeight="1">
      <c r="A759" s="4">
        <v>756</v>
      </c>
      <c r="B759" s="23" t="s">
        <v>1087</v>
      </c>
      <c r="C759" s="23" t="s">
        <v>1094</v>
      </c>
      <c r="D759" s="24" t="s">
        <v>900</v>
      </c>
      <c r="E759" s="24" t="s">
        <v>1095</v>
      </c>
      <c r="F759" s="435"/>
      <c r="G759" s="435">
        <v>15000</v>
      </c>
      <c r="H759" s="157">
        <v>934020.9</v>
      </c>
      <c r="I759" s="1" t="s">
        <v>1125</v>
      </c>
      <c r="J759" s="1" t="s">
        <v>1126</v>
      </c>
      <c r="K759" s="2" t="s">
        <v>794</v>
      </c>
      <c r="M759" s="2" t="s">
        <v>794</v>
      </c>
      <c r="N759" s="2" t="s">
        <v>794</v>
      </c>
      <c r="P759" s="1"/>
      <c r="Q759" t="s">
        <v>4266</v>
      </c>
    </row>
    <row r="760" spans="1:17" s="17" customFormat="1" ht="27.75" customHeight="1">
      <c r="A760" s="4">
        <v>757</v>
      </c>
      <c r="B760" s="30" t="s">
        <v>1087</v>
      </c>
      <c r="C760" s="30" t="s">
        <v>1096</v>
      </c>
      <c r="D760" s="31" t="s">
        <v>900</v>
      </c>
      <c r="E760" s="31" t="s">
        <v>1097</v>
      </c>
      <c r="F760" s="437">
        <v>250000</v>
      </c>
      <c r="G760" s="437"/>
      <c r="H760" s="32">
        <v>684020.9</v>
      </c>
      <c r="I760" s="16" t="s">
        <v>49</v>
      </c>
      <c r="J760" s="16" t="s">
        <v>1127</v>
      </c>
      <c r="K760" s="17" t="s">
        <v>794</v>
      </c>
      <c r="M760" s="2" t="s">
        <v>794</v>
      </c>
      <c r="N760" s="2" t="s">
        <v>3553</v>
      </c>
      <c r="P760" s="16"/>
      <c r="Q760" t="s">
        <v>4266</v>
      </c>
    </row>
    <row r="761" spans="1:17" s="2" customFormat="1" ht="27.75" customHeight="1">
      <c r="A761" s="4">
        <v>758</v>
      </c>
      <c r="B761" s="28" t="s">
        <v>1098</v>
      </c>
      <c r="C761" s="28" t="s">
        <v>1099</v>
      </c>
      <c r="D761" s="232" t="s">
        <v>900</v>
      </c>
      <c r="E761" s="232" t="s">
        <v>1100</v>
      </c>
      <c r="F761" s="435"/>
      <c r="G761" s="435">
        <v>300000</v>
      </c>
      <c r="H761" s="29">
        <v>984020.9</v>
      </c>
      <c r="I761" s="1" t="s">
        <v>369</v>
      </c>
      <c r="J761" s="1" t="s">
        <v>3140</v>
      </c>
      <c r="K761" s="2" t="s">
        <v>830</v>
      </c>
      <c r="M761" s="2" t="s">
        <v>830</v>
      </c>
      <c r="N761" s="2" t="s">
        <v>3554</v>
      </c>
      <c r="P761" s="1" t="s">
        <v>3885</v>
      </c>
      <c r="Q761" t="s">
        <v>4266</v>
      </c>
    </row>
    <row r="762" spans="1:17" s="2" customFormat="1" ht="27.75" customHeight="1">
      <c r="A762" s="4">
        <v>759</v>
      </c>
      <c r="B762" s="23" t="s">
        <v>1098</v>
      </c>
      <c r="C762" s="23" t="s">
        <v>1099</v>
      </c>
      <c r="D762" s="24" t="s">
        <v>900</v>
      </c>
      <c r="E762" s="24" t="s">
        <v>1101</v>
      </c>
      <c r="F762" s="435"/>
      <c r="G762" s="435">
        <v>281000</v>
      </c>
      <c r="H762" s="157">
        <v>1265020.8999999999</v>
      </c>
      <c r="I762" s="1" t="s">
        <v>351</v>
      </c>
      <c r="J762" s="1" t="s">
        <v>740</v>
      </c>
      <c r="K762" s="2" t="s">
        <v>794</v>
      </c>
      <c r="M762" s="2" t="s">
        <v>794</v>
      </c>
      <c r="P762" s="1"/>
      <c r="Q762" s="2" t="s">
        <v>1345</v>
      </c>
    </row>
    <row r="763" spans="1:17" s="2" customFormat="1" ht="27.75" customHeight="1">
      <c r="A763" s="4">
        <v>760</v>
      </c>
      <c r="B763" s="23" t="s">
        <v>1102</v>
      </c>
      <c r="C763" s="23" t="s">
        <v>1103</v>
      </c>
      <c r="D763" s="24" t="s">
        <v>900</v>
      </c>
      <c r="E763" s="24" t="s">
        <v>1104</v>
      </c>
      <c r="F763" s="435">
        <v>300000</v>
      </c>
      <c r="G763" s="435"/>
      <c r="H763" s="157">
        <v>965020.9</v>
      </c>
      <c r="I763" s="1" t="s">
        <v>327</v>
      </c>
      <c r="J763" s="1" t="s">
        <v>1129</v>
      </c>
      <c r="K763" s="2" t="s">
        <v>794</v>
      </c>
      <c r="M763" s="2" t="s">
        <v>794</v>
      </c>
      <c r="N763" s="2" t="s">
        <v>3555</v>
      </c>
      <c r="P763" s="1"/>
      <c r="Q763" t="s">
        <v>4266</v>
      </c>
    </row>
    <row r="764" spans="1:17" s="2" customFormat="1" ht="27.75" customHeight="1">
      <c r="A764" s="4">
        <v>761</v>
      </c>
      <c r="B764" s="23" t="s">
        <v>1105</v>
      </c>
      <c r="C764" s="23" t="s">
        <v>1106</v>
      </c>
      <c r="D764" s="24" t="s">
        <v>900</v>
      </c>
      <c r="E764" s="24" t="s">
        <v>1107</v>
      </c>
      <c r="F764" s="435"/>
      <c r="G764" s="435">
        <v>250000</v>
      </c>
      <c r="H764" s="157">
        <v>1215020.8999999999</v>
      </c>
      <c r="I764" s="1" t="s">
        <v>375</v>
      </c>
      <c r="J764" s="1" t="s">
        <v>1130</v>
      </c>
      <c r="K764" s="2" t="s">
        <v>794</v>
      </c>
      <c r="M764" s="2" t="s">
        <v>794</v>
      </c>
      <c r="N764" s="2" t="s">
        <v>794</v>
      </c>
      <c r="P764" s="1"/>
      <c r="Q764" t="s">
        <v>4266</v>
      </c>
    </row>
    <row r="765" spans="1:17" s="2" customFormat="1" ht="27.75" customHeight="1">
      <c r="A765" s="4">
        <v>762</v>
      </c>
      <c r="B765" s="23" t="s">
        <v>1105</v>
      </c>
      <c r="C765" s="23" t="s">
        <v>1108</v>
      </c>
      <c r="D765" s="24" t="s">
        <v>900</v>
      </c>
      <c r="E765" s="24" t="s">
        <v>1109</v>
      </c>
      <c r="F765" s="435"/>
      <c r="G765" s="435">
        <v>490000</v>
      </c>
      <c r="H765" s="157">
        <v>1705020.9</v>
      </c>
      <c r="I765" s="1" t="s">
        <v>1131</v>
      </c>
      <c r="J765" s="1" t="s">
        <v>1132</v>
      </c>
      <c r="N765" s="2" t="s">
        <v>794</v>
      </c>
      <c r="P765" s="1"/>
      <c r="Q765" t="s">
        <v>4266</v>
      </c>
    </row>
    <row r="766" spans="1:17" s="2" customFormat="1" ht="27.75" customHeight="1">
      <c r="A766" s="4">
        <v>763</v>
      </c>
      <c r="B766" s="23" t="s">
        <v>1110</v>
      </c>
      <c r="C766" s="23" t="s">
        <v>1111</v>
      </c>
      <c r="D766" s="24" t="s">
        <v>900</v>
      </c>
      <c r="E766" s="24" t="s">
        <v>1112</v>
      </c>
      <c r="F766" s="435">
        <v>500000</v>
      </c>
      <c r="G766" s="435"/>
      <c r="H766" s="157">
        <v>1205020.8999999999</v>
      </c>
      <c r="I766" s="1" t="s">
        <v>870</v>
      </c>
      <c r="J766" s="1" t="s">
        <v>794</v>
      </c>
      <c r="K766" s="2" t="s">
        <v>794</v>
      </c>
      <c r="M766" s="2" t="s">
        <v>794</v>
      </c>
      <c r="P766" s="1"/>
      <c r="Q766" s="2" t="s">
        <v>4307</v>
      </c>
    </row>
    <row r="767" spans="1:17" s="2" customFormat="1" ht="27.75" customHeight="1">
      <c r="A767" s="4">
        <v>764</v>
      </c>
      <c r="B767" s="23" t="s">
        <v>1113</v>
      </c>
      <c r="C767" s="23" t="s">
        <v>1114</v>
      </c>
      <c r="D767" s="24" t="s">
        <v>900</v>
      </c>
      <c r="E767" s="24" t="s">
        <v>1115</v>
      </c>
      <c r="F767" s="435">
        <v>334000</v>
      </c>
      <c r="G767" s="435"/>
      <c r="H767" s="157">
        <v>871020.9</v>
      </c>
      <c r="I767" s="1" t="s">
        <v>144</v>
      </c>
      <c r="J767" s="1" t="s">
        <v>3131</v>
      </c>
      <c r="K767" s="2" t="s">
        <v>830</v>
      </c>
      <c r="M767" s="2" t="s">
        <v>830</v>
      </c>
      <c r="N767" s="2" t="s">
        <v>3556</v>
      </c>
      <c r="P767" s="1"/>
      <c r="Q767" t="s">
        <v>4266</v>
      </c>
    </row>
    <row r="768" spans="1:17" s="2" customFormat="1" ht="27.75" customHeight="1">
      <c r="A768" s="4">
        <v>765</v>
      </c>
      <c r="B768" s="23" t="s">
        <v>1116</v>
      </c>
      <c r="C768" s="23" t="s">
        <v>1117</v>
      </c>
      <c r="D768" s="24" t="s">
        <v>900</v>
      </c>
      <c r="E768" s="24" t="s">
        <v>1118</v>
      </c>
      <c r="F768" s="435">
        <v>500000</v>
      </c>
      <c r="G768" s="435"/>
      <c r="H768" s="157">
        <v>371020.9</v>
      </c>
      <c r="I768" s="1" t="s">
        <v>870</v>
      </c>
      <c r="J768" s="1" t="s">
        <v>794</v>
      </c>
      <c r="K768" s="2" t="s">
        <v>794</v>
      </c>
      <c r="M768" s="2" t="s">
        <v>794</v>
      </c>
      <c r="P768" s="1"/>
      <c r="Q768" s="2" t="s">
        <v>4307</v>
      </c>
    </row>
    <row r="769" spans="1:17" s="2" customFormat="1" ht="27.75" customHeight="1">
      <c r="A769" s="4">
        <v>766</v>
      </c>
      <c r="B769" s="23" t="s">
        <v>1116</v>
      </c>
      <c r="C769" s="23" t="s">
        <v>1119</v>
      </c>
      <c r="D769" s="24" t="s">
        <v>900</v>
      </c>
      <c r="E769" s="24" t="s">
        <v>1120</v>
      </c>
      <c r="F769" s="435">
        <v>200000</v>
      </c>
      <c r="G769" s="435"/>
      <c r="H769" s="157">
        <v>171020.9</v>
      </c>
      <c r="I769" s="1" t="s">
        <v>870</v>
      </c>
      <c r="J769" s="1" t="s">
        <v>794</v>
      </c>
      <c r="K769" s="2" t="s">
        <v>794</v>
      </c>
      <c r="M769" s="2" t="s">
        <v>794</v>
      </c>
      <c r="P769" s="1"/>
      <c r="Q769" s="2" t="s">
        <v>4307</v>
      </c>
    </row>
    <row r="770" spans="1:17" s="2" customFormat="1" ht="27.75" customHeight="1">
      <c r="A770" s="4">
        <v>767</v>
      </c>
      <c r="B770" s="23" t="s">
        <v>1121</v>
      </c>
      <c r="C770" s="23" t="s">
        <v>1122</v>
      </c>
      <c r="D770" s="24" t="s">
        <v>900</v>
      </c>
      <c r="E770" s="24" t="s">
        <v>1123</v>
      </c>
      <c r="F770" s="440"/>
      <c r="G770" s="435">
        <v>71000</v>
      </c>
      <c r="H770" s="157">
        <v>242020.9</v>
      </c>
      <c r="I770" s="1" t="s">
        <v>349</v>
      </c>
      <c r="J770" s="1" t="s">
        <v>740</v>
      </c>
      <c r="K770" s="2" t="s">
        <v>832</v>
      </c>
      <c r="M770" s="2" t="s">
        <v>832</v>
      </c>
      <c r="P770" s="1"/>
      <c r="Q770" s="2" t="s">
        <v>1345</v>
      </c>
    </row>
    <row r="771" spans="1:17" s="2" customFormat="1" ht="27.75" customHeight="1">
      <c r="A771" s="4">
        <v>768</v>
      </c>
      <c r="B771" s="23" t="s">
        <v>1121</v>
      </c>
      <c r="C771" s="23" t="s">
        <v>1122</v>
      </c>
      <c r="D771" s="24" t="s">
        <v>900</v>
      </c>
      <c r="E771" s="24" t="s">
        <v>1124</v>
      </c>
      <c r="F771" s="440"/>
      <c r="G771" s="435">
        <v>134000</v>
      </c>
      <c r="H771" s="157">
        <v>376020.9</v>
      </c>
      <c r="I771" s="1" t="s">
        <v>351</v>
      </c>
      <c r="J771" s="1" t="s">
        <v>740</v>
      </c>
      <c r="K771" s="2" t="s">
        <v>794</v>
      </c>
      <c r="M771" s="2" t="s">
        <v>794</v>
      </c>
      <c r="P771" s="1"/>
      <c r="Q771" s="2" t="s">
        <v>1345</v>
      </c>
    </row>
    <row r="772" spans="1:17" s="2" customFormat="1" ht="27.75" customHeight="1">
      <c r="A772" s="4">
        <v>769</v>
      </c>
      <c r="B772" s="23" t="s">
        <v>1136</v>
      </c>
      <c r="C772" s="23" t="s">
        <v>1137</v>
      </c>
      <c r="D772" s="24" t="s">
        <v>900</v>
      </c>
      <c r="E772" s="24" t="s">
        <v>1138</v>
      </c>
      <c r="F772" s="440"/>
      <c r="G772" s="435">
        <v>400000</v>
      </c>
      <c r="H772" s="157">
        <v>776020.9</v>
      </c>
      <c r="I772" s="1" t="s">
        <v>1047</v>
      </c>
      <c r="J772" s="1" t="s">
        <v>1286</v>
      </c>
      <c r="K772" s="2" t="s">
        <v>794</v>
      </c>
      <c r="M772" s="2" t="s">
        <v>794</v>
      </c>
      <c r="N772" s="2" t="s">
        <v>794</v>
      </c>
      <c r="P772" s="1"/>
      <c r="Q772" t="s">
        <v>4266</v>
      </c>
    </row>
    <row r="773" spans="1:17" s="2" customFormat="1" ht="27.75" customHeight="1">
      <c r="A773" s="4">
        <v>770</v>
      </c>
      <c r="B773" s="23" t="s">
        <v>1136</v>
      </c>
      <c r="C773" s="23" t="s">
        <v>1139</v>
      </c>
      <c r="D773" s="24" t="s">
        <v>900</v>
      </c>
      <c r="E773" s="24" t="s">
        <v>1140</v>
      </c>
      <c r="F773" s="440">
        <v>400000</v>
      </c>
      <c r="G773" s="435"/>
      <c r="H773" s="157">
        <v>376020.9</v>
      </c>
      <c r="I773" s="1" t="s">
        <v>134</v>
      </c>
      <c r="J773" s="1" t="s">
        <v>1037</v>
      </c>
      <c r="N773" s="2" t="s">
        <v>3546</v>
      </c>
      <c r="P773" s="1"/>
      <c r="Q773" t="s">
        <v>4266</v>
      </c>
    </row>
    <row r="774" spans="1:17" s="2" customFormat="1" ht="27.75" customHeight="1">
      <c r="A774" s="4">
        <v>771</v>
      </c>
      <c r="B774" s="23" t="s">
        <v>1141</v>
      </c>
      <c r="C774" s="23" t="s">
        <v>1142</v>
      </c>
      <c r="D774" s="24" t="s">
        <v>900</v>
      </c>
      <c r="E774" s="24" t="s">
        <v>1143</v>
      </c>
      <c r="F774" s="440"/>
      <c r="G774" s="435">
        <v>50000</v>
      </c>
      <c r="H774" s="157">
        <v>426020.9</v>
      </c>
      <c r="I774" s="1" t="s">
        <v>715</v>
      </c>
      <c r="J774" s="1" t="s">
        <v>886</v>
      </c>
      <c r="K774" s="2" t="s">
        <v>823</v>
      </c>
      <c r="M774" s="2" t="s">
        <v>823</v>
      </c>
      <c r="N774" s="2" t="s">
        <v>794</v>
      </c>
      <c r="P774" s="16" t="s">
        <v>3859</v>
      </c>
      <c r="Q774" s="2" t="s">
        <v>4308</v>
      </c>
    </row>
    <row r="775" spans="1:17" s="2" customFormat="1" ht="27.75" customHeight="1">
      <c r="A775" s="4">
        <v>772</v>
      </c>
      <c r="B775" s="23" t="s">
        <v>1141</v>
      </c>
      <c r="C775" s="23" t="s">
        <v>1144</v>
      </c>
      <c r="D775" s="24" t="s">
        <v>900</v>
      </c>
      <c r="E775" s="24" t="s">
        <v>1145</v>
      </c>
      <c r="F775" s="440"/>
      <c r="G775" s="435">
        <v>450000</v>
      </c>
      <c r="H775" s="157">
        <v>876020.9</v>
      </c>
      <c r="I775" s="1" t="s">
        <v>86</v>
      </c>
      <c r="J775" s="1" t="s">
        <v>886</v>
      </c>
      <c r="K775" s="2" t="s">
        <v>823</v>
      </c>
      <c r="M775" s="2" t="s">
        <v>823</v>
      </c>
      <c r="N775" s="191" t="s">
        <v>822</v>
      </c>
      <c r="P775" s="1"/>
      <c r="Q775" s="2" t="s">
        <v>86</v>
      </c>
    </row>
    <row r="776" spans="1:17" s="2" customFormat="1" ht="27.75" customHeight="1">
      <c r="A776" s="4">
        <v>773</v>
      </c>
      <c r="B776" s="23" t="s">
        <v>1146</v>
      </c>
      <c r="C776" s="23" t="s">
        <v>1147</v>
      </c>
      <c r="D776" s="24" t="s">
        <v>900</v>
      </c>
      <c r="E776" s="24" t="s">
        <v>1148</v>
      </c>
      <c r="F776" s="440"/>
      <c r="G776" s="435">
        <v>220000</v>
      </c>
      <c r="H776" s="157">
        <v>1096020.8999999999</v>
      </c>
      <c r="I776" s="1" t="s">
        <v>351</v>
      </c>
      <c r="J776" s="1" t="s">
        <v>740</v>
      </c>
      <c r="K776" s="2" t="s">
        <v>822</v>
      </c>
      <c r="L776" s="2" t="s">
        <v>834</v>
      </c>
      <c r="M776" s="2" t="s">
        <v>822</v>
      </c>
      <c r="N776" s="2" t="s">
        <v>834</v>
      </c>
      <c r="P776" s="1"/>
      <c r="Q776" s="2" t="s">
        <v>1345</v>
      </c>
    </row>
    <row r="777" spans="1:17" s="2" customFormat="1" ht="27.75" customHeight="1">
      <c r="A777" s="4">
        <v>774</v>
      </c>
      <c r="B777" s="23" t="s">
        <v>1146</v>
      </c>
      <c r="C777" s="23" t="s">
        <v>1149</v>
      </c>
      <c r="D777" s="24" t="s">
        <v>900</v>
      </c>
      <c r="E777" s="24" t="s">
        <v>1150</v>
      </c>
      <c r="F777" s="440"/>
      <c r="G777" s="435">
        <v>22500</v>
      </c>
      <c r="H777" s="157">
        <v>1118520.8999999999</v>
      </c>
      <c r="I777" s="1" t="s">
        <v>1206</v>
      </c>
      <c r="J777" s="1" t="s">
        <v>1051</v>
      </c>
      <c r="K777" s="268" t="s">
        <v>823</v>
      </c>
      <c r="L777" s="1"/>
      <c r="M777" s="1" t="s">
        <v>823</v>
      </c>
      <c r="N777" s="1" t="s">
        <v>794</v>
      </c>
      <c r="P777" s="1" t="s">
        <v>3891</v>
      </c>
      <c r="Q777" t="s">
        <v>4266</v>
      </c>
    </row>
    <row r="778" spans="1:17" s="2" customFormat="1" ht="27.75" customHeight="1">
      <c r="A778" s="4">
        <v>775</v>
      </c>
      <c r="B778" s="23" t="s">
        <v>1146</v>
      </c>
      <c r="C778" s="23" t="s">
        <v>1149</v>
      </c>
      <c r="D778" s="24" t="s">
        <v>900</v>
      </c>
      <c r="E778" s="24" t="s">
        <v>1151</v>
      </c>
      <c r="F778" s="440"/>
      <c r="G778" s="435">
        <v>110000</v>
      </c>
      <c r="H778" s="157">
        <v>1228520.8999999999</v>
      </c>
      <c r="I778" s="1" t="s">
        <v>1207</v>
      </c>
      <c r="J778" s="1" t="s">
        <v>1051</v>
      </c>
      <c r="K778" s="2" t="s">
        <v>794</v>
      </c>
      <c r="M778" s="2" t="s">
        <v>794</v>
      </c>
      <c r="N778" s="2" t="s">
        <v>3482</v>
      </c>
      <c r="P778" s="1"/>
      <c r="Q778" t="s">
        <v>4266</v>
      </c>
    </row>
    <row r="779" spans="1:17" s="2" customFormat="1" ht="27.75" customHeight="1">
      <c r="A779" s="4">
        <v>776</v>
      </c>
      <c r="B779" s="23" t="s">
        <v>1146</v>
      </c>
      <c r="C779" s="23" t="s">
        <v>1152</v>
      </c>
      <c r="D779" s="24" t="s">
        <v>900</v>
      </c>
      <c r="E779" s="24" t="s">
        <v>1138</v>
      </c>
      <c r="F779" s="440"/>
      <c r="G779" s="435">
        <v>1000000</v>
      </c>
      <c r="H779" s="157">
        <v>2228520.9</v>
      </c>
      <c r="I779" s="1" t="s">
        <v>1047</v>
      </c>
      <c r="J779" s="1" t="s">
        <v>886</v>
      </c>
      <c r="K779" s="2" t="s">
        <v>794</v>
      </c>
      <c r="M779" s="2" t="s">
        <v>794</v>
      </c>
      <c r="N779" s="2" t="s">
        <v>794</v>
      </c>
      <c r="P779" s="1"/>
      <c r="Q779" s="2" t="s">
        <v>4309</v>
      </c>
    </row>
    <row r="780" spans="1:17" ht="27.75" customHeight="1">
      <c r="A780" s="622">
        <v>777</v>
      </c>
      <c r="B780" s="635" t="s">
        <v>1146</v>
      </c>
      <c r="C780" s="635" t="s">
        <v>1153</v>
      </c>
      <c r="D780" s="636" t="s">
        <v>1154</v>
      </c>
      <c r="E780" s="636" t="s">
        <v>1155</v>
      </c>
      <c r="F780" s="674">
        <v>1500000</v>
      </c>
      <c r="G780" s="637"/>
      <c r="H780" s="638">
        <v>728520.9</v>
      </c>
      <c r="I780" s="615" t="s">
        <v>1023</v>
      </c>
      <c r="J780" s="615" t="s">
        <v>1209</v>
      </c>
      <c r="K780" s="612" t="s">
        <v>823</v>
      </c>
      <c r="L780" s="612" t="s">
        <v>4418</v>
      </c>
      <c r="M780" s="612" t="s">
        <v>823</v>
      </c>
      <c r="N780" s="612" t="s">
        <v>3550</v>
      </c>
      <c r="O780" s="612" t="s">
        <v>4261</v>
      </c>
      <c r="P780" s="615"/>
      <c r="Q780" s="612" t="s">
        <v>1209</v>
      </c>
    </row>
    <row r="781" spans="1:17" s="2" customFormat="1" ht="27.75" customHeight="1">
      <c r="A781" s="4">
        <v>778</v>
      </c>
      <c r="B781" s="23" t="s">
        <v>1156</v>
      </c>
      <c r="C781" s="23" t="s">
        <v>1157</v>
      </c>
      <c r="D781" s="24" t="s">
        <v>900</v>
      </c>
      <c r="E781" s="24" t="s">
        <v>1158</v>
      </c>
      <c r="F781" s="440"/>
      <c r="G781" s="435">
        <v>200000</v>
      </c>
      <c r="H781" s="157">
        <v>928520.9</v>
      </c>
      <c r="I781" s="1" t="s">
        <v>715</v>
      </c>
      <c r="J781" s="1" t="s">
        <v>886</v>
      </c>
      <c r="K781" s="2" t="s">
        <v>794</v>
      </c>
      <c r="M781" s="2" t="s">
        <v>794</v>
      </c>
      <c r="N781" s="2" t="s">
        <v>794</v>
      </c>
      <c r="P781" s="1" t="s">
        <v>3858</v>
      </c>
      <c r="Q781" s="2" t="s">
        <v>4308</v>
      </c>
    </row>
    <row r="782" spans="1:17" s="2" customFormat="1" ht="27.75" customHeight="1">
      <c r="A782" s="4">
        <v>779</v>
      </c>
      <c r="B782" s="23" t="s">
        <v>1156</v>
      </c>
      <c r="C782" s="23" t="s">
        <v>1159</v>
      </c>
      <c r="D782" s="24" t="s">
        <v>900</v>
      </c>
      <c r="E782" s="24" t="s">
        <v>1160</v>
      </c>
      <c r="F782" s="440"/>
      <c r="G782" s="435">
        <v>250000</v>
      </c>
      <c r="H782" s="157">
        <v>1178520.8999999999</v>
      </c>
      <c r="I782" s="1" t="s">
        <v>715</v>
      </c>
      <c r="J782" s="1" t="s">
        <v>886</v>
      </c>
      <c r="K782" s="2" t="s">
        <v>794</v>
      </c>
      <c r="M782" s="2" t="s">
        <v>794</v>
      </c>
      <c r="N782" s="2" t="s">
        <v>794</v>
      </c>
      <c r="P782" s="16" t="s">
        <v>3859</v>
      </c>
      <c r="Q782" s="2" t="s">
        <v>4308</v>
      </c>
    </row>
    <row r="783" spans="1:17" s="2" customFormat="1" ht="27.75" customHeight="1">
      <c r="A783" s="4">
        <v>780</v>
      </c>
      <c r="B783" s="23" t="s">
        <v>1161</v>
      </c>
      <c r="C783" s="23" t="s">
        <v>1162</v>
      </c>
      <c r="D783" s="24" t="s">
        <v>900</v>
      </c>
      <c r="E783" s="24" t="s">
        <v>1163</v>
      </c>
      <c r="F783" s="440"/>
      <c r="G783" s="435">
        <v>550000</v>
      </c>
      <c r="H783" s="157">
        <v>1728520.9</v>
      </c>
      <c r="I783" s="1" t="s">
        <v>411</v>
      </c>
      <c r="J783" s="1" t="s">
        <v>886</v>
      </c>
      <c r="N783" s="2" t="s">
        <v>830</v>
      </c>
      <c r="P783" s="1" t="s">
        <v>3252</v>
      </c>
      <c r="Q783" s="2" t="s">
        <v>4270</v>
      </c>
    </row>
    <row r="784" spans="1:17" s="2" customFormat="1" ht="27.75" customHeight="1">
      <c r="A784" s="4">
        <v>781</v>
      </c>
      <c r="B784" s="23" t="s">
        <v>1161</v>
      </c>
      <c r="C784" s="23" t="s">
        <v>1164</v>
      </c>
      <c r="D784" s="24" t="s">
        <v>900</v>
      </c>
      <c r="E784" s="24" t="s">
        <v>1165</v>
      </c>
      <c r="F784" s="440">
        <v>550000</v>
      </c>
      <c r="G784" s="435"/>
      <c r="H784" s="157">
        <v>1178520.8999999999</v>
      </c>
      <c r="I784" s="1" t="s">
        <v>411</v>
      </c>
      <c r="J784" s="1" t="s">
        <v>62</v>
      </c>
      <c r="K784" s="2" t="s">
        <v>794</v>
      </c>
      <c r="M784" s="2" t="s">
        <v>794</v>
      </c>
      <c r="N784" s="2" t="s">
        <v>830</v>
      </c>
      <c r="P784" s="1" t="s">
        <v>3252</v>
      </c>
      <c r="Q784" s="2" t="s">
        <v>4270</v>
      </c>
    </row>
    <row r="785" spans="1:17" s="2" customFormat="1" ht="27.75" customHeight="1">
      <c r="A785" s="4">
        <v>782</v>
      </c>
      <c r="B785" s="23" t="s">
        <v>1166</v>
      </c>
      <c r="C785" s="23" t="s">
        <v>1167</v>
      </c>
      <c r="D785" s="24" t="s">
        <v>900</v>
      </c>
      <c r="E785" s="24" t="s">
        <v>1163</v>
      </c>
      <c r="F785" s="440"/>
      <c r="G785" s="435">
        <v>550000</v>
      </c>
      <c r="H785" s="157">
        <v>1728520.9</v>
      </c>
      <c r="I785" s="1" t="s">
        <v>411</v>
      </c>
      <c r="J785" s="1" t="s">
        <v>886</v>
      </c>
      <c r="K785" s="2" t="s">
        <v>794</v>
      </c>
      <c r="M785" s="2" t="s">
        <v>794</v>
      </c>
      <c r="N785" s="2" t="s">
        <v>794</v>
      </c>
      <c r="P785" s="1" t="s">
        <v>3841</v>
      </c>
      <c r="Q785" s="2" t="s">
        <v>4270</v>
      </c>
    </row>
    <row r="786" spans="1:17" s="2" customFormat="1" ht="27.75" customHeight="1">
      <c r="A786" s="4">
        <v>783</v>
      </c>
      <c r="B786" s="23" t="s">
        <v>1166</v>
      </c>
      <c r="C786" s="23" t="s">
        <v>1168</v>
      </c>
      <c r="D786" s="24" t="s">
        <v>900</v>
      </c>
      <c r="E786" s="24" t="s">
        <v>1169</v>
      </c>
      <c r="F786" s="440">
        <v>192500</v>
      </c>
      <c r="G786" s="435"/>
      <c r="H786" s="157">
        <v>1536020.9</v>
      </c>
      <c r="I786" s="1" t="s">
        <v>414</v>
      </c>
      <c r="J786" s="1" t="s">
        <v>1033</v>
      </c>
      <c r="K786" s="2" t="s">
        <v>794</v>
      </c>
      <c r="M786" s="2" t="s">
        <v>794</v>
      </c>
      <c r="N786" s="2" t="s">
        <v>3557</v>
      </c>
      <c r="P786" s="1"/>
      <c r="Q786" t="s">
        <v>4266</v>
      </c>
    </row>
    <row r="787" spans="1:17" s="2" customFormat="1" ht="27.75" customHeight="1">
      <c r="A787" s="4">
        <v>784</v>
      </c>
      <c r="B787" s="28" t="s">
        <v>1166</v>
      </c>
      <c r="C787" s="228" t="s">
        <v>1170</v>
      </c>
      <c r="D787" s="232" t="s">
        <v>900</v>
      </c>
      <c r="E787" s="232" t="s">
        <v>1171</v>
      </c>
      <c r="F787" s="440"/>
      <c r="G787" s="435">
        <v>10000</v>
      </c>
      <c r="H787" s="29">
        <v>1546020.9</v>
      </c>
      <c r="I787" s="1" t="s">
        <v>1125</v>
      </c>
      <c r="J787" s="1" t="s">
        <v>1210</v>
      </c>
      <c r="K787" s="227" t="s">
        <v>823</v>
      </c>
      <c r="L787" s="227"/>
      <c r="M787" s="2" t="s">
        <v>823</v>
      </c>
      <c r="N787" s="2" t="s">
        <v>794</v>
      </c>
      <c r="P787" s="1"/>
      <c r="Q787" t="s">
        <v>4266</v>
      </c>
    </row>
    <row r="788" spans="1:17" s="2" customFormat="1" ht="27.75" customHeight="1">
      <c r="A788" s="4">
        <v>785</v>
      </c>
      <c r="B788" s="23" t="s">
        <v>1166</v>
      </c>
      <c r="C788" s="23" t="s">
        <v>1172</v>
      </c>
      <c r="D788" s="24" t="s">
        <v>900</v>
      </c>
      <c r="E788" s="24" t="s">
        <v>1173</v>
      </c>
      <c r="F788" s="436">
        <v>20200</v>
      </c>
      <c r="G788" s="435"/>
      <c r="H788" s="157">
        <v>1525820.9</v>
      </c>
      <c r="I788" s="1" t="s">
        <v>715</v>
      </c>
      <c r="J788" s="1" t="s">
        <v>603</v>
      </c>
      <c r="P788" s="1"/>
      <c r="Q788" s="2" t="s">
        <v>4285</v>
      </c>
    </row>
    <row r="789" spans="1:17" s="2" customFormat="1" ht="27.75" customHeight="1">
      <c r="A789" s="4">
        <v>786</v>
      </c>
      <c r="B789" s="23" t="s">
        <v>1166</v>
      </c>
      <c r="C789" s="23" t="s">
        <v>1174</v>
      </c>
      <c r="D789" s="24" t="s">
        <v>900</v>
      </c>
      <c r="E789" s="24" t="s">
        <v>1175</v>
      </c>
      <c r="F789" s="436">
        <v>20400</v>
      </c>
      <c r="G789" s="435"/>
      <c r="H789" s="157">
        <v>1505420.9</v>
      </c>
      <c r="I789" s="1" t="s">
        <v>744</v>
      </c>
      <c r="J789" s="1" t="s">
        <v>603</v>
      </c>
      <c r="P789" s="1"/>
      <c r="Q789" s="2" t="s">
        <v>4285</v>
      </c>
    </row>
    <row r="790" spans="1:17" s="2" customFormat="1" ht="27.75" customHeight="1">
      <c r="A790" s="4">
        <v>787</v>
      </c>
      <c r="B790" s="23" t="s">
        <v>1176</v>
      </c>
      <c r="C790" s="23" t="s">
        <v>1177</v>
      </c>
      <c r="D790" s="24" t="s">
        <v>900</v>
      </c>
      <c r="E790" s="24" t="s">
        <v>1178</v>
      </c>
      <c r="F790" s="434">
        <v>29700</v>
      </c>
      <c r="G790" s="435"/>
      <c r="H790" s="157">
        <v>1475720.9</v>
      </c>
      <c r="I790" s="1" t="s">
        <v>149</v>
      </c>
      <c r="J790" s="1" t="s">
        <v>603</v>
      </c>
      <c r="P790" s="1">
        <v>300</v>
      </c>
      <c r="Q790" s="2" t="s">
        <v>4285</v>
      </c>
    </row>
    <row r="791" spans="1:17" s="17" customFormat="1" ht="27.75" customHeight="1">
      <c r="A791" s="4">
        <v>788</v>
      </c>
      <c r="B791" s="30" t="s">
        <v>1179</v>
      </c>
      <c r="C791" s="30" t="s">
        <v>1180</v>
      </c>
      <c r="D791" s="31" t="s">
        <v>900</v>
      </c>
      <c r="E791" s="31" t="s">
        <v>1181</v>
      </c>
      <c r="F791" s="441"/>
      <c r="G791" s="437">
        <v>439800</v>
      </c>
      <c r="H791" s="32">
        <v>1915520.9</v>
      </c>
      <c r="I791" s="16" t="s">
        <v>1208</v>
      </c>
      <c r="J791" s="16" t="s">
        <v>1211</v>
      </c>
      <c r="K791" s="17" t="s">
        <v>794</v>
      </c>
      <c r="M791" s="2" t="s">
        <v>794</v>
      </c>
      <c r="N791" s="2" t="s">
        <v>822</v>
      </c>
      <c r="P791" s="16"/>
      <c r="Q791" t="s">
        <v>4266</v>
      </c>
    </row>
    <row r="792" spans="1:17" s="2" customFormat="1" ht="27.75" customHeight="1">
      <c r="A792" s="4">
        <v>789</v>
      </c>
      <c r="B792" s="23" t="s">
        <v>1179</v>
      </c>
      <c r="C792" s="23" t="s">
        <v>1182</v>
      </c>
      <c r="D792" s="24" t="s">
        <v>900</v>
      </c>
      <c r="E792" s="24" t="s">
        <v>1183</v>
      </c>
      <c r="F792" s="440"/>
      <c r="G792" s="435">
        <v>200000</v>
      </c>
      <c r="H792" s="157">
        <v>2115520.9</v>
      </c>
      <c r="I792" s="1" t="s">
        <v>862</v>
      </c>
      <c r="J792" s="1" t="s">
        <v>886</v>
      </c>
      <c r="K792" s="2" t="s">
        <v>794</v>
      </c>
      <c r="M792" s="2" t="s">
        <v>794</v>
      </c>
      <c r="N792" s="2" t="s">
        <v>822</v>
      </c>
      <c r="P792" s="1"/>
      <c r="Q792" s="2" t="s">
        <v>4267</v>
      </c>
    </row>
    <row r="793" spans="1:17" s="2" customFormat="1" ht="27.75" customHeight="1">
      <c r="A793" s="4">
        <v>790</v>
      </c>
      <c r="B793" s="23" t="s">
        <v>1179</v>
      </c>
      <c r="C793" s="23" t="s">
        <v>1184</v>
      </c>
      <c r="D793" s="24" t="s">
        <v>900</v>
      </c>
      <c r="E793" s="24" t="s">
        <v>1185</v>
      </c>
      <c r="F793" s="440"/>
      <c r="G793" s="435">
        <v>300000</v>
      </c>
      <c r="H793" s="157">
        <v>2415520.9</v>
      </c>
      <c r="I793" s="1" t="s">
        <v>411</v>
      </c>
      <c r="J793" s="1" t="s">
        <v>886</v>
      </c>
      <c r="N793" s="2" t="s">
        <v>794</v>
      </c>
      <c r="P793" s="1" t="s">
        <v>3844</v>
      </c>
      <c r="Q793" s="2" t="s">
        <v>4270</v>
      </c>
    </row>
    <row r="794" spans="1:17" ht="27.75" customHeight="1">
      <c r="A794" s="622">
        <v>791</v>
      </c>
      <c r="B794" s="635" t="s">
        <v>1179</v>
      </c>
      <c r="C794" s="635" t="s">
        <v>1186</v>
      </c>
      <c r="D794" s="636" t="s">
        <v>900</v>
      </c>
      <c r="E794" s="636" t="s">
        <v>1187</v>
      </c>
      <c r="F794" s="674">
        <v>1000000</v>
      </c>
      <c r="G794" s="637"/>
      <c r="H794" s="638">
        <v>1415520.9</v>
      </c>
      <c r="I794" s="615" t="s">
        <v>1023</v>
      </c>
      <c r="J794" s="615" t="s">
        <v>1209</v>
      </c>
      <c r="L794" s="612" t="s">
        <v>4418</v>
      </c>
      <c r="M794" s="612"/>
      <c r="N794" s="612" t="s">
        <v>3550</v>
      </c>
      <c r="O794" s="612" t="s">
        <v>4261</v>
      </c>
      <c r="P794" s="615"/>
      <c r="Q794" s="612" t="s">
        <v>1209</v>
      </c>
    </row>
    <row r="795" spans="1:17" ht="27.75" customHeight="1">
      <c r="A795" s="622">
        <v>792</v>
      </c>
      <c r="B795" s="635" t="s">
        <v>1179</v>
      </c>
      <c r="C795" s="635" t="s">
        <v>1188</v>
      </c>
      <c r="D795" s="636" t="s">
        <v>900</v>
      </c>
      <c r="E795" s="636" t="s">
        <v>1189</v>
      </c>
      <c r="F795" s="674">
        <v>1000000</v>
      </c>
      <c r="G795" s="637"/>
      <c r="H795" s="638">
        <v>415520.9</v>
      </c>
      <c r="I795" s="615" t="s">
        <v>1023</v>
      </c>
      <c r="J795" s="615" t="s">
        <v>1209</v>
      </c>
      <c r="K795" s="612" t="s">
        <v>794</v>
      </c>
      <c r="L795" s="612" t="s">
        <v>4418</v>
      </c>
      <c r="M795" s="612" t="s">
        <v>794</v>
      </c>
      <c r="N795" s="612" t="s">
        <v>3550</v>
      </c>
      <c r="O795" s="612" t="s">
        <v>4261</v>
      </c>
      <c r="P795" s="615"/>
      <c r="Q795" s="612" t="s">
        <v>1209</v>
      </c>
    </row>
    <row r="796" spans="1:17" s="2" customFormat="1" ht="27.75" customHeight="1">
      <c r="A796" s="4">
        <v>793</v>
      </c>
      <c r="B796" s="23" t="s">
        <v>1190</v>
      </c>
      <c r="C796" s="23" t="s">
        <v>1191</v>
      </c>
      <c r="D796" s="24" t="s">
        <v>900</v>
      </c>
      <c r="E796" s="24" t="s">
        <v>1192</v>
      </c>
      <c r="F796" s="440"/>
      <c r="G796" s="438">
        <v>500000</v>
      </c>
      <c r="H796" s="157">
        <v>915520.9</v>
      </c>
      <c r="I796" s="1" t="s">
        <v>352</v>
      </c>
      <c r="J796" s="1" t="s">
        <v>740</v>
      </c>
      <c r="K796" s="2" t="s">
        <v>794</v>
      </c>
      <c r="M796" s="2" t="s">
        <v>794</v>
      </c>
      <c r="P796" s="1"/>
      <c r="Q796" s="2" t="s">
        <v>1345</v>
      </c>
    </row>
    <row r="797" spans="1:17" ht="27.75" customHeight="1">
      <c r="A797" s="622">
        <v>794</v>
      </c>
      <c r="B797" s="635" t="s">
        <v>1190</v>
      </c>
      <c r="C797" s="635" t="s">
        <v>1193</v>
      </c>
      <c r="D797" s="636" t="s">
        <v>900</v>
      </c>
      <c r="E797" s="636" t="s">
        <v>1194</v>
      </c>
      <c r="F797" s="674">
        <v>750000</v>
      </c>
      <c r="G797" s="637"/>
      <c r="H797" s="638">
        <v>165520.9</v>
      </c>
      <c r="I797" s="615" t="s">
        <v>1023</v>
      </c>
      <c r="J797" s="615" t="s">
        <v>1209</v>
      </c>
      <c r="L797" s="612" t="s">
        <v>4418</v>
      </c>
      <c r="M797" s="612"/>
      <c r="N797" s="612" t="s">
        <v>3550</v>
      </c>
      <c r="O797" s="612" t="s">
        <v>4261</v>
      </c>
      <c r="P797" s="615"/>
      <c r="Q797" s="612" t="s">
        <v>1209</v>
      </c>
    </row>
    <row r="798" spans="1:17" s="2" customFormat="1" ht="27.75" customHeight="1">
      <c r="A798" s="4">
        <v>795</v>
      </c>
      <c r="B798" s="23" t="s">
        <v>1190</v>
      </c>
      <c r="C798" s="23" t="s">
        <v>1195</v>
      </c>
      <c r="D798" s="24" t="s">
        <v>900</v>
      </c>
      <c r="E798" s="24" t="s">
        <v>1196</v>
      </c>
      <c r="F798" s="440"/>
      <c r="G798" s="435">
        <v>700000</v>
      </c>
      <c r="H798" s="157">
        <v>865520.9</v>
      </c>
      <c r="I798" s="1" t="s">
        <v>870</v>
      </c>
      <c r="J798" s="1" t="s">
        <v>1037</v>
      </c>
      <c r="P798" s="1"/>
      <c r="Q798" s="2" t="s">
        <v>4307</v>
      </c>
    </row>
    <row r="799" spans="1:17" s="2" customFormat="1" ht="27.75" customHeight="1">
      <c r="A799" s="4">
        <v>796</v>
      </c>
      <c r="B799" s="30" t="s">
        <v>1190</v>
      </c>
      <c r="C799" s="30" t="s">
        <v>1197</v>
      </c>
      <c r="D799" s="31" t="s">
        <v>900</v>
      </c>
      <c r="E799" s="31" t="s">
        <v>1198</v>
      </c>
      <c r="F799" s="441">
        <v>440000</v>
      </c>
      <c r="G799" s="437"/>
      <c r="H799" s="32">
        <v>425520.9</v>
      </c>
      <c r="I799" s="16" t="s">
        <v>104</v>
      </c>
      <c r="J799" s="16" t="s">
        <v>1212</v>
      </c>
      <c r="K799" s="17" t="s">
        <v>794</v>
      </c>
      <c r="L799" s="17"/>
      <c r="M799" s="2" t="s">
        <v>794</v>
      </c>
      <c r="N799" s="2" t="s">
        <v>3558</v>
      </c>
      <c r="P799" s="1"/>
      <c r="Q799" t="s">
        <v>4266</v>
      </c>
    </row>
    <row r="800" spans="1:17" s="2" customFormat="1" ht="27.75" customHeight="1">
      <c r="A800" s="4">
        <v>797</v>
      </c>
      <c r="B800" s="30" t="s">
        <v>1190</v>
      </c>
      <c r="C800" s="30" t="s">
        <v>1199</v>
      </c>
      <c r="D800" s="31" t="s">
        <v>900</v>
      </c>
      <c r="E800" s="31" t="s">
        <v>1200</v>
      </c>
      <c r="F800" s="441">
        <v>300000</v>
      </c>
      <c r="G800" s="437"/>
      <c r="H800" s="32">
        <v>125520.9</v>
      </c>
      <c r="I800" s="16" t="s">
        <v>748</v>
      </c>
      <c r="J800" s="16" t="s">
        <v>1212</v>
      </c>
      <c r="K800" s="17" t="s">
        <v>794</v>
      </c>
      <c r="L800" s="17"/>
      <c r="M800" s="2" t="s">
        <v>794</v>
      </c>
      <c r="N800" s="2" t="s">
        <v>3559</v>
      </c>
      <c r="P800" s="1" t="s">
        <v>3869</v>
      </c>
      <c r="Q800" t="s">
        <v>4266</v>
      </c>
    </row>
    <row r="801" spans="1:17" s="2" customFormat="1" ht="27.75" customHeight="1">
      <c r="A801" s="4">
        <v>798</v>
      </c>
      <c r="B801" s="23" t="s">
        <v>1201</v>
      </c>
      <c r="C801" s="23" t="s">
        <v>1202</v>
      </c>
      <c r="D801" s="24" t="s">
        <v>900</v>
      </c>
      <c r="E801" s="24" t="s">
        <v>1203</v>
      </c>
      <c r="F801" s="440"/>
      <c r="G801" s="435">
        <v>50000</v>
      </c>
      <c r="H801" s="157">
        <v>175520.9</v>
      </c>
      <c r="I801" s="1" t="s">
        <v>870</v>
      </c>
      <c r="J801" s="1" t="s">
        <v>1037</v>
      </c>
      <c r="P801" s="1"/>
      <c r="Q801" s="2" t="s">
        <v>4307</v>
      </c>
    </row>
    <row r="802" spans="1:17" s="676" customFormat="1" ht="27.75" customHeight="1">
      <c r="A802" s="622">
        <v>799</v>
      </c>
      <c r="B802" s="635" t="s">
        <v>1201</v>
      </c>
      <c r="C802" s="635" t="s">
        <v>1204</v>
      </c>
      <c r="D802" s="636" t="s">
        <v>900</v>
      </c>
      <c r="E802" s="636" t="s">
        <v>1205</v>
      </c>
      <c r="F802" s="674">
        <v>131590</v>
      </c>
      <c r="G802" s="637"/>
      <c r="H802" s="638">
        <v>43930.9</v>
      </c>
      <c r="I802" s="615" t="s">
        <v>1023</v>
      </c>
      <c r="J802" s="615" t="s">
        <v>1209</v>
      </c>
      <c r="K802" s="612" t="s">
        <v>794</v>
      </c>
      <c r="L802" s="612" t="s">
        <v>4418</v>
      </c>
      <c r="M802" s="612" t="s">
        <v>794</v>
      </c>
      <c r="N802" s="612" t="s">
        <v>3550</v>
      </c>
      <c r="O802" s="612" t="s">
        <v>4261</v>
      </c>
      <c r="P802" s="675"/>
      <c r="Q802" s="612" t="s">
        <v>1209</v>
      </c>
    </row>
    <row r="803" spans="1:17" s="17" customFormat="1" ht="27.75" customHeight="1">
      <c r="A803" s="4">
        <v>800</v>
      </c>
      <c r="B803" s="23" t="s">
        <v>1215</v>
      </c>
      <c r="C803" s="23" t="s">
        <v>1216</v>
      </c>
      <c r="D803" s="24" t="s">
        <v>900</v>
      </c>
      <c r="E803" s="24" t="s">
        <v>1217</v>
      </c>
      <c r="F803" s="440"/>
      <c r="G803" s="435">
        <v>2000000</v>
      </c>
      <c r="H803" s="157">
        <v>2043930.9</v>
      </c>
      <c r="I803" s="1" t="s">
        <v>870</v>
      </c>
      <c r="J803" s="1" t="s">
        <v>822</v>
      </c>
      <c r="K803" s="2"/>
      <c r="L803" s="2"/>
      <c r="M803" s="2"/>
      <c r="N803" s="2"/>
      <c r="P803" s="16"/>
      <c r="Q803" s="2" t="s">
        <v>4307</v>
      </c>
    </row>
    <row r="804" spans="1:17" s="2" customFormat="1" ht="27.75" customHeight="1">
      <c r="A804" s="4">
        <v>801</v>
      </c>
      <c r="B804" s="23" t="s">
        <v>1215</v>
      </c>
      <c r="C804" s="23" t="s">
        <v>1218</v>
      </c>
      <c r="D804" s="24" t="s">
        <v>900</v>
      </c>
      <c r="E804" s="24" t="s">
        <v>1219</v>
      </c>
      <c r="F804" s="435">
        <v>1000000</v>
      </c>
      <c r="G804" s="435"/>
      <c r="H804" s="157">
        <v>1043930.9</v>
      </c>
      <c r="I804" s="1" t="s">
        <v>86</v>
      </c>
      <c r="J804" s="1" t="s">
        <v>1285</v>
      </c>
      <c r="N804" s="191" t="s">
        <v>822</v>
      </c>
      <c r="P804" s="1"/>
      <c r="Q804" s="2" t="s">
        <v>86</v>
      </c>
    </row>
    <row r="805" spans="1:17" s="2" customFormat="1" ht="27.75" customHeight="1">
      <c r="A805" s="4">
        <v>802</v>
      </c>
      <c r="B805" s="23" t="s">
        <v>1215</v>
      </c>
      <c r="C805" s="391" t="s">
        <v>1220</v>
      </c>
      <c r="D805" s="392" t="s">
        <v>900</v>
      </c>
      <c r="E805" s="392" t="s">
        <v>1221</v>
      </c>
      <c r="F805" s="439">
        <v>1000000</v>
      </c>
      <c r="G805" s="439"/>
      <c r="H805" s="600">
        <v>43930.9</v>
      </c>
      <c r="I805" s="596" t="s">
        <v>2</v>
      </c>
      <c r="J805" s="596" t="s">
        <v>822</v>
      </c>
      <c r="P805" s="1"/>
      <c r="Q805" s="2" t="s">
        <v>4265</v>
      </c>
    </row>
    <row r="806" spans="1:17" s="2" customFormat="1" ht="27.75" customHeight="1">
      <c r="A806" s="4">
        <v>803</v>
      </c>
      <c r="B806" s="23" t="s">
        <v>1215</v>
      </c>
      <c r="C806" s="23" t="s">
        <v>1222</v>
      </c>
      <c r="D806" s="24" t="s">
        <v>900</v>
      </c>
      <c r="E806" s="24" t="s">
        <v>1223</v>
      </c>
      <c r="F806" s="440"/>
      <c r="G806" s="435">
        <v>800000</v>
      </c>
      <c r="H806" s="157">
        <v>843930.9</v>
      </c>
      <c r="I806" s="1" t="s">
        <v>870</v>
      </c>
      <c r="J806" s="1" t="s">
        <v>822</v>
      </c>
      <c r="P806" s="1"/>
      <c r="Q806" s="2" t="s">
        <v>4307</v>
      </c>
    </row>
    <row r="807" spans="1:17" s="2" customFormat="1" ht="27.75" customHeight="1">
      <c r="A807" s="4">
        <v>804</v>
      </c>
      <c r="B807" s="23" t="s">
        <v>1215</v>
      </c>
      <c r="C807" s="23" t="s">
        <v>1224</v>
      </c>
      <c r="D807" s="24" t="s">
        <v>900</v>
      </c>
      <c r="E807" s="24" t="s">
        <v>1225</v>
      </c>
      <c r="F807" s="435">
        <v>300000</v>
      </c>
      <c r="G807" s="435"/>
      <c r="H807" s="157">
        <v>543930.9</v>
      </c>
      <c r="I807" s="1" t="s">
        <v>86</v>
      </c>
      <c r="J807" s="1" t="s">
        <v>1285</v>
      </c>
      <c r="P807" s="1"/>
      <c r="Q807" s="2" t="s">
        <v>86</v>
      </c>
    </row>
    <row r="808" spans="1:17" s="2" customFormat="1" ht="27.75" customHeight="1">
      <c r="A808" s="4">
        <v>805</v>
      </c>
      <c r="B808" s="23" t="s">
        <v>1215</v>
      </c>
      <c r="C808" s="23" t="s">
        <v>1226</v>
      </c>
      <c r="D808" s="24" t="s">
        <v>900</v>
      </c>
      <c r="E808" s="24" t="s">
        <v>1227</v>
      </c>
      <c r="F808" s="440"/>
      <c r="G808" s="435">
        <v>1000000</v>
      </c>
      <c r="H808" s="157">
        <v>1543930.9</v>
      </c>
      <c r="I808" s="1" t="s">
        <v>870</v>
      </c>
      <c r="J808" s="1" t="s">
        <v>822</v>
      </c>
      <c r="P808" s="1"/>
      <c r="Q808" s="2" t="s">
        <v>4307</v>
      </c>
    </row>
    <row r="809" spans="1:17" s="2" customFormat="1" ht="27.75" customHeight="1">
      <c r="A809" s="4">
        <v>806</v>
      </c>
      <c r="B809" s="23" t="s">
        <v>1215</v>
      </c>
      <c r="C809" s="391" t="s">
        <v>1228</v>
      </c>
      <c r="D809" s="392" t="s">
        <v>900</v>
      </c>
      <c r="E809" s="392" t="s">
        <v>1229</v>
      </c>
      <c r="F809" s="439">
        <v>1000000</v>
      </c>
      <c r="G809" s="439"/>
      <c r="H809" s="600">
        <v>543930.9</v>
      </c>
      <c r="I809" s="596" t="s">
        <v>2</v>
      </c>
      <c r="J809" s="596" t="s">
        <v>794</v>
      </c>
      <c r="P809" s="1"/>
      <c r="Q809" s="2" t="s">
        <v>4265</v>
      </c>
    </row>
    <row r="810" spans="1:17" s="2" customFormat="1" ht="27.75" customHeight="1">
      <c r="A810" s="4">
        <v>807</v>
      </c>
      <c r="B810" s="23" t="s">
        <v>1215</v>
      </c>
      <c r="C810" s="23" t="s">
        <v>1230</v>
      </c>
      <c r="D810" s="24" t="s">
        <v>900</v>
      </c>
      <c r="E810" s="24" t="s">
        <v>1231</v>
      </c>
      <c r="F810" s="435">
        <v>66000</v>
      </c>
      <c r="G810" s="435"/>
      <c r="H810" s="157">
        <v>477930.9</v>
      </c>
      <c r="I810" s="1" t="s">
        <v>887</v>
      </c>
      <c r="J810" s="1" t="s">
        <v>794</v>
      </c>
      <c r="K810" s="2" t="s">
        <v>794</v>
      </c>
      <c r="M810" s="2" t="s">
        <v>794</v>
      </c>
      <c r="P810" s="1"/>
      <c r="Q810" s="2" t="s">
        <v>887</v>
      </c>
    </row>
    <row r="811" spans="1:17" s="2" customFormat="1" ht="27.75" customHeight="1">
      <c r="A811" s="4">
        <v>808</v>
      </c>
      <c r="B811" s="23" t="s">
        <v>1215</v>
      </c>
      <c r="C811" s="23" t="s">
        <v>1232</v>
      </c>
      <c r="D811" s="24" t="s">
        <v>900</v>
      </c>
      <c r="E811" s="24" t="s">
        <v>1233</v>
      </c>
      <c r="F811" s="435">
        <v>305000</v>
      </c>
      <c r="G811" s="435"/>
      <c r="H811" s="157">
        <v>172930.9</v>
      </c>
      <c r="I811" s="1" t="s">
        <v>86</v>
      </c>
      <c r="J811" s="1" t="s">
        <v>1285</v>
      </c>
      <c r="P811" s="1"/>
      <c r="Q811" s="2" t="s">
        <v>86</v>
      </c>
    </row>
    <row r="812" spans="1:17" s="2" customFormat="1" ht="27.75" customHeight="1">
      <c r="A812" s="4">
        <v>809</v>
      </c>
      <c r="B812" s="23" t="s">
        <v>1234</v>
      </c>
      <c r="C812" s="23" t="s">
        <v>1235</v>
      </c>
      <c r="D812" s="24" t="s">
        <v>900</v>
      </c>
      <c r="E812" s="24" t="s">
        <v>1236</v>
      </c>
      <c r="F812" s="440"/>
      <c r="G812" s="435">
        <v>1</v>
      </c>
      <c r="H812" s="157">
        <v>172931.9</v>
      </c>
      <c r="I812" s="1" t="s">
        <v>607</v>
      </c>
      <c r="J812" s="1" t="s">
        <v>1253</v>
      </c>
      <c r="K812" s="2" t="s">
        <v>830</v>
      </c>
      <c r="M812" s="2" t="s">
        <v>830</v>
      </c>
      <c r="N812" s="2" t="s">
        <v>794</v>
      </c>
      <c r="P812" s="1"/>
      <c r="Q812" t="s">
        <v>4266</v>
      </c>
    </row>
    <row r="813" spans="1:17" s="2" customFormat="1" ht="27.75" customHeight="1">
      <c r="A813" s="4">
        <v>810</v>
      </c>
      <c r="B813" s="23" t="s">
        <v>1234</v>
      </c>
      <c r="C813" s="23" t="s">
        <v>1237</v>
      </c>
      <c r="D813" s="24" t="s">
        <v>900</v>
      </c>
      <c r="E813" s="24" t="s">
        <v>1238</v>
      </c>
      <c r="F813" s="440"/>
      <c r="G813" s="435">
        <v>450000</v>
      </c>
      <c r="H813" s="157">
        <v>622931.9</v>
      </c>
      <c r="I813" s="1" t="s">
        <v>607</v>
      </c>
      <c r="J813" s="1" t="s">
        <v>1253</v>
      </c>
      <c r="K813" s="2" t="s">
        <v>794</v>
      </c>
      <c r="M813" s="2" t="s">
        <v>794</v>
      </c>
      <c r="N813" s="2" t="s">
        <v>794</v>
      </c>
      <c r="P813" s="1"/>
      <c r="Q813" t="s">
        <v>4266</v>
      </c>
    </row>
    <row r="814" spans="1:17" s="2" customFormat="1" ht="27.75" customHeight="1">
      <c r="A814" s="4">
        <v>811</v>
      </c>
      <c r="B814" s="23" t="s">
        <v>1234</v>
      </c>
      <c r="C814" s="23" t="s">
        <v>1239</v>
      </c>
      <c r="D814" s="24" t="s">
        <v>900</v>
      </c>
      <c r="E814" s="24" t="s">
        <v>1240</v>
      </c>
      <c r="F814" s="435">
        <v>200000</v>
      </c>
      <c r="G814" s="435"/>
      <c r="H814" s="157">
        <v>422931.9</v>
      </c>
      <c r="I814" s="1" t="s">
        <v>870</v>
      </c>
      <c r="J814" s="1" t="s">
        <v>794</v>
      </c>
      <c r="K814" s="2" t="s">
        <v>794</v>
      </c>
      <c r="M814" s="2" t="s">
        <v>794</v>
      </c>
      <c r="P814" s="1"/>
      <c r="Q814" s="2" t="s">
        <v>4307</v>
      </c>
    </row>
    <row r="815" spans="1:17" s="2" customFormat="1" ht="27.75" customHeight="1">
      <c r="A815" s="4">
        <v>812</v>
      </c>
      <c r="B815" s="28" t="s">
        <v>1241</v>
      </c>
      <c r="C815" s="28" t="s">
        <v>1242</v>
      </c>
      <c r="D815" s="232" t="s">
        <v>900</v>
      </c>
      <c r="E815" s="232" t="s">
        <v>1243</v>
      </c>
      <c r="F815" s="435">
        <v>100000</v>
      </c>
      <c r="G815" s="435"/>
      <c r="H815" s="29">
        <v>322931.90000000002</v>
      </c>
      <c r="I815" s="1" t="s">
        <v>128</v>
      </c>
      <c r="J815" s="1" t="s">
        <v>1252</v>
      </c>
      <c r="K815" s="2" t="s">
        <v>794</v>
      </c>
      <c r="M815" s="2" t="s">
        <v>794</v>
      </c>
      <c r="N815" s="2" t="s">
        <v>3490</v>
      </c>
      <c r="P815" s="1"/>
      <c r="Q815" t="s">
        <v>4266</v>
      </c>
    </row>
    <row r="816" spans="1:17" s="2" customFormat="1" ht="27.75" customHeight="1">
      <c r="A816" s="4">
        <v>813</v>
      </c>
      <c r="B816" s="23" t="s">
        <v>1244</v>
      </c>
      <c r="C816" s="23" t="s">
        <v>1245</v>
      </c>
      <c r="D816" s="24" t="s">
        <v>900</v>
      </c>
      <c r="E816" s="24" t="s">
        <v>1246</v>
      </c>
      <c r="F816" s="440"/>
      <c r="G816" s="435">
        <v>134000</v>
      </c>
      <c r="H816" s="157">
        <v>456931.9</v>
      </c>
      <c r="I816" s="1" t="s">
        <v>349</v>
      </c>
      <c r="J816" s="1" t="s">
        <v>740</v>
      </c>
      <c r="K816" s="2" t="s">
        <v>794</v>
      </c>
      <c r="M816" s="2" t="s">
        <v>794</v>
      </c>
      <c r="P816" s="1"/>
      <c r="Q816" s="2" t="s">
        <v>1345</v>
      </c>
    </row>
    <row r="817" spans="1:17" s="2" customFormat="1" ht="27.75" customHeight="1">
      <c r="A817" s="4">
        <v>814</v>
      </c>
      <c r="B817" s="23" t="s">
        <v>1244</v>
      </c>
      <c r="C817" s="23" t="s">
        <v>1247</v>
      </c>
      <c r="D817" s="24" t="s">
        <v>900</v>
      </c>
      <c r="E817" s="24" t="s">
        <v>1248</v>
      </c>
      <c r="F817" s="440"/>
      <c r="G817" s="435">
        <v>67889</v>
      </c>
      <c r="H817" s="157">
        <v>524820.9</v>
      </c>
      <c r="I817" s="1" t="s">
        <v>147</v>
      </c>
      <c r="J817" s="1" t="s">
        <v>897</v>
      </c>
      <c r="K817" s="2" t="s">
        <v>823</v>
      </c>
      <c r="M817" s="2" t="s">
        <v>823</v>
      </c>
      <c r="N817" s="191" t="s">
        <v>794</v>
      </c>
      <c r="P817" s="1"/>
      <c r="Q817" t="s">
        <v>4266</v>
      </c>
    </row>
    <row r="818" spans="1:17" s="186" customFormat="1" ht="27.75" customHeight="1">
      <c r="A818" s="199">
        <v>815</v>
      </c>
      <c r="B818" s="188" t="s">
        <v>1249</v>
      </c>
      <c r="C818" s="188" t="s">
        <v>1250</v>
      </c>
      <c r="D818" s="200" t="s">
        <v>900</v>
      </c>
      <c r="E818" s="200" t="s">
        <v>1251</v>
      </c>
      <c r="F818" s="442"/>
      <c r="G818" s="443">
        <v>270000</v>
      </c>
      <c r="H818" s="213">
        <v>794820.9</v>
      </c>
      <c r="I818" s="185" t="s">
        <v>349</v>
      </c>
      <c r="J818" s="185" t="s">
        <v>740</v>
      </c>
      <c r="K818" s="186" t="s">
        <v>794</v>
      </c>
      <c r="M818" s="2" t="s">
        <v>794</v>
      </c>
      <c r="N818" s="2"/>
      <c r="P818" s="185"/>
      <c r="Q818" s="2" t="s">
        <v>1345</v>
      </c>
    </row>
    <row r="819" spans="1:17" s="2" customFormat="1" ht="27.75" customHeight="1">
      <c r="A819" s="4">
        <v>816</v>
      </c>
      <c r="B819" s="23" t="s">
        <v>1254</v>
      </c>
      <c r="C819" s="23" t="s">
        <v>1254</v>
      </c>
      <c r="D819" s="23"/>
      <c r="E819" s="187" t="s">
        <v>1256</v>
      </c>
      <c r="F819" s="444">
        <v>30000</v>
      </c>
      <c r="G819" s="445"/>
      <c r="H819" s="249">
        <v>764820.9</v>
      </c>
      <c r="I819" s="1" t="s">
        <v>715</v>
      </c>
      <c r="J819" s="1" t="s">
        <v>603</v>
      </c>
      <c r="K819" s="195"/>
      <c r="L819" s="190"/>
      <c r="M819" s="195"/>
      <c r="N819" s="190"/>
      <c r="P819" s="1"/>
      <c r="Q819" s="2" t="s">
        <v>4285</v>
      </c>
    </row>
    <row r="820" spans="1:17" s="2" customFormat="1" ht="27.75" customHeight="1">
      <c r="A820" s="4">
        <v>817</v>
      </c>
      <c r="B820" s="23"/>
      <c r="C820" s="23" t="s">
        <v>1257</v>
      </c>
      <c r="D820" s="23"/>
      <c r="E820" s="187" t="s">
        <v>1259</v>
      </c>
      <c r="F820" s="444">
        <v>10000</v>
      </c>
      <c r="G820" s="445"/>
      <c r="H820" s="249">
        <v>754820.9</v>
      </c>
      <c r="I820" s="272" t="s">
        <v>744</v>
      </c>
      <c r="J820" s="26" t="s">
        <v>603</v>
      </c>
      <c r="K820" s="196"/>
      <c r="L820" s="190"/>
      <c r="M820" s="196"/>
      <c r="N820" s="190"/>
      <c r="P820" s="1"/>
      <c r="Q820" s="2" t="s">
        <v>4285</v>
      </c>
    </row>
    <row r="821" spans="1:17" s="2" customFormat="1" ht="27.75" customHeight="1">
      <c r="A821" s="4">
        <v>818</v>
      </c>
      <c r="B821" s="337">
        <v>44764</v>
      </c>
      <c r="C821" s="23" t="s">
        <v>1260</v>
      </c>
      <c r="D821" s="23"/>
      <c r="E821" s="187" t="s">
        <v>1262</v>
      </c>
      <c r="F821" s="446">
        <v>50000</v>
      </c>
      <c r="G821" s="445"/>
      <c r="H821" s="249">
        <v>704820.9</v>
      </c>
      <c r="I821" s="272" t="s">
        <v>86</v>
      </c>
      <c r="J821" s="1" t="s">
        <v>886</v>
      </c>
      <c r="K821" s="196"/>
      <c r="L821" s="190"/>
      <c r="M821" s="196"/>
      <c r="N821" s="191" t="s">
        <v>822</v>
      </c>
      <c r="P821" s="1"/>
      <c r="Q821" s="2" t="s">
        <v>86</v>
      </c>
    </row>
    <row r="822" spans="1:17" s="190" customFormat="1" ht="27.75" customHeight="1">
      <c r="A822" s="4">
        <v>819</v>
      </c>
      <c r="B822" s="23"/>
      <c r="C822" s="23" t="s">
        <v>1263</v>
      </c>
      <c r="D822" s="23"/>
      <c r="E822" s="187" t="s">
        <v>1265</v>
      </c>
      <c r="F822" s="446">
        <v>30000</v>
      </c>
      <c r="G822" s="445"/>
      <c r="H822" s="249">
        <v>674820.9</v>
      </c>
      <c r="I822" s="273" t="s">
        <v>365</v>
      </c>
      <c r="J822" s="1" t="s">
        <v>603</v>
      </c>
      <c r="K822" s="196"/>
      <c r="M822" s="196"/>
      <c r="P822" s="158"/>
      <c r="Q822" s="2" t="s">
        <v>4285</v>
      </c>
    </row>
    <row r="823" spans="1:17" s="190" customFormat="1" ht="27.75" customHeight="1">
      <c r="A823" s="4">
        <v>820</v>
      </c>
      <c r="B823" s="337">
        <v>44775</v>
      </c>
      <c r="C823" s="23" t="s">
        <v>1266</v>
      </c>
      <c r="D823" s="23"/>
      <c r="E823" s="187" t="s">
        <v>1268</v>
      </c>
      <c r="F823" s="447"/>
      <c r="G823" s="446">
        <v>560000</v>
      </c>
      <c r="H823" s="249">
        <v>1234820.8999999999</v>
      </c>
      <c r="I823" s="272" t="s">
        <v>378</v>
      </c>
      <c r="J823" s="274" t="s">
        <v>1272</v>
      </c>
      <c r="K823" s="196"/>
      <c r="M823" s="196"/>
      <c r="N823" s="297" t="s">
        <v>3523</v>
      </c>
      <c r="P823" s="274" t="s">
        <v>3867</v>
      </c>
      <c r="Q823" t="s">
        <v>4266</v>
      </c>
    </row>
    <row r="824" spans="1:17" s="190" customFormat="1" ht="27.75" customHeight="1">
      <c r="A824" s="4">
        <v>821</v>
      </c>
      <c r="B824" s="23"/>
      <c r="C824" s="23" t="s">
        <v>1269</v>
      </c>
      <c r="D824" s="23"/>
      <c r="E824" s="187" t="s">
        <v>1271</v>
      </c>
      <c r="F824" s="446">
        <v>500000</v>
      </c>
      <c r="G824" s="445"/>
      <c r="H824" s="249">
        <v>734820.9</v>
      </c>
      <c r="I824" s="272" t="s">
        <v>3152</v>
      </c>
      <c r="J824" s="274" t="s">
        <v>1284</v>
      </c>
      <c r="K824" s="196"/>
      <c r="M824" s="196"/>
      <c r="N824" s="2" t="s">
        <v>3560</v>
      </c>
      <c r="P824" s="158"/>
      <c r="Q824" t="s">
        <v>4266</v>
      </c>
    </row>
    <row r="825" spans="1:17" s="190" customFormat="1" ht="27.75" customHeight="1">
      <c r="A825" s="4">
        <v>822</v>
      </c>
      <c r="B825" s="23"/>
      <c r="C825" s="23" t="s">
        <v>1278</v>
      </c>
      <c r="D825" s="23"/>
      <c r="E825" s="187" t="s">
        <v>1280</v>
      </c>
      <c r="F825" s="448">
        <v>29700</v>
      </c>
      <c r="G825" s="445"/>
      <c r="H825" s="249">
        <v>705120.9</v>
      </c>
      <c r="I825" s="272" t="s">
        <v>149</v>
      </c>
      <c r="J825" s="274" t="s">
        <v>603</v>
      </c>
      <c r="K825" s="196"/>
      <c r="M825" s="196"/>
      <c r="P825" s="158">
        <v>300</v>
      </c>
      <c r="Q825" s="2" t="s">
        <v>4285</v>
      </c>
    </row>
    <row r="826" spans="1:17" s="616" customFormat="1" ht="27.75" customHeight="1">
      <c r="A826" s="622">
        <v>823</v>
      </c>
      <c r="B826" s="635"/>
      <c r="C826" s="635" t="s">
        <v>1278</v>
      </c>
      <c r="D826" s="635"/>
      <c r="E826" s="639" t="s">
        <v>1282</v>
      </c>
      <c r="F826" s="640">
        <v>59400</v>
      </c>
      <c r="G826" s="641"/>
      <c r="H826" s="642">
        <v>645720.9</v>
      </c>
      <c r="I826" s="615" t="s">
        <v>3253</v>
      </c>
      <c r="J826" s="643" t="s">
        <v>603</v>
      </c>
      <c r="K826" s="644"/>
      <c r="M826" s="644"/>
      <c r="P826" s="645">
        <v>600</v>
      </c>
      <c r="Q826" s="612" t="s">
        <v>4286</v>
      </c>
    </row>
    <row r="827" spans="1:17" s="190" customFormat="1" ht="27.75" customHeight="1">
      <c r="A827" s="4">
        <v>824</v>
      </c>
      <c r="B827" s="23"/>
      <c r="C827" s="23" t="s">
        <v>2182</v>
      </c>
      <c r="D827" s="23"/>
      <c r="E827" s="187" t="s">
        <v>1290</v>
      </c>
      <c r="F827" s="447"/>
      <c r="G827" s="446">
        <v>400000</v>
      </c>
      <c r="H827" s="249">
        <v>1045720.9</v>
      </c>
      <c r="I827" s="272" t="s">
        <v>875</v>
      </c>
      <c r="J827" s="274" t="s">
        <v>3155</v>
      </c>
      <c r="K827" s="194"/>
      <c r="M827" s="196"/>
      <c r="N827" s="2" t="s">
        <v>3523</v>
      </c>
      <c r="P827" s="158"/>
      <c r="Q827" t="s">
        <v>4266</v>
      </c>
    </row>
    <row r="828" spans="1:17" s="190" customFormat="1" ht="27.75" customHeight="1">
      <c r="A828" s="4">
        <v>825</v>
      </c>
      <c r="B828" s="30"/>
      <c r="C828" s="30" t="s">
        <v>1292</v>
      </c>
      <c r="D828" s="31" t="s">
        <v>900</v>
      </c>
      <c r="E828" s="31" t="s">
        <v>1293</v>
      </c>
      <c r="F828" s="441"/>
      <c r="G828" s="437">
        <v>560000</v>
      </c>
      <c r="H828" s="32">
        <v>1605720.9</v>
      </c>
      <c r="I828" s="16" t="s">
        <v>1317</v>
      </c>
      <c r="J828" s="16" t="s">
        <v>1322</v>
      </c>
      <c r="K828" s="17"/>
      <c r="L828" s="17"/>
      <c r="M828" s="2"/>
      <c r="N828" s="2" t="s">
        <v>3523</v>
      </c>
      <c r="P828" s="158"/>
      <c r="Q828" t="s">
        <v>4266</v>
      </c>
    </row>
    <row r="829" spans="1:17" s="190" customFormat="1" ht="27.75" customHeight="1">
      <c r="A829" s="4">
        <v>826</v>
      </c>
      <c r="B829" s="23"/>
      <c r="C829" s="23" t="s">
        <v>1295</v>
      </c>
      <c r="D829" s="24" t="s">
        <v>900</v>
      </c>
      <c r="E829" s="24" t="s">
        <v>1296</v>
      </c>
      <c r="F829" s="435">
        <v>1000000</v>
      </c>
      <c r="G829" s="449"/>
      <c r="H829" s="157">
        <v>605720.9</v>
      </c>
      <c r="I829" s="1" t="s">
        <v>870</v>
      </c>
      <c r="J829" s="1" t="s">
        <v>794</v>
      </c>
      <c r="K829" s="2"/>
      <c r="L829" s="2"/>
      <c r="M829" s="2"/>
      <c r="N829" s="2"/>
      <c r="P829" s="158"/>
      <c r="Q829" s="2" t="s">
        <v>4307</v>
      </c>
    </row>
    <row r="830" spans="1:17" s="190" customFormat="1" ht="27.75" customHeight="1">
      <c r="A830" s="4">
        <v>827</v>
      </c>
      <c r="B830" s="23"/>
      <c r="C830" s="23" t="s">
        <v>1297</v>
      </c>
      <c r="D830" s="24" t="s">
        <v>900</v>
      </c>
      <c r="E830" s="187" t="s">
        <v>1299</v>
      </c>
      <c r="F830" s="447"/>
      <c r="G830" s="446">
        <v>240000</v>
      </c>
      <c r="H830" s="250">
        <v>845720.9</v>
      </c>
      <c r="I830" s="1" t="s">
        <v>890</v>
      </c>
      <c r="J830" s="1" t="s">
        <v>3154</v>
      </c>
      <c r="K830" s="2"/>
      <c r="L830" s="2"/>
      <c r="M830" s="2"/>
      <c r="N830" s="2" t="s">
        <v>794</v>
      </c>
      <c r="P830" s="158"/>
      <c r="Q830" t="s">
        <v>4266</v>
      </c>
    </row>
    <row r="831" spans="1:17" s="17" customFormat="1" ht="27.75" customHeight="1">
      <c r="A831" s="4">
        <v>828</v>
      </c>
      <c r="B831" s="30"/>
      <c r="C831" s="33" t="s">
        <v>1301</v>
      </c>
      <c r="D831" s="31" t="s">
        <v>900</v>
      </c>
      <c r="E831" s="31" t="s">
        <v>1302</v>
      </c>
      <c r="F831" s="441"/>
      <c r="G831" s="437">
        <v>560000</v>
      </c>
      <c r="H831" s="32">
        <v>1405720.9</v>
      </c>
      <c r="I831" s="16" t="s">
        <v>1318</v>
      </c>
      <c r="J831" s="16" t="s">
        <v>1210</v>
      </c>
      <c r="M831" s="2"/>
      <c r="N831" s="2" t="s">
        <v>830</v>
      </c>
      <c r="P831" s="16"/>
      <c r="Q831" t="s">
        <v>4266</v>
      </c>
    </row>
    <row r="832" spans="1:17" s="2" customFormat="1" ht="27.75" customHeight="1">
      <c r="A832" s="4">
        <v>829</v>
      </c>
      <c r="B832" s="30"/>
      <c r="C832" s="30" t="s">
        <v>1303</v>
      </c>
      <c r="D832" s="31" t="s">
        <v>900</v>
      </c>
      <c r="E832" s="31" t="s">
        <v>1304</v>
      </c>
      <c r="F832" s="441"/>
      <c r="G832" s="437">
        <v>560000</v>
      </c>
      <c r="H832" s="32">
        <v>1965720.9</v>
      </c>
      <c r="I832" s="16" t="s">
        <v>1341</v>
      </c>
      <c r="J832" s="16" t="s">
        <v>1320</v>
      </c>
      <c r="K832" s="17"/>
      <c r="L832" s="17"/>
      <c r="N832" s="2" t="s">
        <v>3523</v>
      </c>
      <c r="P832" s="1"/>
      <c r="Q832" t="s">
        <v>4266</v>
      </c>
    </row>
    <row r="833" spans="1:17" s="2" customFormat="1" ht="27.75" customHeight="1">
      <c r="A833" s="4">
        <v>830</v>
      </c>
      <c r="B833" s="28"/>
      <c r="C833" s="228" t="s">
        <v>1303</v>
      </c>
      <c r="D833" s="232" t="s">
        <v>900</v>
      </c>
      <c r="E833" s="232" t="s">
        <v>1305</v>
      </c>
      <c r="F833" s="440"/>
      <c r="G833" s="450">
        <v>560000</v>
      </c>
      <c r="H833" s="29">
        <v>2525720.9</v>
      </c>
      <c r="I833" s="1" t="s">
        <v>1318</v>
      </c>
      <c r="J833" s="1" t="s">
        <v>1210</v>
      </c>
      <c r="K833" s="227"/>
      <c r="L833" s="227"/>
      <c r="N833" s="2" t="s">
        <v>3523</v>
      </c>
      <c r="P833" s="1"/>
      <c r="Q833" t="s">
        <v>4266</v>
      </c>
    </row>
    <row r="834" spans="1:17" s="2" customFormat="1" ht="27.75" customHeight="1">
      <c r="A834" s="4">
        <v>831</v>
      </c>
      <c r="B834" s="28"/>
      <c r="C834" s="228" t="s">
        <v>1306</v>
      </c>
      <c r="D834" s="232" t="s">
        <v>900</v>
      </c>
      <c r="E834" s="232" t="s">
        <v>1307</v>
      </c>
      <c r="F834" s="451">
        <v>560000</v>
      </c>
      <c r="G834" s="452"/>
      <c r="H834" s="251">
        <v>1965720.9</v>
      </c>
      <c r="I834" s="1" t="s">
        <v>1318</v>
      </c>
      <c r="J834" s="1" t="s">
        <v>1056</v>
      </c>
      <c r="K834" s="227"/>
      <c r="L834" s="227"/>
      <c r="N834" s="2" t="s">
        <v>830</v>
      </c>
      <c r="P834" s="1"/>
      <c r="Q834" t="s">
        <v>4266</v>
      </c>
    </row>
    <row r="835" spans="1:17" s="17" customFormat="1" ht="27.75" customHeight="1">
      <c r="A835" s="4">
        <v>832</v>
      </c>
      <c r="B835" s="23"/>
      <c r="C835" s="23" t="s">
        <v>1309</v>
      </c>
      <c r="D835" s="24" t="s">
        <v>900</v>
      </c>
      <c r="E835" s="24" t="s">
        <v>1310</v>
      </c>
      <c r="F835" s="451">
        <v>794000</v>
      </c>
      <c r="G835" s="452"/>
      <c r="H835" s="249">
        <v>1171720.8999999999</v>
      </c>
      <c r="I835" s="1" t="s">
        <v>377</v>
      </c>
      <c r="J835" s="1" t="s">
        <v>1133</v>
      </c>
      <c r="K835" s="2"/>
      <c r="L835" s="2"/>
      <c r="M835" s="2"/>
      <c r="N835" s="2" t="s">
        <v>3561</v>
      </c>
      <c r="P835" s="16"/>
      <c r="Q835" t="s">
        <v>4266</v>
      </c>
    </row>
    <row r="836" spans="1:17" s="17" customFormat="1" ht="27.75" customHeight="1">
      <c r="A836" s="4">
        <v>833</v>
      </c>
      <c r="B836" s="23"/>
      <c r="C836" s="23" t="s">
        <v>1312</v>
      </c>
      <c r="D836" s="24" t="s">
        <v>900</v>
      </c>
      <c r="E836" s="24" t="s">
        <v>1313</v>
      </c>
      <c r="F836" s="451">
        <v>100000</v>
      </c>
      <c r="G836" s="452"/>
      <c r="H836" s="249">
        <v>1071720.8999999999</v>
      </c>
      <c r="I836" s="1" t="s">
        <v>327</v>
      </c>
      <c r="J836" s="1" t="s">
        <v>1319</v>
      </c>
      <c r="K836" s="2"/>
      <c r="L836" s="2"/>
      <c r="M836" s="2"/>
      <c r="N836" s="2" t="s">
        <v>3519</v>
      </c>
      <c r="P836" s="16"/>
      <c r="Q836" s="2" t="s">
        <v>4266</v>
      </c>
    </row>
    <row r="837" spans="1:17" s="2" customFormat="1" ht="27.75" customHeight="1">
      <c r="A837" s="4">
        <v>834</v>
      </c>
      <c r="B837" s="30"/>
      <c r="C837" s="30" t="s">
        <v>1315</v>
      </c>
      <c r="D837" s="31" t="s">
        <v>900</v>
      </c>
      <c r="E837" s="31" t="s">
        <v>1316</v>
      </c>
      <c r="F837" s="453">
        <v>600000</v>
      </c>
      <c r="G837" s="454"/>
      <c r="H837" s="252">
        <v>471720.9</v>
      </c>
      <c r="I837" s="16" t="s">
        <v>125</v>
      </c>
      <c r="J837" s="16" t="s">
        <v>760</v>
      </c>
      <c r="K837" s="17"/>
      <c r="L837" s="17"/>
      <c r="N837" s="2" t="s">
        <v>3562</v>
      </c>
      <c r="P837" s="1"/>
      <c r="Q837" t="s">
        <v>4266</v>
      </c>
    </row>
    <row r="838" spans="1:17" s="186" customFormat="1" ht="27.75" customHeight="1">
      <c r="A838" s="199">
        <v>835</v>
      </c>
      <c r="B838" s="188"/>
      <c r="C838" s="188" t="s">
        <v>1324</v>
      </c>
      <c r="D838" s="200" t="s">
        <v>900</v>
      </c>
      <c r="E838" s="200" t="s">
        <v>1325</v>
      </c>
      <c r="F838" s="442"/>
      <c r="G838" s="455">
        <v>423000</v>
      </c>
      <c r="H838" s="213">
        <v>894720.9</v>
      </c>
      <c r="I838" s="185" t="s">
        <v>349</v>
      </c>
      <c r="J838" s="185" t="s">
        <v>1342</v>
      </c>
      <c r="K838" s="186" t="s">
        <v>3175</v>
      </c>
      <c r="M838" s="2" t="s">
        <v>3175</v>
      </c>
      <c r="N838" s="2"/>
      <c r="P838" s="185"/>
      <c r="Q838" t="s">
        <v>1345</v>
      </c>
    </row>
    <row r="839" spans="1:17" s="17" customFormat="1" ht="27.75" customHeight="1">
      <c r="A839" s="4">
        <v>836</v>
      </c>
      <c r="B839" s="23"/>
      <c r="C839" s="23" t="s">
        <v>1327</v>
      </c>
      <c r="D839" s="24" t="s">
        <v>900</v>
      </c>
      <c r="E839" s="24" t="s">
        <v>1328</v>
      </c>
      <c r="F839" s="456">
        <v>19800</v>
      </c>
      <c r="G839" s="452"/>
      <c r="H839" s="249">
        <v>874920.9</v>
      </c>
      <c r="I839" s="1" t="s">
        <v>744</v>
      </c>
      <c r="J839" s="1" t="s">
        <v>603</v>
      </c>
      <c r="K839" s="2"/>
      <c r="L839" s="2"/>
      <c r="M839" s="2"/>
      <c r="N839" s="2"/>
      <c r="P839" s="16"/>
      <c r="Q839" s="2" t="s">
        <v>4285</v>
      </c>
    </row>
    <row r="840" spans="1:17" s="2" customFormat="1" ht="27.75" customHeight="1">
      <c r="A840" s="4">
        <v>837</v>
      </c>
      <c r="B840" s="23"/>
      <c r="C840" s="23" t="s">
        <v>1329</v>
      </c>
      <c r="D840" s="24" t="s">
        <v>900</v>
      </c>
      <c r="E840" s="24" t="s">
        <v>1330</v>
      </c>
      <c r="F840" s="456">
        <v>29700</v>
      </c>
      <c r="G840" s="452"/>
      <c r="H840" s="249">
        <v>845220.9</v>
      </c>
      <c r="I840" s="1" t="s">
        <v>715</v>
      </c>
      <c r="J840" s="1" t="s">
        <v>603</v>
      </c>
      <c r="P840" s="1">
        <v>300</v>
      </c>
      <c r="Q840" s="2" t="s">
        <v>4285</v>
      </c>
    </row>
    <row r="841" spans="1:17" s="2" customFormat="1" ht="27.75" customHeight="1">
      <c r="A841" s="4">
        <v>838</v>
      </c>
      <c r="B841" s="23"/>
      <c r="C841" s="23" t="s">
        <v>1331</v>
      </c>
      <c r="D841" s="24" t="s">
        <v>900</v>
      </c>
      <c r="E841" s="24" t="s">
        <v>1332</v>
      </c>
      <c r="F841" s="440"/>
      <c r="G841" s="457">
        <v>2000000</v>
      </c>
      <c r="H841" s="157">
        <v>2845220.9</v>
      </c>
      <c r="I841" s="1" t="s">
        <v>3173</v>
      </c>
      <c r="J841" s="1" t="s">
        <v>1344</v>
      </c>
      <c r="P841" s="1"/>
      <c r="Q841" s="2" t="s">
        <v>4310</v>
      </c>
    </row>
    <row r="842" spans="1:17" s="2" customFormat="1" ht="27.75" customHeight="1">
      <c r="A842" s="4">
        <v>839</v>
      </c>
      <c r="B842" s="23"/>
      <c r="C842" s="23" t="s">
        <v>1333</v>
      </c>
      <c r="D842" s="24" t="s">
        <v>900</v>
      </c>
      <c r="E842" s="24" t="s">
        <v>1334</v>
      </c>
      <c r="F842" s="451">
        <v>1000000</v>
      </c>
      <c r="G842" s="452"/>
      <c r="H842" s="249">
        <v>1845220.9</v>
      </c>
      <c r="I842" s="1" t="s">
        <v>352</v>
      </c>
      <c r="J842" s="1" t="s">
        <v>1345</v>
      </c>
      <c r="P842" s="1"/>
      <c r="Q842" t="s">
        <v>1345</v>
      </c>
    </row>
    <row r="843" spans="1:17" s="2" customFormat="1" ht="27.75" customHeight="1">
      <c r="A843" s="4">
        <v>840</v>
      </c>
      <c r="B843" s="23"/>
      <c r="C843" s="23" t="s">
        <v>1335</v>
      </c>
      <c r="D843" s="24" t="s">
        <v>900</v>
      </c>
      <c r="E843" s="24" t="s">
        <v>1336</v>
      </c>
      <c r="F843" s="451">
        <v>500000</v>
      </c>
      <c r="G843" s="452"/>
      <c r="H843" s="249">
        <v>1345220.9</v>
      </c>
      <c r="I843" s="1" t="s">
        <v>352</v>
      </c>
      <c r="J843" s="1" t="s">
        <v>1345</v>
      </c>
      <c r="P843" s="1"/>
      <c r="Q843" t="s">
        <v>1345</v>
      </c>
    </row>
    <row r="844" spans="1:17" s="2" customFormat="1" ht="27.75" customHeight="1">
      <c r="A844" s="4">
        <v>841</v>
      </c>
      <c r="B844" s="337">
        <v>44806</v>
      </c>
      <c r="C844" s="23" t="s">
        <v>1337</v>
      </c>
      <c r="D844" s="24" t="s">
        <v>900</v>
      </c>
      <c r="E844" s="24" t="s">
        <v>1338</v>
      </c>
      <c r="F844" s="451">
        <v>455001</v>
      </c>
      <c r="G844" s="452"/>
      <c r="H844" s="249">
        <v>890219.9</v>
      </c>
      <c r="I844" s="1" t="s">
        <v>378</v>
      </c>
      <c r="J844" s="1" t="s">
        <v>1346</v>
      </c>
      <c r="N844" s="2" t="s">
        <v>822</v>
      </c>
      <c r="P844" s="1" t="s">
        <v>3866</v>
      </c>
      <c r="Q844" t="s">
        <v>4266</v>
      </c>
    </row>
    <row r="845" spans="1:17" s="2" customFormat="1" ht="27.75" customHeight="1">
      <c r="A845" s="4">
        <v>842</v>
      </c>
      <c r="B845" s="23"/>
      <c r="C845" s="23" t="s">
        <v>1339</v>
      </c>
      <c r="D845" s="24" t="s">
        <v>900</v>
      </c>
      <c r="E845" s="24" t="s">
        <v>1340</v>
      </c>
      <c r="F845" s="451">
        <v>200000</v>
      </c>
      <c r="G845" s="452"/>
      <c r="H845" s="249">
        <v>690219.9</v>
      </c>
      <c r="I845" s="1" t="s">
        <v>764</v>
      </c>
      <c r="J845" s="1" t="s">
        <v>1346</v>
      </c>
      <c r="N845" s="2" t="s">
        <v>3501</v>
      </c>
      <c r="P845" s="1"/>
      <c r="Q845" t="s">
        <v>4266</v>
      </c>
    </row>
    <row r="846" spans="1:17" s="2" customFormat="1" ht="27.75" customHeight="1">
      <c r="A846" s="4">
        <v>843</v>
      </c>
      <c r="B846" s="23"/>
      <c r="C846" s="23" t="s">
        <v>2183</v>
      </c>
      <c r="D846" s="24" t="s">
        <v>900</v>
      </c>
      <c r="E846" s="187" t="s">
        <v>2185</v>
      </c>
      <c r="F846" s="448">
        <v>29700</v>
      </c>
      <c r="G846" s="445"/>
      <c r="H846" s="249">
        <v>660519.9</v>
      </c>
      <c r="I846" s="1" t="s">
        <v>149</v>
      </c>
      <c r="J846" s="1" t="s">
        <v>603</v>
      </c>
      <c r="K846" s="190"/>
      <c r="L846" s="190"/>
      <c r="M846" s="190"/>
      <c r="N846" s="190"/>
      <c r="P846" s="1">
        <v>300</v>
      </c>
      <c r="Q846" s="2" t="s">
        <v>4285</v>
      </c>
    </row>
    <row r="847" spans="1:17" ht="27.75" customHeight="1">
      <c r="A847" s="622">
        <v>844</v>
      </c>
      <c r="B847" s="635"/>
      <c r="C847" s="635" t="s">
        <v>2183</v>
      </c>
      <c r="D847" s="636" t="s">
        <v>900</v>
      </c>
      <c r="E847" s="639" t="s">
        <v>2187</v>
      </c>
      <c r="F847" s="640">
        <v>29700</v>
      </c>
      <c r="G847" s="641"/>
      <c r="H847" s="642">
        <v>630819.9</v>
      </c>
      <c r="I847" s="615" t="s">
        <v>3253</v>
      </c>
      <c r="J847" s="615" t="s">
        <v>603</v>
      </c>
      <c r="K847" s="616"/>
      <c r="L847" s="616"/>
      <c r="N847" s="616"/>
      <c r="P847" s="615">
        <v>300</v>
      </c>
      <c r="Q847" s="612" t="s">
        <v>4286</v>
      </c>
    </row>
    <row r="848" spans="1:17" s="190" customFormat="1" ht="27.75" customHeight="1">
      <c r="A848" s="4">
        <v>845</v>
      </c>
      <c r="B848" s="23"/>
      <c r="C848" s="23" t="s">
        <v>2188</v>
      </c>
      <c r="D848" s="24" t="s">
        <v>900</v>
      </c>
      <c r="E848" s="187" t="s">
        <v>2190</v>
      </c>
      <c r="F848" s="447"/>
      <c r="G848" s="446">
        <v>174000</v>
      </c>
      <c r="H848" s="250">
        <v>804819.9</v>
      </c>
      <c r="I848" s="275" t="s">
        <v>351</v>
      </c>
      <c r="J848" s="274" t="s">
        <v>1342</v>
      </c>
      <c r="P848" s="158"/>
      <c r="Q848" t="s">
        <v>1345</v>
      </c>
    </row>
    <row r="849" spans="1:17" s="190" customFormat="1" ht="27.75" customHeight="1">
      <c r="A849" s="4">
        <v>846</v>
      </c>
      <c r="B849" s="23"/>
      <c r="C849" s="23" t="s">
        <v>3142</v>
      </c>
      <c r="D849" s="24" t="s">
        <v>900</v>
      </c>
      <c r="E849" s="187" t="s">
        <v>3144</v>
      </c>
      <c r="F849" s="446">
        <v>250000</v>
      </c>
      <c r="G849" s="445"/>
      <c r="H849" s="250">
        <v>554819.9</v>
      </c>
      <c r="I849" s="275" t="s">
        <v>82</v>
      </c>
      <c r="J849" s="274" t="s">
        <v>3153</v>
      </c>
      <c r="N849" s="190" t="s">
        <v>832</v>
      </c>
      <c r="P849" s="158"/>
      <c r="Q849" t="s">
        <v>4266</v>
      </c>
    </row>
    <row r="850" spans="1:17" s="190" customFormat="1" ht="27.75" customHeight="1">
      <c r="A850" s="4">
        <v>847</v>
      </c>
      <c r="B850" s="197"/>
      <c r="C850" s="197" t="s">
        <v>3158</v>
      </c>
      <c r="D850" s="198" t="s">
        <v>900</v>
      </c>
      <c r="E850" s="198" t="s">
        <v>3159</v>
      </c>
      <c r="F850" s="458"/>
      <c r="G850" s="459">
        <v>500000</v>
      </c>
      <c r="H850" s="253">
        <v>1054819.8999999999</v>
      </c>
      <c r="I850" s="1" t="s">
        <v>3173</v>
      </c>
      <c r="J850" s="1" t="s">
        <v>1344</v>
      </c>
      <c r="K850" s="2"/>
      <c r="L850" s="2"/>
      <c r="M850" s="2"/>
      <c r="N850" s="2"/>
      <c r="P850" s="158"/>
      <c r="Q850" s="2" t="s">
        <v>4310</v>
      </c>
    </row>
    <row r="851" spans="1:17" s="190" customFormat="1" ht="27.75" customHeight="1">
      <c r="A851" s="4">
        <v>848</v>
      </c>
      <c r="B851" s="197"/>
      <c r="C851" s="197" t="s">
        <v>3160</v>
      </c>
      <c r="D851" s="198" t="s">
        <v>900</v>
      </c>
      <c r="E851" s="198" t="s">
        <v>3161</v>
      </c>
      <c r="F851" s="459">
        <v>800000</v>
      </c>
      <c r="G851" s="460"/>
      <c r="H851" s="253">
        <v>254819.9</v>
      </c>
      <c r="I851" s="276" t="s">
        <v>796</v>
      </c>
      <c r="J851" s="1" t="s">
        <v>3162</v>
      </c>
      <c r="K851" s="2"/>
      <c r="L851" s="2"/>
      <c r="M851" s="2"/>
      <c r="N851" s="2" t="s">
        <v>3563</v>
      </c>
      <c r="P851" s="158"/>
      <c r="Q851" t="s">
        <v>4266</v>
      </c>
    </row>
    <row r="852" spans="1:17" s="2" customFormat="1" ht="27.75" customHeight="1">
      <c r="A852" s="4">
        <v>849</v>
      </c>
      <c r="B852" s="23"/>
      <c r="C852" s="23" t="s">
        <v>3163</v>
      </c>
      <c r="D852" s="24" t="s">
        <v>900</v>
      </c>
      <c r="E852" s="24" t="s">
        <v>3164</v>
      </c>
      <c r="F852" s="461">
        <v>240000</v>
      </c>
      <c r="G852" s="445"/>
      <c r="H852" s="249">
        <v>14819.9</v>
      </c>
      <c r="I852" s="1" t="s">
        <v>369</v>
      </c>
      <c r="J852" s="1" t="s">
        <v>603</v>
      </c>
      <c r="N852" s="2" t="s">
        <v>3564</v>
      </c>
      <c r="P852" s="1" t="s">
        <v>3886</v>
      </c>
      <c r="Q852" s="2" t="s">
        <v>4285</v>
      </c>
    </row>
    <row r="853" spans="1:17" s="2" customFormat="1" ht="27.75" customHeight="1">
      <c r="A853" s="4">
        <v>850</v>
      </c>
      <c r="B853" s="23"/>
      <c r="C853" s="23" t="s">
        <v>3165</v>
      </c>
      <c r="D853" s="24" t="s">
        <v>900</v>
      </c>
      <c r="E853" s="24" t="s">
        <v>3166</v>
      </c>
      <c r="F853" s="462"/>
      <c r="G853" s="463">
        <v>200000</v>
      </c>
      <c r="H853" s="157">
        <v>214819.9</v>
      </c>
      <c r="I853" s="1" t="s">
        <v>3173</v>
      </c>
      <c r="J853" s="1" t="s">
        <v>794</v>
      </c>
      <c r="P853" s="1"/>
      <c r="Q853" s="2" t="s">
        <v>4310</v>
      </c>
    </row>
    <row r="854" spans="1:17" s="2" customFormat="1" ht="27.75" customHeight="1">
      <c r="A854" s="4">
        <v>851</v>
      </c>
      <c r="B854" s="23"/>
      <c r="C854" s="23" t="s">
        <v>3167</v>
      </c>
      <c r="D854" s="24" t="s">
        <v>900</v>
      </c>
      <c r="E854" s="24" t="s">
        <v>3168</v>
      </c>
      <c r="F854" s="461">
        <v>60000</v>
      </c>
      <c r="G854" s="445"/>
      <c r="H854" s="249">
        <v>154819.9</v>
      </c>
      <c r="I854" s="1" t="s">
        <v>369</v>
      </c>
      <c r="J854" s="1" t="s">
        <v>3174</v>
      </c>
      <c r="N854" s="2" t="s">
        <v>3564</v>
      </c>
      <c r="P854" s="1" t="s">
        <v>3886</v>
      </c>
      <c r="Q854" s="2" t="s">
        <v>4285</v>
      </c>
    </row>
    <row r="855" spans="1:17" s="2" customFormat="1" ht="27.75" customHeight="1">
      <c r="A855" s="4">
        <v>852</v>
      </c>
      <c r="B855" s="23"/>
      <c r="C855" s="23" t="s">
        <v>3169</v>
      </c>
      <c r="D855" s="24" t="s">
        <v>900</v>
      </c>
      <c r="E855" s="24" t="s">
        <v>3170</v>
      </c>
      <c r="F855" s="462"/>
      <c r="G855" s="464">
        <v>300000</v>
      </c>
      <c r="H855" s="157">
        <v>454819.9</v>
      </c>
      <c r="I855" s="1" t="s">
        <v>3173</v>
      </c>
      <c r="J855" s="1" t="s">
        <v>794</v>
      </c>
      <c r="P855" s="1"/>
      <c r="Q855" s="2" t="s">
        <v>4310</v>
      </c>
    </row>
    <row r="856" spans="1:17" s="186" customFormat="1" ht="27.75" customHeight="1">
      <c r="A856" s="199">
        <v>853</v>
      </c>
      <c r="B856" s="188"/>
      <c r="C856" s="188" t="s">
        <v>3171</v>
      </c>
      <c r="D856" s="200" t="s">
        <v>900</v>
      </c>
      <c r="E856" s="200" t="s">
        <v>3172</v>
      </c>
      <c r="F856" s="443">
        <v>392000</v>
      </c>
      <c r="G856" s="465"/>
      <c r="H856" s="213">
        <v>62819.9</v>
      </c>
      <c r="I856" s="185" t="s">
        <v>881</v>
      </c>
      <c r="J856" s="185" t="s">
        <v>3176</v>
      </c>
      <c r="K856" s="186" t="s">
        <v>3177</v>
      </c>
      <c r="M856" s="2" t="s">
        <v>3177</v>
      </c>
      <c r="N856" s="2" t="s">
        <v>3537</v>
      </c>
      <c r="P856" s="185" t="s">
        <v>3884</v>
      </c>
      <c r="Q856" t="s">
        <v>4266</v>
      </c>
    </row>
    <row r="857" spans="1:17" s="2" customFormat="1" ht="27.75" customHeight="1">
      <c r="A857" s="4">
        <v>854</v>
      </c>
      <c r="B857" s="201"/>
      <c r="C857" s="201" t="s">
        <v>3178</v>
      </c>
      <c r="D857" s="202" t="s">
        <v>900</v>
      </c>
      <c r="E857" s="202" t="s">
        <v>3179</v>
      </c>
      <c r="F857" s="466"/>
      <c r="G857" s="467">
        <v>273000</v>
      </c>
      <c r="H857" s="207">
        <v>335819.9</v>
      </c>
      <c r="I857" s="1" t="s">
        <v>875</v>
      </c>
      <c r="J857" s="1" t="s">
        <v>3184</v>
      </c>
      <c r="N857" s="2" t="s">
        <v>3523</v>
      </c>
      <c r="P857" s="1"/>
      <c r="Q857" t="s">
        <v>4266</v>
      </c>
    </row>
    <row r="858" spans="1:17" s="2" customFormat="1" ht="27.75" customHeight="1">
      <c r="A858" s="199">
        <v>855</v>
      </c>
      <c r="B858" s="201"/>
      <c r="C858" s="201" t="s">
        <v>3178</v>
      </c>
      <c r="D858" s="202" t="s">
        <v>900</v>
      </c>
      <c r="E858" s="202" t="s">
        <v>3180</v>
      </c>
      <c r="F858" s="466"/>
      <c r="G858" s="467">
        <v>260000</v>
      </c>
      <c r="H858" s="207">
        <v>595819.9</v>
      </c>
      <c r="I858" s="1" t="s">
        <v>3183</v>
      </c>
      <c r="J858" s="1" t="s">
        <v>895</v>
      </c>
      <c r="N858" s="2" t="s">
        <v>3523</v>
      </c>
      <c r="P858" s="1"/>
      <c r="Q858" t="s">
        <v>4266</v>
      </c>
    </row>
    <row r="859" spans="1:17" s="666" customFormat="1" ht="27.75" customHeight="1">
      <c r="A859" s="646">
        <v>856</v>
      </c>
      <c r="B859" s="677"/>
      <c r="C859" s="677" t="s">
        <v>3181</v>
      </c>
      <c r="D859" s="678" t="s">
        <v>900</v>
      </c>
      <c r="E859" s="678" t="s">
        <v>3182</v>
      </c>
      <c r="F859" s="679">
        <v>96000</v>
      </c>
      <c r="G859" s="680"/>
      <c r="H859" s="681">
        <v>499819.9</v>
      </c>
      <c r="I859" s="664" t="s">
        <v>714</v>
      </c>
      <c r="J859" s="664" t="s">
        <v>1031</v>
      </c>
      <c r="K859" s="666" t="s">
        <v>3177</v>
      </c>
      <c r="M859" s="612" t="s">
        <v>3177</v>
      </c>
      <c r="N859" s="612"/>
      <c r="O859" s="612" t="s">
        <v>4261</v>
      </c>
      <c r="P859" s="664"/>
      <c r="Q859" s="612" t="s">
        <v>1031</v>
      </c>
    </row>
    <row r="860" spans="1:17" s="2" customFormat="1" ht="27.75" customHeight="1">
      <c r="A860" s="199">
        <v>857</v>
      </c>
      <c r="B860" s="201"/>
      <c r="C860" s="201" t="s">
        <v>3185</v>
      </c>
      <c r="D860" s="202" t="s">
        <v>900</v>
      </c>
      <c r="E860" s="202" t="s">
        <v>3186</v>
      </c>
      <c r="F860" s="469">
        <v>29700</v>
      </c>
      <c r="G860" s="470"/>
      <c r="H860" s="254">
        <v>470119.9</v>
      </c>
      <c r="I860" s="1" t="s">
        <v>715</v>
      </c>
      <c r="J860" s="1" t="s">
        <v>603</v>
      </c>
      <c r="P860" s="1">
        <v>300</v>
      </c>
      <c r="Q860" s="2" t="s">
        <v>4285</v>
      </c>
    </row>
    <row r="861" spans="1:17" s="2" customFormat="1" ht="27.75" customHeight="1">
      <c r="A861" s="4">
        <v>858</v>
      </c>
      <c r="B861" s="201"/>
      <c r="C861" s="201" t="s">
        <v>3187</v>
      </c>
      <c r="D861" s="202" t="s">
        <v>900</v>
      </c>
      <c r="E861" s="202" t="s">
        <v>3188</v>
      </c>
      <c r="F861" s="469">
        <v>19800</v>
      </c>
      <c r="G861" s="470"/>
      <c r="H861" s="254">
        <v>450319.9</v>
      </c>
      <c r="I861" s="1" t="s">
        <v>744</v>
      </c>
      <c r="J861" s="1" t="s">
        <v>603</v>
      </c>
      <c r="P861" s="1"/>
      <c r="Q861" s="2" t="s">
        <v>4285</v>
      </c>
    </row>
    <row r="862" spans="1:17" ht="27.75" customHeight="1">
      <c r="A862" s="646">
        <v>859</v>
      </c>
      <c r="B862" s="635"/>
      <c r="C862" s="635" t="s">
        <v>3189</v>
      </c>
      <c r="D862" s="636" t="s">
        <v>900</v>
      </c>
      <c r="E862" s="636" t="s">
        <v>3190</v>
      </c>
      <c r="F862" s="647">
        <v>29700</v>
      </c>
      <c r="G862" s="641"/>
      <c r="H862" s="642">
        <v>420619.9</v>
      </c>
      <c r="I862" s="615" t="s">
        <v>3253</v>
      </c>
      <c r="J862" s="615" t="s">
        <v>603</v>
      </c>
      <c r="M862" s="612"/>
      <c r="P862" s="615">
        <v>300</v>
      </c>
      <c r="Q862" s="612" t="s">
        <v>4286</v>
      </c>
    </row>
    <row r="863" spans="1:17" s="186" customFormat="1" ht="27.75" customHeight="1">
      <c r="A863" s="199">
        <v>860</v>
      </c>
      <c r="B863" s="203"/>
      <c r="C863" s="203" t="s">
        <v>3191</v>
      </c>
      <c r="D863" s="204" t="s">
        <v>900</v>
      </c>
      <c r="E863" s="204" t="s">
        <v>3192</v>
      </c>
      <c r="F863" s="471">
        <v>29700</v>
      </c>
      <c r="G863" s="472"/>
      <c r="H863" s="255">
        <v>390919.9</v>
      </c>
      <c r="I863" s="185" t="s">
        <v>149</v>
      </c>
      <c r="J863" s="185" t="s">
        <v>603</v>
      </c>
      <c r="K863" s="186" t="s">
        <v>3177</v>
      </c>
      <c r="M863" s="2" t="s">
        <v>3177</v>
      </c>
      <c r="N863" s="2"/>
      <c r="P863" s="185">
        <v>300</v>
      </c>
      <c r="Q863" s="2" t="s">
        <v>4285</v>
      </c>
    </row>
    <row r="864" spans="1:17" s="2" customFormat="1" ht="27.75" customHeight="1">
      <c r="A864" s="4">
        <v>861</v>
      </c>
      <c r="B864" s="233"/>
      <c r="C864" s="229" t="s">
        <v>3193</v>
      </c>
      <c r="D864" s="234" t="s">
        <v>900</v>
      </c>
      <c r="E864" s="234" t="s">
        <v>3194</v>
      </c>
      <c r="F864" s="434">
        <v>230000</v>
      </c>
      <c r="G864" s="473"/>
      <c r="H864" s="235">
        <v>160919.9</v>
      </c>
      <c r="I864" s="1" t="s">
        <v>358</v>
      </c>
      <c r="J864" s="1" t="s">
        <v>3195</v>
      </c>
      <c r="K864" s="227" t="s">
        <v>1037</v>
      </c>
      <c r="L864" s="227"/>
      <c r="M864" s="2" t="s">
        <v>1037</v>
      </c>
      <c r="N864" s="2" t="s">
        <v>794</v>
      </c>
      <c r="P864" s="1"/>
      <c r="Q864" t="s">
        <v>4266</v>
      </c>
    </row>
    <row r="865" spans="1:17" s="2" customFormat="1" ht="27.75" customHeight="1">
      <c r="A865" s="4">
        <v>862</v>
      </c>
      <c r="B865" s="201"/>
      <c r="C865" s="201" t="s">
        <v>3196</v>
      </c>
      <c r="D865" s="202" t="s">
        <v>900</v>
      </c>
      <c r="E865" s="202" t="s">
        <v>3197</v>
      </c>
      <c r="F865" s="466"/>
      <c r="G865" s="467">
        <v>430000</v>
      </c>
      <c r="H865" s="207">
        <v>590919.9</v>
      </c>
      <c r="I865" s="3" t="s">
        <v>3200</v>
      </c>
      <c r="J865" s="277" t="s">
        <v>3201</v>
      </c>
      <c r="K865" s="205"/>
      <c r="L865" s="205"/>
      <c r="M865" s="205"/>
      <c r="N865" s="2" t="s">
        <v>3523</v>
      </c>
      <c r="P865" s="1"/>
      <c r="Q865" t="s">
        <v>4266</v>
      </c>
    </row>
    <row r="866" spans="1:17" s="186" customFormat="1" ht="27.75" customHeight="1">
      <c r="A866" s="199">
        <v>863</v>
      </c>
      <c r="B866" s="203"/>
      <c r="C866" s="203" t="s">
        <v>3198</v>
      </c>
      <c r="D866" s="204" t="s">
        <v>900</v>
      </c>
      <c r="E866" s="204" t="s">
        <v>3199</v>
      </c>
      <c r="F866" s="474"/>
      <c r="G866" s="468">
        <v>5000</v>
      </c>
      <c r="H866" s="208">
        <v>595919.9</v>
      </c>
      <c r="I866" s="184"/>
      <c r="J866" s="278" t="s">
        <v>3202</v>
      </c>
      <c r="K866" s="206"/>
      <c r="L866" s="206"/>
      <c r="M866" s="205"/>
      <c r="N866" s="205"/>
      <c r="P866" s="185"/>
      <c r="Q866" t="s">
        <v>4266</v>
      </c>
    </row>
    <row r="867" spans="1:17" s="2" customFormat="1" ht="27.75" customHeight="1">
      <c r="A867" s="4">
        <v>864</v>
      </c>
      <c r="B867" s="209"/>
      <c r="C867" s="209" t="s">
        <v>3203</v>
      </c>
      <c r="D867" s="210" t="s">
        <v>900</v>
      </c>
      <c r="E867" s="210" t="s">
        <v>3204</v>
      </c>
      <c r="F867" s="475"/>
      <c r="G867" s="476">
        <v>583000</v>
      </c>
      <c r="H867" s="256">
        <v>1178919.8999999999</v>
      </c>
      <c r="I867" s="1" t="s">
        <v>3207</v>
      </c>
      <c r="J867" s="1" t="s">
        <v>3208</v>
      </c>
      <c r="N867" s="2" t="s">
        <v>3523</v>
      </c>
      <c r="P867" s="1"/>
      <c r="Q867" t="s">
        <v>4266</v>
      </c>
    </row>
    <row r="868" spans="1:17" s="186" customFormat="1" ht="27.75" customHeight="1">
      <c r="A868" s="199">
        <v>865</v>
      </c>
      <c r="B868" s="211"/>
      <c r="C868" s="211" t="s">
        <v>3205</v>
      </c>
      <c r="D868" s="212" t="s">
        <v>900</v>
      </c>
      <c r="E868" s="212" t="s">
        <v>3206</v>
      </c>
      <c r="F868" s="477"/>
      <c r="G868" s="478">
        <v>1</v>
      </c>
      <c r="H868" s="257">
        <v>1178920.8999999999</v>
      </c>
      <c r="I868" s="185" t="s">
        <v>3209</v>
      </c>
      <c r="J868" s="185" t="s">
        <v>3210</v>
      </c>
      <c r="M868" s="2"/>
      <c r="N868" s="2"/>
      <c r="P868" s="185"/>
      <c r="Q868" s="2" t="s">
        <v>4311</v>
      </c>
    </row>
    <row r="869" spans="1:17" s="2" customFormat="1" ht="27.75" customHeight="1">
      <c r="A869" s="4">
        <v>866</v>
      </c>
      <c r="B869" s="201"/>
      <c r="C869" s="201" t="s">
        <v>3211</v>
      </c>
      <c r="D869" s="202" t="s">
        <v>900</v>
      </c>
      <c r="E869" s="202" t="s">
        <v>3212</v>
      </c>
      <c r="F869" s="469">
        <v>500000</v>
      </c>
      <c r="G869" s="470"/>
      <c r="H869" s="254">
        <v>678920.9</v>
      </c>
      <c r="I869" s="1" t="s">
        <v>352</v>
      </c>
      <c r="J869" s="1" t="s">
        <v>1345</v>
      </c>
      <c r="P869" s="1"/>
      <c r="Q869" t="s">
        <v>1345</v>
      </c>
    </row>
    <row r="870" spans="1:17" s="2" customFormat="1" ht="27.75" customHeight="1">
      <c r="A870" s="199">
        <v>867</v>
      </c>
      <c r="B870" s="201"/>
      <c r="C870" s="201" t="s">
        <v>3213</v>
      </c>
      <c r="D870" s="202" t="s">
        <v>900</v>
      </c>
      <c r="E870" s="202" t="s">
        <v>3214</v>
      </c>
      <c r="F870" s="469">
        <v>290000</v>
      </c>
      <c r="G870" s="470"/>
      <c r="H870" s="254">
        <v>388920.9</v>
      </c>
      <c r="I870" s="279" t="s">
        <v>52</v>
      </c>
      <c r="J870" s="274" t="s">
        <v>3217</v>
      </c>
      <c r="N870" s="2" t="s">
        <v>3565</v>
      </c>
      <c r="P870" s="1"/>
      <c r="Q870" t="s">
        <v>4266</v>
      </c>
    </row>
    <row r="871" spans="1:17" s="186" customFormat="1" ht="27.75" customHeight="1">
      <c r="A871" s="199">
        <v>868</v>
      </c>
      <c r="B871" s="203"/>
      <c r="C871" s="203" t="s">
        <v>3215</v>
      </c>
      <c r="D871" s="204" t="s">
        <v>900</v>
      </c>
      <c r="E871" s="204" t="s">
        <v>3216</v>
      </c>
      <c r="F871" s="471">
        <v>10000</v>
      </c>
      <c r="G871" s="472"/>
      <c r="H871" s="255">
        <v>378920.9</v>
      </c>
      <c r="I871" s="280" t="s">
        <v>52</v>
      </c>
      <c r="J871" s="281" t="s">
        <v>3218</v>
      </c>
      <c r="M871" s="2"/>
      <c r="N871" s="2" t="s">
        <v>3566</v>
      </c>
      <c r="P871" s="185"/>
      <c r="Q871" t="s">
        <v>4266</v>
      </c>
    </row>
    <row r="872" spans="1:17" s="2" customFormat="1" ht="27.75" customHeight="1">
      <c r="A872" s="199">
        <v>869</v>
      </c>
      <c r="B872" s="209"/>
      <c r="C872" s="209" t="s">
        <v>3219</v>
      </c>
      <c r="D872" s="210" t="s">
        <v>900</v>
      </c>
      <c r="E872" s="210" t="s">
        <v>3220</v>
      </c>
      <c r="F872" s="475"/>
      <c r="G872" s="476">
        <v>560000</v>
      </c>
      <c r="H872" s="256">
        <v>938920.9</v>
      </c>
      <c r="I872" s="282" t="s">
        <v>3221</v>
      </c>
      <c r="J872" s="282" t="s">
        <v>3222</v>
      </c>
      <c r="N872" s="2" t="s">
        <v>3523</v>
      </c>
      <c r="P872" s="1"/>
      <c r="Q872" t="s">
        <v>4266</v>
      </c>
    </row>
    <row r="873" spans="1:17" s="2" customFormat="1" ht="27.75" customHeight="1">
      <c r="A873" s="4">
        <v>870</v>
      </c>
      <c r="B873" s="201"/>
      <c r="C873" s="201" t="s">
        <v>3223</v>
      </c>
      <c r="D873" s="202" t="s">
        <v>900</v>
      </c>
      <c r="E873" s="202" t="s">
        <v>3224</v>
      </c>
      <c r="F873" s="467">
        <v>10000</v>
      </c>
      <c r="G873" s="473"/>
      <c r="H873" s="207">
        <v>928920.9</v>
      </c>
      <c r="I873" s="282" t="s">
        <v>744</v>
      </c>
      <c r="J873" s="282" t="s">
        <v>1034</v>
      </c>
      <c r="P873" s="1"/>
      <c r="Q873" s="2" t="s">
        <v>4285</v>
      </c>
    </row>
    <row r="874" spans="1:17" s="186" customFormat="1" ht="27.75" customHeight="1">
      <c r="A874" s="199">
        <v>871</v>
      </c>
      <c r="B874" s="203"/>
      <c r="C874" s="203" t="s">
        <v>3225</v>
      </c>
      <c r="D874" s="204" t="s">
        <v>900</v>
      </c>
      <c r="E874" s="204" t="s">
        <v>3226</v>
      </c>
      <c r="F874" s="468">
        <v>29700</v>
      </c>
      <c r="G874" s="479"/>
      <c r="H874" s="208">
        <v>899220.9</v>
      </c>
      <c r="I874" s="283" t="s">
        <v>606</v>
      </c>
      <c r="J874" s="283" t="s">
        <v>1034</v>
      </c>
      <c r="M874" s="2"/>
      <c r="N874" s="2"/>
      <c r="P874" s="185"/>
      <c r="Q874" s="2" t="s">
        <v>4285</v>
      </c>
    </row>
    <row r="875" spans="1:17" s="2" customFormat="1" ht="27.75" customHeight="1">
      <c r="A875" s="4">
        <v>872</v>
      </c>
      <c r="B875" s="201"/>
      <c r="C875" s="201" t="s">
        <v>3227</v>
      </c>
      <c r="D875" s="202" t="s">
        <v>900</v>
      </c>
      <c r="E875" s="202" t="s">
        <v>3228</v>
      </c>
      <c r="F875" s="466"/>
      <c r="G875" s="467">
        <v>1300000</v>
      </c>
      <c r="H875" s="207">
        <v>2199220.9</v>
      </c>
      <c r="I875" s="1" t="s">
        <v>870</v>
      </c>
      <c r="J875" s="1" t="s">
        <v>822</v>
      </c>
      <c r="P875" s="1"/>
      <c r="Q875" s="2" t="s">
        <v>4307</v>
      </c>
    </row>
    <row r="876" spans="1:17" s="2" customFormat="1" ht="27.75" customHeight="1">
      <c r="A876" s="199">
        <v>873</v>
      </c>
      <c r="B876" s="201"/>
      <c r="C876" s="201" t="s">
        <v>3229</v>
      </c>
      <c r="D876" s="202" t="s">
        <v>900</v>
      </c>
      <c r="E876" s="202" t="s">
        <v>3230</v>
      </c>
      <c r="F876" s="467">
        <v>1000000</v>
      </c>
      <c r="G876" s="473"/>
      <c r="H876" s="207">
        <v>1199220.8999999999</v>
      </c>
      <c r="I876" s="1" t="s">
        <v>352</v>
      </c>
      <c r="J876" s="1" t="s">
        <v>1345</v>
      </c>
      <c r="P876" s="1"/>
      <c r="Q876" t="s">
        <v>1345</v>
      </c>
    </row>
    <row r="877" spans="1:17" s="2" customFormat="1" ht="27.75" customHeight="1">
      <c r="A877" s="4">
        <v>874</v>
      </c>
      <c r="B877" s="201"/>
      <c r="C877" s="201" t="s">
        <v>3231</v>
      </c>
      <c r="D877" s="202" t="s">
        <v>900</v>
      </c>
      <c r="E877" s="202" t="s">
        <v>3232</v>
      </c>
      <c r="F877" s="467">
        <v>1000000</v>
      </c>
      <c r="G877" s="480"/>
      <c r="H877" s="207">
        <v>199220.9</v>
      </c>
      <c r="I877" s="1" t="s">
        <v>352</v>
      </c>
      <c r="J877" s="1" t="s">
        <v>1345</v>
      </c>
      <c r="P877" s="1"/>
      <c r="Q877" t="s">
        <v>1345</v>
      </c>
    </row>
    <row r="878" spans="1:17" s="186" customFormat="1" ht="27.75" customHeight="1">
      <c r="A878" s="199">
        <v>875</v>
      </c>
      <c r="B878" s="203"/>
      <c r="C878" s="203" t="s">
        <v>3233</v>
      </c>
      <c r="D878" s="204" t="s">
        <v>900</v>
      </c>
      <c r="E878" s="204" t="s">
        <v>3234</v>
      </c>
      <c r="F878" s="474"/>
      <c r="G878" s="468">
        <v>130000</v>
      </c>
      <c r="H878" s="208">
        <v>329220.90000000002</v>
      </c>
      <c r="I878" s="185" t="s">
        <v>3235</v>
      </c>
      <c r="J878" s="185" t="s">
        <v>3236</v>
      </c>
      <c r="M878" s="2"/>
      <c r="N878" s="2" t="s">
        <v>3523</v>
      </c>
      <c r="P878" s="185"/>
      <c r="Q878" t="s">
        <v>4266</v>
      </c>
    </row>
    <row r="879" spans="1:17" s="2" customFormat="1" ht="27.75" customHeight="1">
      <c r="A879" s="4">
        <v>876</v>
      </c>
      <c r="B879" s="337">
        <v>44868</v>
      </c>
      <c r="C879" s="23" t="s">
        <v>3237</v>
      </c>
      <c r="D879" s="24" t="s">
        <v>900</v>
      </c>
      <c r="E879" s="24" t="s">
        <v>3238</v>
      </c>
      <c r="F879" s="462"/>
      <c r="G879" s="481">
        <v>1055000</v>
      </c>
      <c r="H879" s="157">
        <v>1384220.9</v>
      </c>
      <c r="I879" s="1" t="s">
        <v>899</v>
      </c>
      <c r="J879" s="1" t="s">
        <v>3254</v>
      </c>
      <c r="N879" s="2" t="s">
        <v>830</v>
      </c>
      <c r="P879" s="1" t="s">
        <v>3252</v>
      </c>
      <c r="Q879" t="s">
        <v>4266</v>
      </c>
    </row>
    <row r="880" spans="1:17" s="2" customFormat="1" ht="27.75" customHeight="1">
      <c r="A880" s="199">
        <v>877</v>
      </c>
      <c r="B880" s="23"/>
      <c r="C880" s="23" t="s">
        <v>3239</v>
      </c>
      <c r="D880" s="24" t="s">
        <v>900</v>
      </c>
      <c r="E880" s="24" t="s">
        <v>3240</v>
      </c>
      <c r="F880" s="462"/>
      <c r="G880" s="482">
        <v>700000</v>
      </c>
      <c r="H880" s="157">
        <v>2084220.9</v>
      </c>
      <c r="I880" s="1" t="s">
        <v>3251</v>
      </c>
      <c r="J880" s="1" t="s">
        <v>3255</v>
      </c>
      <c r="N880" s="2" t="s">
        <v>3523</v>
      </c>
      <c r="P880" s="1"/>
      <c r="Q880" t="s">
        <v>4266</v>
      </c>
    </row>
    <row r="881" spans="1:17" s="2" customFormat="1" ht="27.75" customHeight="1">
      <c r="A881" s="4">
        <v>878</v>
      </c>
      <c r="B881" s="337">
        <v>44868</v>
      </c>
      <c r="C881" s="23" t="s">
        <v>3241</v>
      </c>
      <c r="D881" s="24" t="s">
        <v>900</v>
      </c>
      <c r="E881" s="24" t="s">
        <v>3242</v>
      </c>
      <c r="F881" s="461">
        <v>1055000</v>
      </c>
      <c r="G881" s="445"/>
      <c r="H881" s="249">
        <v>1029220.9</v>
      </c>
      <c r="I881" s="1" t="s">
        <v>899</v>
      </c>
      <c r="J881" s="1" t="s">
        <v>3252</v>
      </c>
      <c r="N881" s="2" t="s">
        <v>830</v>
      </c>
      <c r="P881" s="1" t="s">
        <v>3252</v>
      </c>
      <c r="Q881" s="2" t="s">
        <v>4266</v>
      </c>
    </row>
    <row r="882" spans="1:17" s="2" customFormat="1" ht="27.75" customHeight="1">
      <c r="A882" s="199">
        <v>879</v>
      </c>
      <c r="B882" s="23"/>
      <c r="C882" s="23" t="s">
        <v>3243</v>
      </c>
      <c r="D882" s="24" t="s">
        <v>900</v>
      </c>
      <c r="E882" s="24" t="s">
        <v>3244</v>
      </c>
      <c r="F882" s="461">
        <v>29700</v>
      </c>
      <c r="G882" s="445"/>
      <c r="H882" s="249">
        <v>999520.9</v>
      </c>
      <c r="I882" s="1" t="s">
        <v>715</v>
      </c>
      <c r="J882" s="1" t="s">
        <v>603</v>
      </c>
      <c r="P882" s="1">
        <v>300</v>
      </c>
      <c r="Q882" s="2" t="s">
        <v>4285</v>
      </c>
    </row>
    <row r="883" spans="1:17" s="2" customFormat="1" ht="27.75" customHeight="1">
      <c r="A883" s="4">
        <v>880</v>
      </c>
      <c r="B883" s="23"/>
      <c r="C883" s="23" t="s">
        <v>3245</v>
      </c>
      <c r="D883" s="24" t="s">
        <v>900</v>
      </c>
      <c r="E883" s="24" t="s">
        <v>3246</v>
      </c>
      <c r="F883" s="461">
        <v>10000</v>
      </c>
      <c r="G883" s="445"/>
      <c r="H883" s="249">
        <v>989520.9</v>
      </c>
      <c r="I883" s="1" t="s">
        <v>744</v>
      </c>
      <c r="J883" s="1" t="s">
        <v>603</v>
      </c>
      <c r="P883" s="1"/>
      <c r="Q883" s="2" t="s">
        <v>4285</v>
      </c>
    </row>
    <row r="884" spans="1:17" ht="27.75" customHeight="1">
      <c r="A884" s="646">
        <v>881</v>
      </c>
      <c r="B884" s="635"/>
      <c r="C884" s="635" t="s">
        <v>3247</v>
      </c>
      <c r="D884" s="636" t="s">
        <v>900</v>
      </c>
      <c r="E884" s="636" t="s">
        <v>3248</v>
      </c>
      <c r="F884" s="647">
        <v>29700</v>
      </c>
      <c r="G884" s="641"/>
      <c r="H884" s="642">
        <v>959820.9</v>
      </c>
      <c r="I884" s="615" t="s">
        <v>3253</v>
      </c>
      <c r="J884" s="615" t="s">
        <v>603</v>
      </c>
      <c r="M884" s="612"/>
      <c r="P884" s="615">
        <v>300</v>
      </c>
      <c r="Q884" s="612" t="s">
        <v>4286</v>
      </c>
    </row>
    <row r="885" spans="1:17" s="186" customFormat="1" ht="27.75" customHeight="1">
      <c r="A885" s="199">
        <v>882</v>
      </c>
      <c r="B885" s="188"/>
      <c r="C885" s="188" t="s">
        <v>3249</v>
      </c>
      <c r="D885" s="200" t="s">
        <v>900</v>
      </c>
      <c r="E885" s="200" t="s">
        <v>3250</v>
      </c>
      <c r="F885" s="483">
        <v>29700</v>
      </c>
      <c r="G885" s="484"/>
      <c r="H885" s="258">
        <v>930120.9</v>
      </c>
      <c r="I885" s="185" t="s">
        <v>149</v>
      </c>
      <c r="J885" s="185" t="s">
        <v>603</v>
      </c>
      <c r="M885" s="2"/>
      <c r="N885" s="2"/>
      <c r="P885" s="185">
        <v>300</v>
      </c>
      <c r="Q885" s="2" t="s">
        <v>4285</v>
      </c>
    </row>
    <row r="886" spans="1:17" s="2" customFormat="1" ht="27.75" customHeight="1">
      <c r="A886" s="4">
        <v>883</v>
      </c>
      <c r="B886" s="233"/>
      <c r="C886" s="229" t="s">
        <v>3256</v>
      </c>
      <c r="D886" s="234" t="s">
        <v>900</v>
      </c>
      <c r="E886" s="234" t="s">
        <v>3257</v>
      </c>
      <c r="F886" s="485"/>
      <c r="G886" s="486">
        <v>600000</v>
      </c>
      <c r="H886" s="235">
        <v>1530120.9</v>
      </c>
      <c r="I886" s="1" t="s">
        <v>3260</v>
      </c>
      <c r="J886" s="1" t="s">
        <v>3374</v>
      </c>
      <c r="K886" s="227"/>
      <c r="L886" s="227"/>
      <c r="N886" s="2" t="s">
        <v>3523</v>
      </c>
      <c r="P886" s="1"/>
      <c r="Q886" t="s">
        <v>4274</v>
      </c>
    </row>
    <row r="887" spans="1:17" s="2" customFormat="1" ht="27.75" customHeight="1">
      <c r="A887" s="199">
        <v>884</v>
      </c>
      <c r="B887" s="201"/>
      <c r="C887" s="201" t="s">
        <v>3258</v>
      </c>
      <c r="D887" s="202" t="s">
        <v>900</v>
      </c>
      <c r="E887" s="202" t="s">
        <v>3259</v>
      </c>
      <c r="F887" s="469">
        <v>666000</v>
      </c>
      <c r="G887" s="470"/>
      <c r="H887" s="254">
        <v>864120.9</v>
      </c>
      <c r="I887" s="1" t="s">
        <v>887</v>
      </c>
      <c r="J887" s="1" t="s">
        <v>794</v>
      </c>
      <c r="P887" s="1"/>
      <c r="Q887" s="2" t="s">
        <v>887</v>
      </c>
    </row>
    <row r="888" spans="1:17" s="2" customFormat="1" ht="27.75" customHeight="1">
      <c r="A888" s="199">
        <v>885</v>
      </c>
      <c r="B888" s="214"/>
      <c r="C888" s="214" t="s">
        <v>3261</v>
      </c>
      <c r="D888" s="215" t="s">
        <v>900</v>
      </c>
      <c r="E888" s="215" t="s">
        <v>3262</v>
      </c>
      <c r="F888" s="487">
        <v>200000</v>
      </c>
      <c r="G888" s="488"/>
      <c r="H888" s="259">
        <v>664120.9</v>
      </c>
      <c r="I888" s="1" t="s">
        <v>870</v>
      </c>
      <c r="J888" s="1" t="s">
        <v>794</v>
      </c>
      <c r="P888" s="1"/>
      <c r="Q888" s="2" t="s">
        <v>4307</v>
      </c>
    </row>
    <row r="889" spans="1:17" s="2" customFormat="1" ht="27.75" customHeight="1">
      <c r="A889" s="199">
        <v>886</v>
      </c>
      <c r="B889" s="214"/>
      <c r="C889" s="214" t="s">
        <v>3263</v>
      </c>
      <c r="D889" s="215" t="s">
        <v>900</v>
      </c>
      <c r="E889" s="215" t="s">
        <v>3264</v>
      </c>
      <c r="F889" s="489"/>
      <c r="G889" s="487">
        <v>16320</v>
      </c>
      <c r="H889" s="259">
        <v>680440.9</v>
      </c>
      <c r="I889" s="1" t="s">
        <v>3210</v>
      </c>
      <c r="J889" s="1"/>
      <c r="P889" s="1"/>
      <c r="Q889" s="2" t="s">
        <v>4266</v>
      </c>
    </row>
    <row r="890" spans="1:17" s="186" customFormat="1" ht="27.75" customHeight="1">
      <c r="A890" s="199">
        <v>887</v>
      </c>
      <c r="B890" s="216"/>
      <c r="C890" s="216" t="s">
        <v>3265</v>
      </c>
      <c r="D890" s="217" t="s">
        <v>900</v>
      </c>
      <c r="E890" s="217" t="s">
        <v>3266</v>
      </c>
      <c r="F890" s="490">
        <v>200000</v>
      </c>
      <c r="G890" s="465"/>
      <c r="H890" s="260">
        <v>480440.9</v>
      </c>
      <c r="I890" s="185" t="s">
        <v>3267</v>
      </c>
      <c r="J890" s="185" t="s">
        <v>794</v>
      </c>
      <c r="M890" s="2"/>
      <c r="N890" s="2"/>
      <c r="P890" s="185"/>
      <c r="Q890" s="2" t="s">
        <v>4312</v>
      </c>
    </row>
    <row r="891" spans="1:17" s="2" customFormat="1" ht="27.75" customHeight="1">
      <c r="A891" s="199">
        <v>888</v>
      </c>
      <c r="B891" s="23"/>
      <c r="C891" s="23" t="s">
        <v>3268</v>
      </c>
      <c r="D891" s="24" t="s">
        <v>900</v>
      </c>
      <c r="E891" s="24" t="s">
        <v>3269</v>
      </c>
      <c r="F891" s="462"/>
      <c r="G891" s="481">
        <v>250000</v>
      </c>
      <c r="H891" s="157">
        <v>730440.9</v>
      </c>
      <c r="I891" s="1" t="s">
        <v>3270</v>
      </c>
      <c r="J891" s="1" t="s">
        <v>3271</v>
      </c>
      <c r="N891" s="2" t="s">
        <v>3523</v>
      </c>
      <c r="P891" s="1"/>
      <c r="Q891" t="s">
        <v>4266</v>
      </c>
    </row>
    <row r="892" spans="1:17" s="2" customFormat="1" ht="27.75" customHeight="1">
      <c r="A892" s="199">
        <v>889</v>
      </c>
      <c r="B892" s="23"/>
      <c r="C892" s="23" t="s">
        <v>3272</v>
      </c>
      <c r="D892" s="24" t="s">
        <v>900</v>
      </c>
      <c r="E892" s="24" t="s">
        <v>3273</v>
      </c>
      <c r="F892" s="462"/>
      <c r="G892" s="481">
        <v>250000</v>
      </c>
      <c r="H892" s="157">
        <v>980440.9</v>
      </c>
      <c r="I892" s="1" t="s">
        <v>881</v>
      </c>
      <c r="J892" s="1" t="s">
        <v>3292</v>
      </c>
      <c r="N892" s="2" t="s">
        <v>3523</v>
      </c>
      <c r="P892" s="1" t="s">
        <v>3867</v>
      </c>
      <c r="Q892" t="s">
        <v>4266</v>
      </c>
    </row>
    <row r="893" spans="1:17" s="186" customFormat="1" ht="27.75" customHeight="1">
      <c r="A893" s="199">
        <v>890</v>
      </c>
      <c r="B893" s="188"/>
      <c r="C893" s="188" t="s">
        <v>3274</v>
      </c>
      <c r="D893" s="200" t="s">
        <v>900</v>
      </c>
      <c r="E893" s="200" t="s">
        <v>3275</v>
      </c>
      <c r="F893" s="443">
        <v>90000</v>
      </c>
      <c r="G893" s="465"/>
      <c r="H893" s="213">
        <v>890440.9</v>
      </c>
      <c r="I893" s="1" t="s">
        <v>715</v>
      </c>
      <c r="J893" s="185" t="s">
        <v>62</v>
      </c>
      <c r="M893" s="2"/>
      <c r="N893" s="2" t="s">
        <v>794</v>
      </c>
      <c r="P893" s="185" t="s">
        <v>3861</v>
      </c>
      <c r="Q893" t="s">
        <v>4313</v>
      </c>
    </row>
    <row r="894" spans="1:17" s="2" customFormat="1" ht="27.75" customHeight="1">
      <c r="A894" s="199">
        <v>891</v>
      </c>
      <c r="B894" s="201"/>
      <c r="C894" s="201" t="s">
        <v>3276</v>
      </c>
      <c r="D894" s="202" t="s">
        <v>900</v>
      </c>
      <c r="E894" s="202" t="s">
        <v>3277</v>
      </c>
      <c r="F894" s="469">
        <v>280000</v>
      </c>
      <c r="G894" s="470"/>
      <c r="H894" s="254">
        <v>610440.9</v>
      </c>
      <c r="I894" s="1" t="s">
        <v>1036</v>
      </c>
      <c r="J894" s="1" t="s">
        <v>1345</v>
      </c>
      <c r="P894" s="1"/>
      <c r="Q894" s="2" t="s">
        <v>1345</v>
      </c>
    </row>
    <row r="895" spans="1:17" s="2" customFormat="1" ht="27.75" customHeight="1">
      <c r="A895" s="199">
        <v>892</v>
      </c>
      <c r="B895" s="201"/>
      <c r="C895" s="201" t="s">
        <v>3278</v>
      </c>
      <c r="D895" s="202" t="s">
        <v>900</v>
      </c>
      <c r="E895" s="202" t="s">
        <v>3279</v>
      </c>
      <c r="F895" s="469">
        <v>50000</v>
      </c>
      <c r="G895" s="470"/>
      <c r="H895" s="254">
        <v>560440.9</v>
      </c>
      <c r="I895" s="1" t="s">
        <v>52</v>
      </c>
      <c r="J895" s="1" t="s">
        <v>3284</v>
      </c>
      <c r="P895" s="1"/>
      <c r="Q895" t="s">
        <v>4266</v>
      </c>
    </row>
    <row r="896" spans="1:17" s="2" customFormat="1" ht="27.75" customHeight="1">
      <c r="A896" s="4">
        <v>893</v>
      </c>
      <c r="B896" s="233"/>
      <c r="C896" s="229" t="s">
        <v>3280</v>
      </c>
      <c r="D896" s="234" t="s">
        <v>900</v>
      </c>
      <c r="E896" s="234" t="s">
        <v>3281</v>
      </c>
      <c r="F896" s="491">
        <v>300000</v>
      </c>
      <c r="G896" s="470"/>
      <c r="H896" s="261">
        <v>260440.9</v>
      </c>
      <c r="I896" s="1" t="s">
        <v>332</v>
      </c>
      <c r="J896" s="1" t="s">
        <v>3287</v>
      </c>
      <c r="K896" s="227"/>
      <c r="L896" s="227"/>
      <c r="N896" s="2" t="s">
        <v>3515</v>
      </c>
      <c r="P896" s="1"/>
      <c r="Q896" t="s">
        <v>4266</v>
      </c>
    </row>
    <row r="897" spans="1:17" s="186" customFormat="1" ht="27.75" customHeight="1">
      <c r="A897" s="199">
        <v>894</v>
      </c>
      <c r="B897" s="203"/>
      <c r="C897" s="203" t="s">
        <v>3282</v>
      </c>
      <c r="D897" s="204" t="s">
        <v>900</v>
      </c>
      <c r="E897" s="204" t="s">
        <v>3283</v>
      </c>
      <c r="F897" s="471">
        <v>10000</v>
      </c>
      <c r="G897" s="472"/>
      <c r="H897" s="255">
        <v>250440.9</v>
      </c>
      <c r="I897" s="185" t="s">
        <v>744</v>
      </c>
      <c r="J897" s="185" t="s">
        <v>603</v>
      </c>
      <c r="M897" s="2"/>
      <c r="N897" s="2"/>
      <c r="P897" s="185"/>
      <c r="Q897" s="2" t="s">
        <v>4285</v>
      </c>
    </row>
    <row r="898" spans="1:17" s="2" customFormat="1" ht="27.75" customHeight="1">
      <c r="A898" s="199">
        <v>895</v>
      </c>
      <c r="B898" s="209"/>
      <c r="C898" s="209" t="s">
        <v>3285</v>
      </c>
      <c r="D898" s="210" t="s">
        <v>900</v>
      </c>
      <c r="E898" s="210" t="s">
        <v>3286</v>
      </c>
      <c r="F898" s="475"/>
      <c r="G898" s="476">
        <v>99999</v>
      </c>
      <c r="H898" s="256">
        <v>350439.9</v>
      </c>
      <c r="I898" s="1" t="s">
        <v>358</v>
      </c>
      <c r="J898" s="1" t="s">
        <v>3293</v>
      </c>
      <c r="N898" s="2" t="s">
        <v>794</v>
      </c>
      <c r="P898" s="1"/>
      <c r="Q898" t="s">
        <v>4266</v>
      </c>
    </row>
    <row r="899" spans="1:17" s="2" customFormat="1" ht="27.75" customHeight="1">
      <c r="A899" s="199">
        <v>896</v>
      </c>
      <c r="B899" s="23"/>
      <c r="C899" s="23" t="s">
        <v>3288</v>
      </c>
      <c r="D899" s="24" t="s">
        <v>900</v>
      </c>
      <c r="E899" s="24" t="s">
        <v>3289</v>
      </c>
      <c r="F899" s="462"/>
      <c r="G899" s="481">
        <v>426000</v>
      </c>
      <c r="H899" s="157">
        <v>776439.9</v>
      </c>
      <c r="I899" s="1" t="s">
        <v>881</v>
      </c>
      <c r="J899" s="1" t="s">
        <v>3292</v>
      </c>
      <c r="N899" s="2" t="s">
        <v>3523</v>
      </c>
      <c r="P899" s="1" t="s">
        <v>3867</v>
      </c>
      <c r="Q899" t="s">
        <v>4266</v>
      </c>
    </row>
    <row r="900" spans="1:17" s="666" customFormat="1" ht="27.75" customHeight="1">
      <c r="A900" s="646">
        <v>897</v>
      </c>
      <c r="B900" s="677"/>
      <c r="C900" s="677" t="s">
        <v>3290</v>
      </c>
      <c r="D900" s="678" t="s">
        <v>900</v>
      </c>
      <c r="E900" s="678" t="s">
        <v>3291</v>
      </c>
      <c r="F900" s="679">
        <v>40127</v>
      </c>
      <c r="G900" s="680"/>
      <c r="H900" s="681">
        <v>736312.9</v>
      </c>
      <c r="I900" s="664" t="s">
        <v>803</v>
      </c>
      <c r="J900" s="664" t="s">
        <v>803</v>
      </c>
      <c r="M900" s="612"/>
      <c r="N900" s="612"/>
      <c r="O900" s="612" t="s">
        <v>4261</v>
      </c>
      <c r="P900" s="664"/>
      <c r="Q900" s="612" t="s">
        <v>803</v>
      </c>
    </row>
    <row r="901" spans="1:17" s="2" customFormat="1" ht="27.75" customHeight="1">
      <c r="A901" s="199">
        <v>898</v>
      </c>
      <c r="B901" s="218"/>
      <c r="C901" s="218" t="s">
        <v>3294</v>
      </c>
      <c r="D901" s="219" t="s">
        <v>900</v>
      </c>
      <c r="E901" s="219" t="s">
        <v>3295</v>
      </c>
      <c r="F901" s="492"/>
      <c r="G901" s="493">
        <v>1.8</v>
      </c>
      <c r="H901" s="262">
        <v>736314.7</v>
      </c>
      <c r="I901" s="1" t="s">
        <v>3306</v>
      </c>
      <c r="J901" s="1" t="s">
        <v>3309</v>
      </c>
      <c r="N901" s="2" t="s">
        <v>794</v>
      </c>
      <c r="P901" s="1"/>
      <c r="Q901" t="s">
        <v>4266</v>
      </c>
    </row>
    <row r="902" spans="1:17" s="2" customFormat="1" ht="27.75" customHeight="1">
      <c r="A902" s="199">
        <v>899</v>
      </c>
      <c r="B902" s="218"/>
      <c r="C902" s="218" t="s">
        <v>3296</v>
      </c>
      <c r="D902" s="219" t="s">
        <v>900</v>
      </c>
      <c r="E902" s="219" t="s">
        <v>3297</v>
      </c>
      <c r="F902" s="492"/>
      <c r="G902" s="493">
        <v>1.8</v>
      </c>
      <c r="H902" s="262">
        <v>736316.5</v>
      </c>
      <c r="I902" s="1" t="s">
        <v>3306</v>
      </c>
      <c r="J902" s="1" t="s">
        <v>3309</v>
      </c>
      <c r="N902" s="2" t="s">
        <v>794</v>
      </c>
      <c r="P902" s="1"/>
      <c r="Q902" t="s">
        <v>4266</v>
      </c>
    </row>
    <row r="903" spans="1:17" s="2" customFormat="1" ht="27.75" customHeight="1">
      <c r="A903" s="199">
        <v>900</v>
      </c>
      <c r="B903" s="218"/>
      <c r="C903" s="218" t="s">
        <v>3298</v>
      </c>
      <c r="D903" s="219" t="s">
        <v>900</v>
      </c>
      <c r="E903" s="219" t="s">
        <v>3299</v>
      </c>
      <c r="F903" s="492"/>
      <c r="G903" s="493">
        <v>674000</v>
      </c>
      <c r="H903" s="262">
        <v>1410316.5</v>
      </c>
      <c r="I903" s="1" t="s">
        <v>362</v>
      </c>
      <c r="J903" s="1" t="s">
        <v>3307</v>
      </c>
      <c r="N903" s="2" t="s">
        <v>3523</v>
      </c>
      <c r="P903" s="1"/>
      <c r="Q903" t="s">
        <v>4266</v>
      </c>
    </row>
    <row r="904" spans="1:17" ht="27.75" customHeight="1">
      <c r="A904" s="646">
        <v>901</v>
      </c>
      <c r="B904" s="635"/>
      <c r="C904" s="635" t="s">
        <v>3300</v>
      </c>
      <c r="D904" s="636" t="s">
        <v>900</v>
      </c>
      <c r="E904" s="636" t="s">
        <v>3301</v>
      </c>
      <c r="F904" s="648">
        <v>29700</v>
      </c>
      <c r="G904" s="649"/>
      <c r="H904" s="638">
        <v>1380616.5</v>
      </c>
      <c r="I904" s="615" t="s">
        <v>3253</v>
      </c>
      <c r="J904" s="615" t="s">
        <v>603</v>
      </c>
      <c r="M904" s="612"/>
      <c r="P904" s="615">
        <v>300</v>
      </c>
      <c r="Q904" s="612" t="s">
        <v>4286</v>
      </c>
    </row>
    <row r="905" spans="1:17" ht="27.75" customHeight="1">
      <c r="A905" s="646">
        <v>902</v>
      </c>
      <c r="B905" s="635"/>
      <c r="C905" s="635" t="s">
        <v>3302</v>
      </c>
      <c r="D905" s="636" t="s">
        <v>900</v>
      </c>
      <c r="E905" s="636" t="s">
        <v>3303</v>
      </c>
      <c r="F905" s="648">
        <v>4248</v>
      </c>
      <c r="G905" s="682"/>
      <c r="H905" s="638">
        <v>1376368.5</v>
      </c>
      <c r="I905" s="615" t="s">
        <v>749</v>
      </c>
      <c r="J905" s="615" t="s">
        <v>3308</v>
      </c>
      <c r="M905" s="612"/>
      <c r="O905" s="612" t="s">
        <v>4261</v>
      </c>
      <c r="P905" s="615"/>
      <c r="Q905" s="612" t="s">
        <v>4314</v>
      </c>
    </row>
    <row r="906" spans="1:17" s="186" customFormat="1" ht="27.75" customHeight="1">
      <c r="A906" s="199">
        <v>903</v>
      </c>
      <c r="B906" s="220"/>
      <c r="C906" s="220" t="s">
        <v>3304</v>
      </c>
      <c r="D906" s="221" t="s">
        <v>900</v>
      </c>
      <c r="E906" s="221" t="s">
        <v>3305</v>
      </c>
      <c r="F906" s="495"/>
      <c r="G906" s="496">
        <v>10000</v>
      </c>
      <c r="H906" s="263">
        <v>1386368.5</v>
      </c>
      <c r="I906" s="185" t="s">
        <v>3306</v>
      </c>
      <c r="J906" s="185" t="s">
        <v>3309</v>
      </c>
      <c r="M906" s="2"/>
      <c r="N906" s="2" t="s">
        <v>822</v>
      </c>
      <c r="P906" s="185"/>
      <c r="Q906" t="s">
        <v>4266</v>
      </c>
    </row>
    <row r="907" spans="1:17" s="2" customFormat="1" ht="27.75" customHeight="1">
      <c r="A907" s="199">
        <v>904</v>
      </c>
      <c r="B907" s="23"/>
      <c r="C907" s="23" t="s">
        <v>3310</v>
      </c>
      <c r="D907" s="24" t="s">
        <v>900</v>
      </c>
      <c r="E907" s="24" t="s">
        <v>3311</v>
      </c>
      <c r="F907" s="461">
        <v>60000</v>
      </c>
      <c r="G907" s="445"/>
      <c r="H907" s="249">
        <v>1326368.5</v>
      </c>
      <c r="I907" s="1" t="s">
        <v>871</v>
      </c>
      <c r="J907" s="1" t="s">
        <v>3316</v>
      </c>
      <c r="N907" s="2" t="s">
        <v>3567</v>
      </c>
      <c r="P907" s="1" t="s">
        <v>3877</v>
      </c>
      <c r="Q907" t="s">
        <v>4266</v>
      </c>
    </row>
    <row r="908" spans="1:17" s="2" customFormat="1" ht="27.75" customHeight="1">
      <c r="A908" s="199">
        <v>905</v>
      </c>
      <c r="B908" s="23"/>
      <c r="C908" s="23" t="s">
        <v>3312</v>
      </c>
      <c r="D908" s="24" t="s">
        <v>900</v>
      </c>
      <c r="E908" s="24" t="s">
        <v>3313</v>
      </c>
      <c r="F908" s="461">
        <v>29700</v>
      </c>
      <c r="G908" s="445"/>
      <c r="H908" s="249">
        <v>1296668.5</v>
      </c>
      <c r="I908" s="1" t="s">
        <v>149</v>
      </c>
      <c r="J908" s="1" t="s">
        <v>603</v>
      </c>
      <c r="P908" s="1">
        <v>300</v>
      </c>
      <c r="Q908" s="2" t="s">
        <v>4285</v>
      </c>
    </row>
    <row r="909" spans="1:17" s="186" customFormat="1" ht="27.75" customHeight="1">
      <c r="A909" s="199">
        <v>906</v>
      </c>
      <c r="B909" s="188"/>
      <c r="C909" s="188" t="s">
        <v>3314</v>
      </c>
      <c r="D909" s="200" t="s">
        <v>900</v>
      </c>
      <c r="E909" s="200" t="s">
        <v>3315</v>
      </c>
      <c r="F909" s="483">
        <v>19800</v>
      </c>
      <c r="G909" s="484"/>
      <c r="H909" s="258">
        <v>1276868.5</v>
      </c>
      <c r="I909" s="185" t="s">
        <v>744</v>
      </c>
      <c r="J909" s="185" t="s">
        <v>603</v>
      </c>
      <c r="M909" s="2"/>
      <c r="N909" s="2"/>
      <c r="P909" s="185"/>
      <c r="Q909" s="2" t="s">
        <v>4285</v>
      </c>
    </row>
    <row r="910" spans="1:17" s="2" customFormat="1" ht="27.75" customHeight="1">
      <c r="A910" s="199">
        <v>907</v>
      </c>
      <c r="B910" s="337">
        <v>44901</v>
      </c>
      <c r="C910" s="23" t="s">
        <v>3317</v>
      </c>
      <c r="D910" s="24" t="s">
        <v>900</v>
      </c>
      <c r="E910" s="24" t="s">
        <v>3318</v>
      </c>
      <c r="F910" s="461">
        <v>100000</v>
      </c>
      <c r="G910" s="445"/>
      <c r="H910" s="249">
        <v>1176868.5</v>
      </c>
      <c r="I910" s="16" t="s">
        <v>374</v>
      </c>
      <c r="J910" s="1" t="s">
        <v>3328</v>
      </c>
      <c r="N910" s="2" t="s">
        <v>827</v>
      </c>
      <c r="P910" s="1"/>
      <c r="Q910" t="s">
        <v>4266</v>
      </c>
    </row>
    <row r="911" spans="1:17" s="2" customFormat="1" ht="27.75" customHeight="1">
      <c r="A911" s="199">
        <v>908</v>
      </c>
      <c r="B911" s="23"/>
      <c r="C911" s="23" t="s">
        <v>3319</v>
      </c>
      <c r="D911" s="24" t="s">
        <v>900</v>
      </c>
      <c r="E911" s="24" t="s">
        <v>3320</v>
      </c>
      <c r="F911" s="497"/>
      <c r="G911" s="446">
        <v>1100000</v>
      </c>
      <c r="H911" s="249">
        <v>2276868.5</v>
      </c>
      <c r="I911" s="1" t="s">
        <v>351</v>
      </c>
      <c r="J911" s="1" t="s">
        <v>1345</v>
      </c>
      <c r="P911" s="1"/>
      <c r="Q911" t="s">
        <v>1345</v>
      </c>
    </row>
    <row r="912" spans="1:17" s="2" customFormat="1" ht="27.75" customHeight="1">
      <c r="A912" s="199">
        <v>909</v>
      </c>
      <c r="B912" s="23"/>
      <c r="C912" s="23" t="s">
        <v>3321</v>
      </c>
      <c r="D912" s="24" t="s">
        <v>900</v>
      </c>
      <c r="E912" s="24" t="s">
        <v>3322</v>
      </c>
      <c r="F912" s="461">
        <v>1100000</v>
      </c>
      <c r="G912" s="445"/>
      <c r="H912" s="249">
        <v>1176868.5</v>
      </c>
      <c r="I912" s="1" t="s">
        <v>351</v>
      </c>
      <c r="J912" s="1" t="s">
        <v>787</v>
      </c>
      <c r="P912" s="1"/>
      <c r="Q912" s="2" t="s">
        <v>1345</v>
      </c>
    </row>
    <row r="913" spans="1:17" s="2" customFormat="1" ht="27.75" customHeight="1">
      <c r="A913" s="199">
        <v>910</v>
      </c>
      <c r="B913" s="23"/>
      <c r="C913" s="23" t="s">
        <v>3323</v>
      </c>
      <c r="D913" s="24" t="s">
        <v>900</v>
      </c>
      <c r="E913" s="24" t="s">
        <v>3324</v>
      </c>
      <c r="F913" s="497"/>
      <c r="G913" s="446">
        <v>350000</v>
      </c>
      <c r="H913" s="249">
        <v>1526868.5</v>
      </c>
      <c r="I913" s="1" t="s">
        <v>3329</v>
      </c>
      <c r="J913" s="1" t="s">
        <v>3330</v>
      </c>
      <c r="N913" s="2" t="s">
        <v>830</v>
      </c>
      <c r="P913" s="1"/>
      <c r="Q913" t="s">
        <v>4266</v>
      </c>
    </row>
    <row r="914" spans="1:17" s="2" customFormat="1" ht="27.75" customHeight="1">
      <c r="A914" s="199">
        <v>911</v>
      </c>
      <c r="B914" s="337">
        <v>44903</v>
      </c>
      <c r="C914" s="23" t="s">
        <v>3323</v>
      </c>
      <c r="D914" s="24" t="s">
        <v>900</v>
      </c>
      <c r="E914" s="24" t="s">
        <v>3325</v>
      </c>
      <c r="F914" s="497"/>
      <c r="G914" s="446">
        <v>350000</v>
      </c>
      <c r="H914" s="249">
        <v>1876868.5</v>
      </c>
      <c r="I914" s="1" t="s">
        <v>3331</v>
      </c>
      <c r="J914" s="1" t="s">
        <v>3330</v>
      </c>
      <c r="N914" s="2" t="s">
        <v>3523</v>
      </c>
      <c r="P914" s="1" t="s">
        <v>794</v>
      </c>
      <c r="Q914" t="s">
        <v>4266</v>
      </c>
    </row>
    <row r="915" spans="1:17" s="2" customFormat="1" ht="27.75" customHeight="1">
      <c r="A915" s="199">
        <v>912</v>
      </c>
      <c r="B915" s="23"/>
      <c r="C915" s="23" t="s">
        <v>3326</v>
      </c>
      <c r="D915" s="24" t="s">
        <v>900</v>
      </c>
      <c r="E915" s="24" t="s">
        <v>3327</v>
      </c>
      <c r="F915" s="461">
        <v>350000</v>
      </c>
      <c r="G915" s="445"/>
      <c r="H915" s="249">
        <v>1526868.5</v>
      </c>
      <c r="I915" s="185" t="s">
        <v>3329</v>
      </c>
      <c r="J915" s="185" t="s">
        <v>3330</v>
      </c>
      <c r="K915" s="186" t="s">
        <v>3252</v>
      </c>
      <c r="M915" s="2" t="s">
        <v>3252</v>
      </c>
      <c r="N915" s="2" t="s">
        <v>830</v>
      </c>
      <c r="P915" s="1"/>
      <c r="Q915" t="s">
        <v>4266</v>
      </c>
    </row>
    <row r="916" spans="1:17" s="2" customFormat="1" ht="27.75" customHeight="1">
      <c r="A916" s="199">
        <v>913</v>
      </c>
      <c r="B916" s="23"/>
      <c r="C916" s="23" t="s">
        <v>3332</v>
      </c>
      <c r="D916" s="24" t="s">
        <v>900</v>
      </c>
      <c r="E916" s="24" t="s">
        <v>3333</v>
      </c>
      <c r="F916" s="481">
        <v>29700</v>
      </c>
      <c r="G916" s="481"/>
      <c r="H916" s="157">
        <v>1497168.5</v>
      </c>
      <c r="I916" s="1" t="s">
        <v>715</v>
      </c>
      <c r="J916" s="1" t="s">
        <v>603</v>
      </c>
      <c r="P916" s="1">
        <v>300</v>
      </c>
      <c r="Q916" s="2" t="s">
        <v>4285</v>
      </c>
    </row>
    <row r="917" spans="1:17" s="186" customFormat="1" ht="27.75" customHeight="1">
      <c r="A917" s="199">
        <v>914</v>
      </c>
      <c r="B917" s="338">
        <v>44907</v>
      </c>
      <c r="C917" s="188" t="s">
        <v>3334</v>
      </c>
      <c r="D917" s="200" t="s">
        <v>900</v>
      </c>
      <c r="E917" s="200" t="s">
        <v>3335</v>
      </c>
      <c r="F917" s="442"/>
      <c r="G917" s="443">
        <v>1055000</v>
      </c>
      <c r="H917" s="213">
        <v>2552168.5</v>
      </c>
      <c r="I917" s="185" t="s">
        <v>899</v>
      </c>
      <c r="J917" s="185" t="s">
        <v>3254</v>
      </c>
      <c r="M917" s="2"/>
      <c r="N917" s="2"/>
      <c r="P917" s="185" t="s">
        <v>3849</v>
      </c>
      <c r="Q917" t="s">
        <v>4266</v>
      </c>
    </row>
    <row r="918" spans="1:17" s="186" customFormat="1" ht="27.75" customHeight="1">
      <c r="A918" s="199">
        <v>915</v>
      </c>
      <c r="B918" s="222"/>
      <c r="C918" s="222" t="s">
        <v>3336</v>
      </c>
      <c r="D918" s="223" t="s">
        <v>900</v>
      </c>
      <c r="E918" s="223" t="s">
        <v>3337</v>
      </c>
      <c r="F918" s="498"/>
      <c r="G918" s="499">
        <v>50000</v>
      </c>
      <c r="H918" s="264">
        <v>2602168.5</v>
      </c>
      <c r="I918" s="185" t="s">
        <v>3338</v>
      </c>
      <c r="J918" s="185" t="s">
        <v>3339</v>
      </c>
      <c r="M918" s="2" t="s">
        <v>794</v>
      </c>
      <c r="N918" s="2" t="s">
        <v>794</v>
      </c>
      <c r="P918" s="185"/>
      <c r="Q918" t="s">
        <v>4266</v>
      </c>
    </row>
    <row r="919" spans="1:17" s="2" customFormat="1" ht="27.75" customHeight="1">
      <c r="A919" s="199">
        <v>916</v>
      </c>
      <c r="B919" s="23"/>
      <c r="C919" s="23" t="s">
        <v>3340</v>
      </c>
      <c r="D919" s="24" t="s">
        <v>900</v>
      </c>
      <c r="E919" s="24" t="s">
        <v>3341</v>
      </c>
      <c r="F919" s="462"/>
      <c r="G919" s="481">
        <v>100000</v>
      </c>
      <c r="H919" s="157">
        <v>2702168.5</v>
      </c>
      <c r="I919" s="1" t="s">
        <v>3338</v>
      </c>
      <c r="J919" s="185" t="s">
        <v>3339</v>
      </c>
      <c r="M919" s="2" t="s">
        <v>794</v>
      </c>
      <c r="N919" s="2" t="s">
        <v>794</v>
      </c>
      <c r="P919" s="1"/>
      <c r="Q919" t="s">
        <v>4266</v>
      </c>
    </row>
    <row r="920" spans="1:17" s="2" customFormat="1" ht="27.75" customHeight="1">
      <c r="A920" s="199">
        <v>917</v>
      </c>
      <c r="B920" s="23"/>
      <c r="C920" s="23" t="s">
        <v>3342</v>
      </c>
      <c r="D920" s="24" t="s">
        <v>900</v>
      </c>
      <c r="E920" s="24" t="s">
        <v>3343</v>
      </c>
      <c r="F920" s="462"/>
      <c r="G920" s="482">
        <v>700000</v>
      </c>
      <c r="H920" s="157">
        <v>3402168.5</v>
      </c>
      <c r="I920" s="1" t="s">
        <v>3346</v>
      </c>
      <c r="J920" s="1" t="s">
        <v>3347</v>
      </c>
      <c r="N920" s="2" t="s">
        <v>830</v>
      </c>
      <c r="P920" s="1"/>
      <c r="Q920" t="s">
        <v>4266</v>
      </c>
    </row>
    <row r="921" spans="1:17" s="186" customFormat="1" ht="27.75" customHeight="1">
      <c r="A921" s="199">
        <v>918</v>
      </c>
      <c r="B921" s="188"/>
      <c r="C921" s="188" t="s">
        <v>3344</v>
      </c>
      <c r="D921" s="200" t="s">
        <v>900</v>
      </c>
      <c r="E921" s="200" t="s">
        <v>3345</v>
      </c>
      <c r="F921" s="483">
        <v>700000</v>
      </c>
      <c r="G921" s="484"/>
      <c r="H921" s="258">
        <v>2702168.5</v>
      </c>
      <c r="I921" s="185" t="s">
        <v>3346</v>
      </c>
      <c r="J921" s="185" t="s">
        <v>3348</v>
      </c>
      <c r="K921" s="186" t="s">
        <v>3252</v>
      </c>
      <c r="M921" s="2" t="s">
        <v>3252</v>
      </c>
      <c r="N921" s="2" t="s">
        <v>830</v>
      </c>
      <c r="P921" s="185"/>
      <c r="Q921" t="s">
        <v>4266</v>
      </c>
    </row>
    <row r="922" spans="1:17" s="2" customFormat="1" ht="27.75" customHeight="1">
      <c r="A922" s="199">
        <v>919</v>
      </c>
      <c r="B922" s="23"/>
      <c r="C922" s="23" t="s">
        <v>3349</v>
      </c>
      <c r="D922" s="24" t="s">
        <v>900</v>
      </c>
      <c r="E922" s="24" t="s">
        <v>3350</v>
      </c>
      <c r="F922" s="461">
        <v>500000</v>
      </c>
      <c r="G922" s="445"/>
      <c r="H922" s="249">
        <v>2202168.5</v>
      </c>
      <c r="I922" s="1" t="s">
        <v>706</v>
      </c>
      <c r="J922" s="1" t="s">
        <v>3367</v>
      </c>
      <c r="N922" s="2" t="s">
        <v>3568</v>
      </c>
      <c r="P922" s="1"/>
      <c r="Q922" t="s">
        <v>4266</v>
      </c>
    </row>
    <row r="923" spans="1:17" s="2" customFormat="1" ht="27.75" customHeight="1">
      <c r="A923" s="199">
        <v>920</v>
      </c>
      <c r="B923" s="23"/>
      <c r="C923" s="23" t="s">
        <v>3351</v>
      </c>
      <c r="D923" s="24" t="s">
        <v>900</v>
      </c>
      <c r="E923" s="24" t="s">
        <v>3352</v>
      </c>
      <c r="F923" s="461">
        <v>600000</v>
      </c>
      <c r="G923" s="445"/>
      <c r="H923" s="249">
        <v>1602168.5</v>
      </c>
      <c r="I923" s="1" t="s">
        <v>745</v>
      </c>
      <c r="J923" s="1" t="s">
        <v>3369</v>
      </c>
      <c r="N923" s="2" t="s">
        <v>3569</v>
      </c>
      <c r="P923" s="1" t="s">
        <v>3569</v>
      </c>
      <c r="Q923" t="s">
        <v>4266</v>
      </c>
    </row>
    <row r="924" spans="1:17" s="2" customFormat="1" ht="27.75" customHeight="1">
      <c r="A924" s="199">
        <v>921</v>
      </c>
      <c r="B924" s="23"/>
      <c r="C924" s="23" t="s">
        <v>3353</v>
      </c>
      <c r="D924" s="24" t="s">
        <v>900</v>
      </c>
      <c r="E924" s="24" t="s">
        <v>3354</v>
      </c>
      <c r="F924" s="461">
        <v>350000</v>
      </c>
      <c r="G924" s="445"/>
      <c r="H924" s="249">
        <v>1252168.5</v>
      </c>
      <c r="I924" s="1" t="s">
        <v>741</v>
      </c>
      <c r="J924" s="1" t="s">
        <v>3366</v>
      </c>
      <c r="N924" s="2" t="s">
        <v>827</v>
      </c>
      <c r="P924" s="1"/>
      <c r="Q924" s="2" t="s">
        <v>4266</v>
      </c>
    </row>
    <row r="925" spans="1:17" s="2" customFormat="1" ht="27.75" customHeight="1">
      <c r="A925" s="199">
        <v>922</v>
      </c>
      <c r="B925" s="23"/>
      <c r="C925" s="23" t="s">
        <v>3355</v>
      </c>
      <c r="D925" s="24" t="s">
        <v>900</v>
      </c>
      <c r="E925" s="24" t="s">
        <v>3356</v>
      </c>
      <c r="F925" s="461">
        <v>650000</v>
      </c>
      <c r="G925" s="445"/>
      <c r="H925" s="249">
        <v>602168.5</v>
      </c>
      <c r="I925" s="1" t="s">
        <v>741</v>
      </c>
      <c r="J925" s="1" t="s">
        <v>3364</v>
      </c>
      <c r="N925" s="2" t="s">
        <v>3566</v>
      </c>
      <c r="P925" s="1"/>
      <c r="Q925" t="s">
        <v>4266</v>
      </c>
    </row>
    <row r="926" spans="1:17" s="2" customFormat="1" ht="27.75" customHeight="1">
      <c r="A926" s="199">
        <v>923</v>
      </c>
      <c r="B926" s="23"/>
      <c r="C926" s="23" t="s">
        <v>3357</v>
      </c>
      <c r="D926" s="24" t="s">
        <v>900</v>
      </c>
      <c r="E926" s="24" t="s">
        <v>3358</v>
      </c>
      <c r="F926" s="461">
        <v>200000</v>
      </c>
      <c r="G926" s="445"/>
      <c r="H926" s="249">
        <v>402168.5</v>
      </c>
      <c r="I926" s="1" t="s">
        <v>1206</v>
      </c>
      <c r="J926" s="1" t="s">
        <v>3375</v>
      </c>
      <c r="N926" s="2" t="s">
        <v>3570</v>
      </c>
      <c r="P926" s="1" t="s">
        <v>3892</v>
      </c>
      <c r="Q926" t="s">
        <v>4266</v>
      </c>
    </row>
    <row r="927" spans="1:17" s="2" customFormat="1" ht="27.75" customHeight="1">
      <c r="A927" s="199">
        <v>924</v>
      </c>
      <c r="B927" s="23"/>
      <c r="C927" s="23" t="s">
        <v>3359</v>
      </c>
      <c r="D927" s="24" t="s">
        <v>900</v>
      </c>
      <c r="E927" s="24" t="s">
        <v>3360</v>
      </c>
      <c r="F927" s="461">
        <v>110000</v>
      </c>
      <c r="G927" s="445"/>
      <c r="H927" s="249">
        <v>292168.5</v>
      </c>
      <c r="I927" s="1" t="s">
        <v>3363</v>
      </c>
      <c r="J927" s="1" t="s">
        <v>3365</v>
      </c>
      <c r="N927" s="2" t="s">
        <v>3571</v>
      </c>
      <c r="P927" s="1"/>
      <c r="Q927" t="s">
        <v>4266</v>
      </c>
    </row>
    <row r="928" spans="1:17" s="2" customFormat="1" ht="27.75" customHeight="1">
      <c r="A928" s="199">
        <v>925</v>
      </c>
      <c r="B928" s="23"/>
      <c r="C928" s="23" t="s">
        <v>3361</v>
      </c>
      <c r="D928" s="24" t="s">
        <v>900</v>
      </c>
      <c r="E928" s="24" t="s">
        <v>3362</v>
      </c>
      <c r="F928" s="461">
        <v>150000</v>
      </c>
      <c r="G928" s="445"/>
      <c r="H928" s="249">
        <v>142168.5</v>
      </c>
      <c r="I928" s="1" t="s">
        <v>706</v>
      </c>
      <c r="J928" s="1" t="s">
        <v>3368</v>
      </c>
      <c r="N928" s="2" t="s">
        <v>3572</v>
      </c>
      <c r="P928" s="1"/>
      <c r="Q928" t="s">
        <v>4266</v>
      </c>
    </row>
    <row r="929" spans="1:17" s="2" customFormat="1" ht="27.75" customHeight="1">
      <c r="A929" s="199">
        <v>926</v>
      </c>
      <c r="B929" s="23"/>
      <c r="C929" s="23" t="s">
        <v>3399</v>
      </c>
      <c r="D929" s="24" t="s">
        <v>900</v>
      </c>
      <c r="E929" s="24" t="s">
        <v>3400</v>
      </c>
      <c r="F929" s="462"/>
      <c r="G929" s="481">
        <v>1100000</v>
      </c>
      <c r="H929" s="157">
        <v>1242168.5</v>
      </c>
      <c r="I929" s="1" t="s">
        <v>351</v>
      </c>
      <c r="J929" s="1" t="s">
        <v>3401</v>
      </c>
      <c r="P929" s="1"/>
      <c r="Q929" t="s">
        <v>1345</v>
      </c>
    </row>
    <row r="930" spans="1:17" s="2" customFormat="1" ht="27.75" customHeight="1">
      <c r="A930" s="199">
        <v>927</v>
      </c>
      <c r="B930" s="230"/>
      <c r="C930" s="230" t="s">
        <v>3371</v>
      </c>
      <c r="D930" s="231" t="s">
        <v>900</v>
      </c>
      <c r="E930" s="231" t="s">
        <v>3343</v>
      </c>
      <c r="F930" s="500"/>
      <c r="G930" s="501">
        <v>700000</v>
      </c>
      <c r="H930" s="236">
        <v>1942168.5</v>
      </c>
      <c r="I930" s="1" t="s">
        <v>3373</v>
      </c>
      <c r="J930" s="1" t="s">
        <v>3347</v>
      </c>
      <c r="N930" s="2" t="s">
        <v>3523</v>
      </c>
      <c r="P930" s="1"/>
      <c r="Q930" t="s">
        <v>4266</v>
      </c>
    </row>
    <row r="931" spans="1:17" s="2" customFormat="1" ht="27.75" customHeight="1">
      <c r="A931" s="199">
        <v>928</v>
      </c>
      <c r="B931" s="230"/>
      <c r="C931" s="230" t="s">
        <v>3372</v>
      </c>
      <c r="D931" s="231" t="s">
        <v>900</v>
      </c>
      <c r="E931" s="231" t="s">
        <v>3370</v>
      </c>
      <c r="F931" s="500"/>
      <c r="G931" s="501">
        <v>1148000</v>
      </c>
      <c r="H931" s="236">
        <v>3090168.5</v>
      </c>
      <c r="I931" s="1" t="s">
        <v>349</v>
      </c>
      <c r="J931" s="1" t="s">
        <v>3401</v>
      </c>
      <c r="P931" s="1"/>
      <c r="Q931" t="s">
        <v>1345</v>
      </c>
    </row>
    <row r="932" spans="1:17" s="2" customFormat="1" ht="27.75" customHeight="1">
      <c r="A932" s="199">
        <v>929</v>
      </c>
      <c r="B932" s="230"/>
      <c r="C932" s="230" t="s">
        <v>3378</v>
      </c>
      <c r="D932" s="231" t="s">
        <v>900</v>
      </c>
      <c r="E932" s="231" t="s">
        <v>3379</v>
      </c>
      <c r="F932" s="502">
        <v>300000</v>
      </c>
      <c r="G932" s="445"/>
      <c r="H932" s="265">
        <v>2790168.5</v>
      </c>
      <c r="I932" s="1" t="s">
        <v>69</v>
      </c>
      <c r="J932" s="1" t="s">
        <v>3393</v>
      </c>
      <c r="N932" s="2" t="s">
        <v>3573</v>
      </c>
      <c r="P932" s="1"/>
      <c r="Q932" t="s">
        <v>4266</v>
      </c>
    </row>
    <row r="933" spans="1:17" s="2" customFormat="1" ht="27.75" customHeight="1">
      <c r="A933" s="199">
        <v>930</v>
      </c>
      <c r="B933" s="230"/>
      <c r="C933" s="230" t="s">
        <v>3380</v>
      </c>
      <c r="D933" s="231" t="s">
        <v>900</v>
      </c>
      <c r="E933" s="231" t="s">
        <v>3381</v>
      </c>
      <c r="F933" s="500"/>
      <c r="G933" s="501">
        <v>350000</v>
      </c>
      <c r="H933" s="236">
        <v>3140168.5</v>
      </c>
      <c r="I933" s="1" t="s">
        <v>3329</v>
      </c>
      <c r="J933" s="1" t="s">
        <v>3330</v>
      </c>
      <c r="N933" s="2" t="s">
        <v>3523</v>
      </c>
      <c r="P933" s="1"/>
      <c r="Q933" t="s">
        <v>4266</v>
      </c>
    </row>
    <row r="934" spans="1:17" s="2" customFormat="1" ht="27.75" customHeight="1">
      <c r="A934" s="199">
        <v>931</v>
      </c>
      <c r="B934" s="230"/>
      <c r="C934" s="230" t="s">
        <v>3382</v>
      </c>
      <c r="D934" s="231" t="s">
        <v>900</v>
      </c>
      <c r="E934" s="231" t="s">
        <v>3383</v>
      </c>
      <c r="F934" s="501">
        <v>700000</v>
      </c>
      <c r="G934" s="488"/>
      <c r="H934" s="236">
        <v>2440168.5</v>
      </c>
      <c r="I934" s="1" t="s">
        <v>1045</v>
      </c>
      <c r="J934" s="1" t="s">
        <v>3392</v>
      </c>
      <c r="O934" s="2" t="s">
        <v>4261</v>
      </c>
      <c r="P934" s="1"/>
      <c r="Q934" s="2" t="s">
        <v>4306</v>
      </c>
    </row>
    <row r="935" spans="1:17" s="2" customFormat="1" ht="27.75" customHeight="1">
      <c r="A935" s="199">
        <v>932</v>
      </c>
      <c r="B935" s="230"/>
      <c r="C935" s="230" t="s">
        <v>3384</v>
      </c>
      <c r="D935" s="231" t="s">
        <v>900</v>
      </c>
      <c r="E935" s="231" t="s">
        <v>3385</v>
      </c>
      <c r="F935" s="500"/>
      <c r="G935" s="501">
        <v>169000</v>
      </c>
      <c r="H935" s="236">
        <v>2609168.5</v>
      </c>
      <c r="I935" s="1" t="s">
        <v>875</v>
      </c>
      <c r="J935" s="1" t="s">
        <v>3155</v>
      </c>
      <c r="N935" s="2" t="s">
        <v>3523</v>
      </c>
      <c r="P935" s="1"/>
      <c r="Q935" t="s">
        <v>4266</v>
      </c>
    </row>
    <row r="936" spans="1:17" s="2" customFormat="1" ht="27.75" customHeight="1">
      <c r="A936" s="199">
        <v>933</v>
      </c>
      <c r="B936" s="230"/>
      <c r="C936" s="230" t="s">
        <v>3386</v>
      </c>
      <c r="D936" s="231" t="s">
        <v>900</v>
      </c>
      <c r="E936" s="231" t="s">
        <v>3387</v>
      </c>
      <c r="F936" s="501">
        <v>700000</v>
      </c>
      <c r="G936" s="488"/>
      <c r="H936" s="236">
        <v>1909168.5</v>
      </c>
      <c r="I936" s="1" t="s">
        <v>1039</v>
      </c>
      <c r="J936" s="1" t="s">
        <v>822</v>
      </c>
      <c r="N936" s="2" t="s">
        <v>3551</v>
      </c>
      <c r="P936" s="1"/>
      <c r="Q936" s="2" t="s">
        <v>4266</v>
      </c>
    </row>
    <row r="937" spans="1:17" s="2" customFormat="1" ht="27.75" customHeight="1">
      <c r="A937" s="199">
        <v>934</v>
      </c>
      <c r="B937" s="230"/>
      <c r="C937" s="230" t="s">
        <v>3388</v>
      </c>
      <c r="D937" s="231" t="s">
        <v>900</v>
      </c>
      <c r="E937" s="231" t="s">
        <v>3389</v>
      </c>
      <c r="F937" s="500"/>
      <c r="G937" s="501">
        <v>1</v>
      </c>
      <c r="H937" s="236">
        <v>1909169.5</v>
      </c>
      <c r="I937" s="1" t="s">
        <v>1045</v>
      </c>
      <c r="J937" s="1" t="s">
        <v>822</v>
      </c>
      <c r="P937" s="1"/>
      <c r="Q937" s="2" t="s">
        <v>4306</v>
      </c>
    </row>
    <row r="938" spans="1:17" s="2" customFormat="1" ht="27.75" customHeight="1">
      <c r="A938" s="199">
        <v>935</v>
      </c>
      <c r="B938" s="230"/>
      <c r="C938" s="230" t="s">
        <v>3390</v>
      </c>
      <c r="D938" s="231" t="s">
        <v>900</v>
      </c>
      <c r="E938" s="231" t="s">
        <v>3391</v>
      </c>
      <c r="F938" s="500"/>
      <c r="G938" s="501">
        <v>99000</v>
      </c>
      <c r="H938" s="236">
        <v>2008169.5</v>
      </c>
      <c r="I938" s="1" t="s">
        <v>1045</v>
      </c>
      <c r="J938" s="1" t="s">
        <v>822</v>
      </c>
      <c r="P938" s="1"/>
      <c r="Q938" s="2" t="s">
        <v>4306</v>
      </c>
    </row>
    <row r="939" spans="1:17" s="2" customFormat="1" ht="27.75" customHeight="1">
      <c r="A939" s="199">
        <v>936</v>
      </c>
      <c r="B939" s="23"/>
      <c r="C939" s="23" t="s">
        <v>3394</v>
      </c>
      <c r="D939" s="24" t="s">
        <v>900</v>
      </c>
      <c r="E939" s="24" t="s">
        <v>3395</v>
      </c>
      <c r="F939" s="462"/>
      <c r="G939" s="481">
        <v>99000</v>
      </c>
      <c r="H939" s="157">
        <v>2107169.5</v>
      </c>
      <c r="I939" s="1" t="s">
        <v>1045</v>
      </c>
      <c r="J939" s="1" t="s">
        <v>822</v>
      </c>
      <c r="P939" s="1"/>
      <c r="Q939" s="2" t="s">
        <v>4306</v>
      </c>
    </row>
    <row r="940" spans="1:17" s="2" customFormat="1" ht="27.75" customHeight="1">
      <c r="A940" s="199">
        <v>937</v>
      </c>
      <c r="B940" s="23"/>
      <c r="C940" s="23" t="s">
        <v>3396</v>
      </c>
      <c r="D940" s="24" t="s">
        <v>900</v>
      </c>
      <c r="E940" s="24" t="s">
        <v>3397</v>
      </c>
      <c r="F940" s="462"/>
      <c r="G940" s="481">
        <v>405000</v>
      </c>
      <c r="H940" s="157">
        <v>2512169.5</v>
      </c>
      <c r="I940" s="1" t="s">
        <v>3398</v>
      </c>
      <c r="J940" s="1" t="s">
        <v>3271</v>
      </c>
      <c r="N940" s="2" t="s">
        <v>3523</v>
      </c>
      <c r="P940" s="1"/>
      <c r="Q940" t="s">
        <v>4266</v>
      </c>
    </row>
    <row r="941" spans="1:17" s="2" customFormat="1" ht="27.75" customHeight="1">
      <c r="A941" s="199">
        <v>938</v>
      </c>
      <c r="B941" s="23"/>
      <c r="C941" s="23" t="s">
        <v>3402</v>
      </c>
      <c r="D941" s="24" t="s">
        <v>900</v>
      </c>
      <c r="E941" s="24" t="s">
        <v>3403</v>
      </c>
      <c r="F941" s="461">
        <v>29700</v>
      </c>
      <c r="G941" s="445"/>
      <c r="H941" s="249">
        <v>2482469.5</v>
      </c>
      <c r="I941" s="1" t="s">
        <v>149</v>
      </c>
      <c r="J941" s="1" t="s">
        <v>603</v>
      </c>
      <c r="P941" s="1">
        <v>300</v>
      </c>
      <c r="Q941" s="2" t="s">
        <v>4285</v>
      </c>
    </row>
    <row r="942" spans="1:17" ht="27.75" customHeight="1">
      <c r="A942" s="646">
        <v>939</v>
      </c>
      <c r="B942" s="635"/>
      <c r="C942" s="635" t="s">
        <v>3404</v>
      </c>
      <c r="D942" s="636" t="s">
        <v>900</v>
      </c>
      <c r="E942" s="636" t="s">
        <v>3405</v>
      </c>
      <c r="F942" s="647">
        <v>29700</v>
      </c>
      <c r="G942" s="641"/>
      <c r="H942" s="642">
        <v>2452769.5</v>
      </c>
      <c r="I942" s="615" t="s">
        <v>3253</v>
      </c>
      <c r="J942" s="615" t="s">
        <v>603</v>
      </c>
      <c r="M942" s="612"/>
      <c r="P942" s="615">
        <v>300</v>
      </c>
      <c r="Q942" s="612" t="s">
        <v>4286</v>
      </c>
    </row>
    <row r="943" spans="1:17" s="186" customFormat="1" ht="27.75" customHeight="1">
      <c r="A943" s="199">
        <v>940</v>
      </c>
      <c r="B943" s="188"/>
      <c r="C943" s="188" t="s">
        <v>3406</v>
      </c>
      <c r="D943" s="200" t="s">
        <v>900</v>
      </c>
      <c r="E943" s="200" t="s">
        <v>3407</v>
      </c>
      <c r="F943" s="483">
        <v>29700</v>
      </c>
      <c r="G943" s="484"/>
      <c r="H943" s="258">
        <v>2423069.5</v>
      </c>
      <c r="I943" s="185" t="s">
        <v>715</v>
      </c>
      <c r="J943" s="185" t="s">
        <v>603</v>
      </c>
      <c r="M943" s="2"/>
      <c r="N943" s="2"/>
      <c r="P943" s="185">
        <v>300</v>
      </c>
      <c r="Q943" s="2" t="s">
        <v>4285</v>
      </c>
    </row>
    <row r="944" spans="1:17" s="2" customFormat="1" ht="27.75" customHeight="1">
      <c r="A944" s="199">
        <v>941</v>
      </c>
      <c r="B944" s="237"/>
      <c r="C944" s="237" t="s">
        <v>3408</v>
      </c>
      <c r="D944" s="238" t="s">
        <v>900</v>
      </c>
      <c r="E944" s="238" t="s">
        <v>3409</v>
      </c>
      <c r="F944" s="503"/>
      <c r="G944" s="504">
        <v>690000</v>
      </c>
      <c r="H944" s="266">
        <v>3113069.5</v>
      </c>
      <c r="I944" s="1" t="s">
        <v>3410</v>
      </c>
      <c r="J944" s="1" t="s">
        <v>3293</v>
      </c>
      <c r="N944" s="2" t="s">
        <v>794</v>
      </c>
      <c r="P944" s="1"/>
      <c r="Q944" t="s">
        <v>4266</v>
      </c>
    </row>
    <row r="945" spans="1:17" s="2" customFormat="1" ht="27.75" customHeight="1">
      <c r="A945" s="199">
        <v>942</v>
      </c>
      <c r="B945" s="23"/>
      <c r="C945" s="23" t="s">
        <v>3411</v>
      </c>
      <c r="D945" s="24" t="s">
        <v>900</v>
      </c>
      <c r="E945" s="24" t="s">
        <v>3412</v>
      </c>
      <c r="F945" s="481">
        <v>10000</v>
      </c>
      <c r="G945" s="481"/>
      <c r="H945" s="157">
        <v>3103069.5</v>
      </c>
      <c r="I945" s="1" t="s">
        <v>3306</v>
      </c>
      <c r="J945" s="1" t="s">
        <v>3415</v>
      </c>
      <c r="P945" s="1"/>
      <c r="Q945" t="s">
        <v>4266</v>
      </c>
    </row>
    <row r="946" spans="1:17" ht="27.75" customHeight="1">
      <c r="A946" s="646">
        <v>943</v>
      </c>
      <c r="B946" s="635"/>
      <c r="C946" s="635" t="s">
        <v>3413</v>
      </c>
      <c r="D946" s="636" t="s">
        <v>900</v>
      </c>
      <c r="E946" s="636" t="s">
        <v>3414</v>
      </c>
      <c r="F946" s="648">
        <v>63000</v>
      </c>
      <c r="G946" s="648"/>
      <c r="H946" s="638">
        <v>3040069.5</v>
      </c>
      <c r="I946" s="615" t="s">
        <v>820</v>
      </c>
      <c r="J946" s="615" t="s">
        <v>3416</v>
      </c>
      <c r="M946" s="612"/>
      <c r="O946" s="612" t="s">
        <v>4261</v>
      </c>
      <c r="P946" s="615" t="s">
        <v>3857</v>
      </c>
      <c r="Q946" s="612" t="s">
        <v>821</v>
      </c>
    </row>
    <row r="947" spans="1:17" s="2" customFormat="1" ht="27.75" customHeight="1">
      <c r="A947" s="199">
        <v>944</v>
      </c>
      <c r="B947" s="284"/>
      <c r="C947" s="284" t="s">
        <v>3417</v>
      </c>
      <c r="D947" s="285" t="s">
        <v>900</v>
      </c>
      <c r="E947" s="285" t="s">
        <v>3418</v>
      </c>
      <c r="F947" s="505"/>
      <c r="G947" s="506">
        <v>99000</v>
      </c>
      <c r="H947" s="286">
        <v>3139069.5</v>
      </c>
      <c r="I947" s="1" t="s">
        <v>1045</v>
      </c>
      <c r="J947" s="1" t="s">
        <v>822</v>
      </c>
      <c r="P947" s="1"/>
      <c r="Q947" s="2" t="s">
        <v>4306</v>
      </c>
    </row>
    <row r="948" spans="1:17" s="2" customFormat="1" ht="27.75" customHeight="1">
      <c r="A948" s="199">
        <v>945</v>
      </c>
      <c r="B948" s="23"/>
      <c r="C948" s="23" t="s">
        <v>3419</v>
      </c>
      <c r="D948" s="24" t="s">
        <v>900</v>
      </c>
      <c r="E948" s="24" t="s">
        <v>3420</v>
      </c>
      <c r="F948" s="462"/>
      <c r="G948" s="481">
        <v>99000</v>
      </c>
      <c r="H948" s="157">
        <v>3238069.5</v>
      </c>
      <c r="I948" s="1" t="s">
        <v>1045</v>
      </c>
      <c r="J948" s="1" t="s">
        <v>822</v>
      </c>
      <c r="P948" s="1"/>
      <c r="Q948" s="2" t="s">
        <v>4306</v>
      </c>
    </row>
    <row r="949" spans="1:17" s="186" customFormat="1" ht="27.75" customHeight="1">
      <c r="A949" s="199">
        <v>946</v>
      </c>
      <c r="B949" s="188"/>
      <c r="C949" s="188" t="s">
        <v>3421</v>
      </c>
      <c r="D949" s="200" t="s">
        <v>900</v>
      </c>
      <c r="E949" s="200" t="s">
        <v>3422</v>
      </c>
      <c r="F949" s="442"/>
      <c r="G949" s="443">
        <v>99000</v>
      </c>
      <c r="H949" s="213">
        <v>3337069.5</v>
      </c>
      <c r="I949" s="185" t="s">
        <v>1045</v>
      </c>
      <c r="J949" s="185" t="s">
        <v>822</v>
      </c>
      <c r="M949" s="2"/>
      <c r="N949" s="2"/>
      <c r="P949" s="185"/>
      <c r="Q949" s="2" t="s">
        <v>4306</v>
      </c>
    </row>
    <row r="950" spans="1:17" s="2" customFormat="1" ht="27.75" customHeight="1">
      <c r="A950" s="199">
        <v>947</v>
      </c>
      <c r="B950" s="287"/>
      <c r="C950" s="287" t="s">
        <v>3423</v>
      </c>
      <c r="D950" s="288" t="s">
        <v>900</v>
      </c>
      <c r="E950" s="288" t="s">
        <v>3424</v>
      </c>
      <c r="F950" s="507">
        <v>1000000</v>
      </c>
      <c r="G950" s="445"/>
      <c r="H950" s="289">
        <v>2337069.5</v>
      </c>
      <c r="I950" s="1" t="s">
        <v>870</v>
      </c>
      <c r="J950" s="1" t="s">
        <v>794</v>
      </c>
      <c r="P950" s="1"/>
      <c r="Q950" s="2" t="s">
        <v>4307</v>
      </c>
    </row>
    <row r="951" spans="1:17" s="2" customFormat="1" ht="27.75" customHeight="1">
      <c r="A951" s="199">
        <v>948</v>
      </c>
      <c r="B951" s="287"/>
      <c r="C951" s="287" t="s">
        <v>3425</v>
      </c>
      <c r="D951" s="288" t="s">
        <v>900</v>
      </c>
      <c r="E951" s="288" t="s">
        <v>3426</v>
      </c>
      <c r="F951" s="507">
        <v>1000000</v>
      </c>
      <c r="G951" s="445"/>
      <c r="H951" s="289">
        <v>1337069.5</v>
      </c>
      <c r="I951" s="1" t="s">
        <v>870</v>
      </c>
      <c r="J951" s="1" t="s">
        <v>794</v>
      </c>
      <c r="P951" s="1"/>
      <c r="Q951" s="2" t="s">
        <v>4307</v>
      </c>
    </row>
    <row r="952" spans="1:17" s="2" customFormat="1" ht="27.75" customHeight="1">
      <c r="A952" s="199">
        <v>949</v>
      </c>
      <c r="B952" s="287"/>
      <c r="C952" s="287" t="s">
        <v>3427</v>
      </c>
      <c r="D952" s="288" t="s">
        <v>900</v>
      </c>
      <c r="E952" s="288" t="s">
        <v>3428</v>
      </c>
      <c r="F952" s="507">
        <v>600000</v>
      </c>
      <c r="G952" s="445"/>
      <c r="H952" s="289">
        <v>737069.5</v>
      </c>
      <c r="I952" s="1" t="s">
        <v>870</v>
      </c>
      <c r="J952" s="1" t="s">
        <v>794</v>
      </c>
      <c r="P952" s="1"/>
      <c r="Q952" s="2" t="s">
        <v>4307</v>
      </c>
    </row>
    <row r="953" spans="1:17" s="2" customFormat="1" ht="27.75" customHeight="1">
      <c r="A953" s="199">
        <v>950</v>
      </c>
      <c r="B953" s="287"/>
      <c r="C953" s="287" t="s">
        <v>3429</v>
      </c>
      <c r="D953" s="288" t="s">
        <v>900</v>
      </c>
      <c r="E953" s="288" t="s">
        <v>3430</v>
      </c>
      <c r="F953" s="507">
        <v>267300</v>
      </c>
      <c r="G953" s="445"/>
      <c r="H953" s="289">
        <v>469769.5</v>
      </c>
      <c r="I953" s="1" t="s">
        <v>607</v>
      </c>
      <c r="J953" s="1" t="s">
        <v>603</v>
      </c>
      <c r="P953" s="1"/>
      <c r="Q953" s="2" t="s">
        <v>4285</v>
      </c>
    </row>
    <row r="954" spans="1:17" s="2" customFormat="1" ht="27.75" customHeight="1">
      <c r="A954" s="199">
        <v>951</v>
      </c>
      <c r="B954" s="28"/>
      <c r="C954" s="28" t="s">
        <v>3431</v>
      </c>
      <c r="D954" s="232" t="s">
        <v>900</v>
      </c>
      <c r="E954" s="232" t="s">
        <v>3432</v>
      </c>
      <c r="F954" s="451">
        <v>100000</v>
      </c>
      <c r="G954" s="445"/>
      <c r="H954" s="251">
        <v>369769.5</v>
      </c>
      <c r="I954" s="1" t="s">
        <v>3457</v>
      </c>
      <c r="J954" s="1" t="s">
        <v>794</v>
      </c>
      <c r="P954" s="1"/>
      <c r="Q954" s="2" t="s">
        <v>4324</v>
      </c>
    </row>
    <row r="955" spans="1:17" s="186" customFormat="1" ht="27.75" customHeight="1">
      <c r="A955" s="199">
        <v>952</v>
      </c>
      <c r="B955" s="188"/>
      <c r="C955" s="188" t="s">
        <v>3433</v>
      </c>
      <c r="D955" s="200" t="s">
        <v>900</v>
      </c>
      <c r="E955" s="200" t="s">
        <v>3434</v>
      </c>
      <c r="F955" s="508"/>
      <c r="G955" s="424">
        <v>11000</v>
      </c>
      <c r="H955" s="258">
        <v>380769.5</v>
      </c>
      <c r="I955" s="185" t="s">
        <v>3462</v>
      </c>
      <c r="J955" s="185" t="s">
        <v>3583</v>
      </c>
      <c r="M955" s="2"/>
      <c r="N955" s="2"/>
      <c r="P955" s="185"/>
      <c r="Q955" t="s">
        <v>4266</v>
      </c>
    </row>
    <row r="956" spans="1:17" s="2" customFormat="1" ht="27.75" customHeight="1">
      <c r="A956" s="199">
        <v>953</v>
      </c>
      <c r="B956" s="23"/>
      <c r="C956" s="23" t="s">
        <v>3435</v>
      </c>
      <c r="D956" s="24" t="s">
        <v>900</v>
      </c>
      <c r="E956" s="24" t="s">
        <v>3436</v>
      </c>
      <c r="F956" s="461">
        <v>29700</v>
      </c>
      <c r="G956" s="445"/>
      <c r="H956" s="249">
        <v>351069.5</v>
      </c>
      <c r="I956" s="1" t="s">
        <v>149</v>
      </c>
      <c r="J956" s="1" t="s">
        <v>603</v>
      </c>
      <c r="P956" s="1">
        <v>300</v>
      </c>
      <c r="Q956" s="2" t="s">
        <v>4285</v>
      </c>
    </row>
    <row r="957" spans="1:17" ht="27.75" customHeight="1">
      <c r="A957" s="646">
        <v>954</v>
      </c>
      <c r="B957" s="635"/>
      <c r="C957" s="635" t="s">
        <v>3437</v>
      </c>
      <c r="D957" s="636" t="s">
        <v>900</v>
      </c>
      <c r="E957" s="636" t="s">
        <v>3438</v>
      </c>
      <c r="F957" s="647">
        <v>29700</v>
      </c>
      <c r="G957" s="641"/>
      <c r="H957" s="642">
        <v>321369.5</v>
      </c>
      <c r="I957" s="615" t="s">
        <v>3253</v>
      </c>
      <c r="J957" s="615" t="s">
        <v>603</v>
      </c>
      <c r="M957" s="612"/>
      <c r="P957" s="615">
        <v>300</v>
      </c>
      <c r="Q957" s="612" t="s">
        <v>4286</v>
      </c>
    </row>
    <row r="958" spans="1:17" s="2" customFormat="1" ht="27.75" customHeight="1">
      <c r="A958" s="199">
        <v>955</v>
      </c>
      <c r="B958" s="23"/>
      <c r="C958" s="23" t="s">
        <v>3439</v>
      </c>
      <c r="D958" s="24" t="s">
        <v>900</v>
      </c>
      <c r="E958" s="24" t="s">
        <v>3440</v>
      </c>
      <c r="F958" s="497"/>
      <c r="G958" s="446">
        <v>500000</v>
      </c>
      <c r="H958" s="249">
        <v>821369.5</v>
      </c>
      <c r="I958" s="1" t="s">
        <v>3461</v>
      </c>
      <c r="J958" s="1" t="s">
        <v>3476</v>
      </c>
      <c r="P958" s="1"/>
      <c r="Q958" t="s">
        <v>4266</v>
      </c>
    </row>
    <row r="959" spans="1:17" s="2" customFormat="1" ht="27.75" customHeight="1">
      <c r="A959" s="199">
        <v>956</v>
      </c>
      <c r="B959" s="23"/>
      <c r="C959" s="23" t="s">
        <v>3441</v>
      </c>
      <c r="D959" s="24" t="s">
        <v>900</v>
      </c>
      <c r="E959" s="24" t="s">
        <v>3442</v>
      </c>
      <c r="F959" s="461">
        <v>29700</v>
      </c>
      <c r="G959" s="445"/>
      <c r="H959" s="249">
        <v>791669.5</v>
      </c>
      <c r="I959" s="1" t="s">
        <v>715</v>
      </c>
      <c r="J959" s="1" t="s">
        <v>603</v>
      </c>
      <c r="P959" s="1">
        <v>300</v>
      </c>
      <c r="Q959" s="2" t="s">
        <v>4285</v>
      </c>
    </row>
    <row r="960" spans="1:17" s="2" customFormat="1" ht="27.75" customHeight="1">
      <c r="A960" s="199">
        <v>957</v>
      </c>
      <c r="B960" s="23"/>
      <c r="C960" s="23" t="s">
        <v>3443</v>
      </c>
      <c r="D960" s="24" t="s">
        <v>900</v>
      </c>
      <c r="E960" s="24" t="s">
        <v>3444</v>
      </c>
      <c r="F960" s="497"/>
      <c r="G960" s="446">
        <v>200000</v>
      </c>
      <c r="H960" s="249">
        <v>991669.5</v>
      </c>
      <c r="I960" s="1" t="s">
        <v>351</v>
      </c>
      <c r="J960" s="1" t="s">
        <v>3477</v>
      </c>
      <c r="P960" s="1"/>
      <c r="Q960" t="s">
        <v>1345</v>
      </c>
    </row>
    <row r="961" spans="1:17" s="2" customFormat="1" ht="27.75" customHeight="1">
      <c r="A961" s="199">
        <v>958</v>
      </c>
      <c r="B961" s="23"/>
      <c r="C961" s="23" t="s">
        <v>3445</v>
      </c>
      <c r="D961" s="24" t="s">
        <v>900</v>
      </c>
      <c r="E961" s="24" t="s">
        <v>3446</v>
      </c>
      <c r="F961" s="461">
        <v>720000</v>
      </c>
      <c r="G961" s="445"/>
      <c r="H961" s="249">
        <v>271669.5</v>
      </c>
      <c r="I961" s="1" t="s">
        <v>3458</v>
      </c>
      <c r="J961" s="1" t="s">
        <v>3478</v>
      </c>
      <c r="P961" s="1"/>
      <c r="Q961" t="s">
        <v>4266</v>
      </c>
    </row>
    <row r="962" spans="1:17" s="2" customFormat="1" ht="27.75" customHeight="1">
      <c r="A962" s="199">
        <v>959</v>
      </c>
      <c r="B962" s="23"/>
      <c r="C962" s="23" t="s">
        <v>3447</v>
      </c>
      <c r="D962" s="24" t="s">
        <v>900</v>
      </c>
      <c r="E962" s="24" t="s">
        <v>3448</v>
      </c>
      <c r="F962" s="461">
        <v>20000</v>
      </c>
      <c r="G962" s="445"/>
      <c r="H962" s="249">
        <v>251669.5</v>
      </c>
      <c r="I962" s="1" t="s">
        <v>775</v>
      </c>
      <c r="J962" s="1" t="s">
        <v>3459</v>
      </c>
      <c r="P962" s="1"/>
      <c r="Q962" t="s">
        <v>4266</v>
      </c>
    </row>
    <row r="963" spans="1:17" ht="27.75" customHeight="1">
      <c r="A963" s="646">
        <v>960</v>
      </c>
      <c r="B963" s="635"/>
      <c r="C963" s="635" t="s">
        <v>3449</v>
      </c>
      <c r="D963" s="636" t="s">
        <v>900</v>
      </c>
      <c r="E963" s="636" t="s">
        <v>3450</v>
      </c>
      <c r="F963" s="647">
        <v>27827</v>
      </c>
      <c r="G963" s="641"/>
      <c r="H963" s="642">
        <v>223842.5</v>
      </c>
      <c r="I963" s="615" t="s">
        <v>3479</v>
      </c>
      <c r="J963" s="615" t="s">
        <v>3460</v>
      </c>
      <c r="M963" s="612"/>
      <c r="O963" s="612" t="s">
        <v>4261</v>
      </c>
      <c r="P963" s="615"/>
      <c r="Q963" s="612" t="s">
        <v>3749</v>
      </c>
    </row>
    <row r="964" spans="1:17" ht="27.75" customHeight="1">
      <c r="A964" s="646">
        <v>961</v>
      </c>
      <c r="B964" s="635"/>
      <c r="C964" s="635" t="s">
        <v>3451</v>
      </c>
      <c r="D964" s="636" t="s">
        <v>900</v>
      </c>
      <c r="E964" s="636" t="s">
        <v>3452</v>
      </c>
      <c r="F964" s="647">
        <v>18314</v>
      </c>
      <c r="G964" s="641"/>
      <c r="H964" s="642">
        <v>205528.5</v>
      </c>
      <c r="I964" s="615" t="s">
        <v>3479</v>
      </c>
      <c r="J964" s="615" t="s">
        <v>3460</v>
      </c>
      <c r="M964" s="612"/>
      <c r="O964" s="612" t="s">
        <v>4261</v>
      </c>
      <c r="P964" s="615"/>
      <c r="Q964" s="612" t="s">
        <v>3749</v>
      </c>
    </row>
    <row r="965" spans="1:17" ht="27.75" customHeight="1">
      <c r="A965" s="646">
        <v>962</v>
      </c>
      <c r="B965" s="635"/>
      <c r="C965" s="635" t="s">
        <v>3453</v>
      </c>
      <c r="D965" s="636" t="s">
        <v>900</v>
      </c>
      <c r="E965" s="636" t="s">
        <v>3454</v>
      </c>
      <c r="F965" s="647">
        <v>3812</v>
      </c>
      <c r="G965" s="641"/>
      <c r="H965" s="642">
        <v>201716.5</v>
      </c>
      <c r="I965" s="615" t="s">
        <v>3479</v>
      </c>
      <c r="J965" s="615" t="s">
        <v>3460</v>
      </c>
      <c r="M965" s="612"/>
      <c r="O965" s="612" t="s">
        <v>4261</v>
      </c>
      <c r="P965" s="615"/>
      <c r="Q965" s="612" t="s">
        <v>3749</v>
      </c>
    </row>
    <row r="966" spans="1:17" s="2" customFormat="1" ht="27.75" customHeight="1">
      <c r="A966" s="199">
        <v>963</v>
      </c>
      <c r="B966" s="23"/>
      <c r="C966" s="23" t="s">
        <v>3455</v>
      </c>
      <c r="D966" s="24" t="s">
        <v>900</v>
      </c>
      <c r="E966" s="24" t="s">
        <v>3456</v>
      </c>
      <c r="F966" s="462"/>
      <c r="G966" s="464">
        <v>200000</v>
      </c>
      <c r="H966" s="157">
        <v>401716.5</v>
      </c>
      <c r="I966" s="1" t="s">
        <v>349</v>
      </c>
      <c r="J966" s="1" t="s">
        <v>3477</v>
      </c>
      <c r="P966" s="1"/>
      <c r="Q966" t="s">
        <v>1345</v>
      </c>
    </row>
    <row r="967" spans="1:17" s="2" customFormat="1" ht="27.75" customHeight="1">
      <c r="A967" s="199">
        <v>964</v>
      </c>
      <c r="B967" s="290"/>
      <c r="C967" s="290" t="s">
        <v>3464</v>
      </c>
      <c r="D967" s="291" t="s">
        <v>900</v>
      </c>
      <c r="E967" s="291" t="s">
        <v>3465</v>
      </c>
      <c r="F967" s="509"/>
      <c r="G967" s="510">
        <v>1600000</v>
      </c>
      <c r="H967" s="292">
        <v>2001716.5</v>
      </c>
      <c r="I967" s="1" t="s">
        <v>870</v>
      </c>
      <c r="J967" s="1" t="s">
        <v>822</v>
      </c>
      <c r="P967" s="1"/>
      <c r="Q967" s="2" t="s">
        <v>4307</v>
      </c>
    </row>
    <row r="968" spans="1:17" s="2" customFormat="1" ht="27.75" customHeight="1">
      <c r="A968" s="199">
        <v>965</v>
      </c>
      <c r="B968" s="290" t="s">
        <v>3463</v>
      </c>
      <c r="C968" s="290" t="s">
        <v>3466</v>
      </c>
      <c r="D968" s="291" t="s">
        <v>900</v>
      </c>
      <c r="E968" s="291" t="s">
        <v>3467</v>
      </c>
      <c r="F968" s="511">
        <v>439800</v>
      </c>
      <c r="G968" s="445"/>
      <c r="H968" s="293">
        <v>1561916.5</v>
      </c>
      <c r="I968" s="1" t="s">
        <v>3473</v>
      </c>
      <c r="J968" s="1" t="s">
        <v>3475</v>
      </c>
      <c r="P968" s="1"/>
      <c r="Q968" t="s">
        <v>4266</v>
      </c>
    </row>
    <row r="969" spans="1:17" s="2" customFormat="1" ht="27.75" customHeight="1">
      <c r="A969" s="199">
        <v>966</v>
      </c>
      <c r="B969" s="290" t="s">
        <v>3463</v>
      </c>
      <c r="C969" s="290" t="s">
        <v>3468</v>
      </c>
      <c r="D969" s="291" t="s">
        <v>900</v>
      </c>
      <c r="E969" s="291" t="s">
        <v>3469</v>
      </c>
      <c r="F969" s="511">
        <v>1000000</v>
      </c>
      <c r="G969" s="445"/>
      <c r="H969" s="293">
        <v>561916.5</v>
      </c>
      <c r="I969" s="1" t="s">
        <v>50</v>
      </c>
      <c r="J969" s="1" t="s">
        <v>3474</v>
      </c>
      <c r="P969" s="1"/>
      <c r="Q969" t="s">
        <v>4266</v>
      </c>
    </row>
    <row r="970" spans="1:17" s="186" customFormat="1" ht="27.75" customHeight="1">
      <c r="A970" s="199">
        <v>967</v>
      </c>
      <c r="B970" s="294" t="s">
        <v>3470</v>
      </c>
      <c r="C970" s="294" t="s">
        <v>3471</v>
      </c>
      <c r="D970" s="295" t="s">
        <v>900</v>
      </c>
      <c r="E970" s="295" t="s">
        <v>3472</v>
      </c>
      <c r="F970" s="512">
        <v>529000</v>
      </c>
      <c r="G970" s="484"/>
      <c r="H970" s="296">
        <v>32916.5</v>
      </c>
      <c r="I970" s="185" t="s">
        <v>50</v>
      </c>
      <c r="J970" s="185" t="s">
        <v>3474</v>
      </c>
      <c r="M970" s="2"/>
      <c r="N970" s="2"/>
      <c r="P970" s="185"/>
      <c r="Q970" t="s">
        <v>4266</v>
      </c>
    </row>
    <row r="971" spans="1:17" s="2" customFormat="1" ht="27.75" customHeight="1">
      <c r="A971" s="199">
        <v>968</v>
      </c>
      <c r="B971" s="290" t="s">
        <v>3576</v>
      </c>
      <c r="C971" s="290" t="s">
        <v>3577</v>
      </c>
      <c r="D971" s="291" t="s">
        <v>900</v>
      </c>
      <c r="E971" s="291" t="s">
        <v>3578</v>
      </c>
      <c r="F971" s="509"/>
      <c r="G971" s="513">
        <v>1500000</v>
      </c>
      <c r="H971" s="292">
        <v>1532916.5</v>
      </c>
      <c r="I971" s="1" t="s">
        <v>870</v>
      </c>
      <c r="J971" s="1" t="s">
        <v>822</v>
      </c>
      <c r="M971" s="190"/>
      <c r="P971" s="1"/>
      <c r="Q971" s="2" t="s">
        <v>4307</v>
      </c>
    </row>
    <row r="972" spans="1:17" s="2" customFormat="1" ht="27.75" customHeight="1">
      <c r="A972" s="199">
        <v>969</v>
      </c>
      <c r="B972" s="290" t="s">
        <v>3576</v>
      </c>
      <c r="C972" s="290" t="s">
        <v>3579</v>
      </c>
      <c r="D972" s="291" t="s">
        <v>900</v>
      </c>
      <c r="E972" s="291" t="s">
        <v>3580</v>
      </c>
      <c r="F972" s="513">
        <v>700000</v>
      </c>
      <c r="G972" s="494"/>
      <c r="H972" s="292">
        <v>832916.5</v>
      </c>
      <c r="I972" s="1" t="s">
        <v>102</v>
      </c>
      <c r="J972" s="1" t="s">
        <v>3584</v>
      </c>
      <c r="M972" s="190"/>
      <c r="P972" s="1"/>
      <c r="Q972" t="s">
        <v>4266</v>
      </c>
    </row>
    <row r="973" spans="1:17" s="2" customFormat="1" ht="27.75" customHeight="1">
      <c r="A973" s="199">
        <v>970</v>
      </c>
      <c r="B973" s="23" t="s">
        <v>3585</v>
      </c>
      <c r="C973" s="23" t="s">
        <v>3586</v>
      </c>
      <c r="D973" s="24" t="s">
        <v>900</v>
      </c>
      <c r="E973" s="24" t="s">
        <v>3587</v>
      </c>
      <c r="F973" s="462"/>
      <c r="G973" s="463">
        <v>99000</v>
      </c>
      <c r="H973" s="157">
        <v>931916.5</v>
      </c>
      <c r="I973" s="1" t="s">
        <v>1045</v>
      </c>
      <c r="J973" s="1" t="s">
        <v>822</v>
      </c>
      <c r="M973" s="190"/>
      <c r="P973" s="1"/>
      <c r="Q973" s="2" t="s">
        <v>4306</v>
      </c>
    </row>
    <row r="974" spans="1:17" s="2" customFormat="1" ht="27.75" customHeight="1">
      <c r="A974" s="199">
        <v>971</v>
      </c>
      <c r="B974" s="23" t="s">
        <v>3588</v>
      </c>
      <c r="C974" s="23" t="s">
        <v>3589</v>
      </c>
      <c r="D974" s="24" t="s">
        <v>900</v>
      </c>
      <c r="E974" s="24" t="s">
        <v>3590</v>
      </c>
      <c r="F974" s="461">
        <v>29700</v>
      </c>
      <c r="G974" s="445"/>
      <c r="H974" s="249">
        <v>902216.5</v>
      </c>
      <c r="I974" s="1" t="s">
        <v>715</v>
      </c>
      <c r="J974" s="1" t="s">
        <v>603</v>
      </c>
      <c r="M974" s="190"/>
      <c r="P974" s="1">
        <v>300</v>
      </c>
      <c r="Q974" s="2" t="s">
        <v>4285</v>
      </c>
    </row>
    <row r="975" spans="1:17" ht="27.75" customHeight="1">
      <c r="A975" s="646">
        <v>972</v>
      </c>
      <c r="B975" s="635" t="s">
        <v>3588</v>
      </c>
      <c r="C975" s="635" t="s">
        <v>3591</v>
      </c>
      <c r="D975" s="636" t="s">
        <v>900</v>
      </c>
      <c r="E975" s="636" t="s">
        <v>3592</v>
      </c>
      <c r="F975" s="647">
        <v>29700</v>
      </c>
      <c r="G975" s="641"/>
      <c r="H975" s="642">
        <v>872516.5</v>
      </c>
      <c r="I975" s="615" t="s">
        <v>3597</v>
      </c>
      <c r="J975" s="615" t="s">
        <v>603</v>
      </c>
      <c r="P975" s="615">
        <v>300</v>
      </c>
      <c r="Q975" s="612" t="s">
        <v>4286</v>
      </c>
    </row>
    <row r="976" spans="1:17" s="2" customFormat="1" ht="27.75" customHeight="1">
      <c r="A976" s="199">
        <v>973</v>
      </c>
      <c r="B976" s="23" t="s">
        <v>3588</v>
      </c>
      <c r="C976" s="23" t="s">
        <v>3593</v>
      </c>
      <c r="D976" s="24" t="s">
        <v>900</v>
      </c>
      <c r="E976" s="24" t="s">
        <v>3594</v>
      </c>
      <c r="F976" s="461">
        <v>29700</v>
      </c>
      <c r="G976" s="445"/>
      <c r="H976" s="249">
        <v>842816.5</v>
      </c>
      <c r="I976" s="1" t="s">
        <v>149</v>
      </c>
      <c r="J976" s="1" t="s">
        <v>603</v>
      </c>
      <c r="M976" s="190"/>
      <c r="P976" s="1">
        <v>300</v>
      </c>
      <c r="Q976" s="2" t="s">
        <v>4285</v>
      </c>
    </row>
    <row r="977" spans="1:17" s="186" customFormat="1" ht="27.75" customHeight="1">
      <c r="A977" s="199">
        <v>974</v>
      </c>
      <c r="B977" s="188" t="s">
        <v>3588</v>
      </c>
      <c r="C977" s="188" t="s">
        <v>3595</v>
      </c>
      <c r="D977" s="200" t="s">
        <v>900</v>
      </c>
      <c r="E977" s="200" t="s">
        <v>3596</v>
      </c>
      <c r="F977" s="483">
        <v>500000</v>
      </c>
      <c r="G977" s="484"/>
      <c r="H977" s="258">
        <v>342816.5</v>
      </c>
      <c r="I977" s="185" t="s">
        <v>56</v>
      </c>
      <c r="J977" s="185" t="s">
        <v>3147</v>
      </c>
      <c r="M977" s="298"/>
      <c r="P977" s="185"/>
      <c r="Q977" s="2" t="s">
        <v>4315</v>
      </c>
    </row>
    <row r="978" spans="1:17" s="2" customFormat="1" ht="27.75" customHeight="1">
      <c r="A978" s="199">
        <v>975</v>
      </c>
      <c r="B978" s="23" t="s">
        <v>3598</v>
      </c>
      <c r="C978" s="23" t="s">
        <v>3599</v>
      </c>
      <c r="D978" s="24" t="s">
        <v>900</v>
      </c>
      <c r="E978" s="24" t="s">
        <v>3600</v>
      </c>
      <c r="F978" s="462"/>
      <c r="G978" s="464">
        <v>390000</v>
      </c>
      <c r="H978" s="25">
        <v>732816.5</v>
      </c>
      <c r="I978" s="1" t="s">
        <v>349</v>
      </c>
      <c r="J978" s="1" t="s">
        <v>1342</v>
      </c>
      <c r="M978" s="190"/>
      <c r="P978" s="1"/>
      <c r="Q978" s="2" t="s">
        <v>1345</v>
      </c>
    </row>
    <row r="979" spans="1:17" s="2" customFormat="1" ht="27.75" customHeight="1">
      <c r="A979" s="199">
        <v>976</v>
      </c>
      <c r="B979" s="23" t="s">
        <v>3601</v>
      </c>
      <c r="C979" s="23" t="s">
        <v>3602</v>
      </c>
      <c r="D979" s="24" t="s">
        <v>900</v>
      </c>
      <c r="E979" s="24" t="s">
        <v>3603</v>
      </c>
      <c r="F979" s="462"/>
      <c r="G979" s="481">
        <v>50000</v>
      </c>
      <c r="H979" s="25">
        <v>782816.5</v>
      </c>
      <c r="I979" s="1" t="s">
        <v>1045</v>
      </c>
      <c r="J979" s="1" t="s">
        <v>822</v>
      </c>
      <c r="M979" s="190"/>
      <c r="P979" s="1"/>
      <c r="Q979" s="2" t="s">
        <v>4306</v>
      </c>
    </row>
    <row r="980" spans="1:17" s="2" customFormat="1" ht="27.75" customHeight="1">
      <c r="A980" s="199">
        <v>977</v>
      </c>
      <c r="B980" s="299" t="s">
        <v>3604</v>
      </c>
      <c r="C980" s="299" t="s">
        <v>3605</v>
      </c>
      <c r="D980" s="300" t="s">
        <v>900</v>
      </c>
      <c r="E980" s="300" t="s">
        <v>3606</v>
      </c>
      <c r="F980" s="514"/>
      <c r="G980" s="515">
        <v>350000</v>
      </c>
      <c r="H980" s="301">
        <v>1132816.5</v>
      </c>
      <c r="I980" s="1" t="s">
        <v>3338</v>
      </c>
      <c r="J980" s="1" t="s">
        <v>3339</v>
      </c>
      <c r="M980" s="190"/>
      <c r="P980" s="1"/>
      <c r="Q980" t="s">
        <v>4266</v>
      </c>
    </row>
    <row r="981" spans="1:17" s="2" customFormat="1" ht="27.75" customHeight="1">
      <c r="A981" s="199">
        <v>978</v>
      </c>
      <c r="B981" s="299" t="s">
        <v>3604</v>
      </c>
      <c r="C981" s="299" t="s">
        <v>3607</v>
      </c>
      <c r="D981" s="300" t="s">
        <v>900</v>
      </c>
      <c r="E981" s="300" t="s">
        <v>3608</v>
      </c>
      <c r="F981" s="515">
        <v>350000</v>
      </c>
      <c r="G981" s="488"/>
      <c r="H981" s="302">
        <v>782816.5</v>
      </c>
      <c r="I981" s="1" t="s">
        <v>3338</v>
      </c>
      <c r="J981" s="1" t="s">
        <v>3612</v>
      </c>
      <c r="M981" s="190"/>
      <c r="P981" s="1"/>
      <c r="Q981" t="s">
        <v>4266</v>
      </c>
    </row>
    <row r="982" spans="1:17" s="2" customFormat="1" ht="27.75" customHeight="1">
      <c r="A982" s="199">
        <v>979</v>
      </c>
      <c r="B982" s="299" t="s">
        <v>3609</v>
      </c>
      <c r="C982" s="299" t="s">
        <v>3610</v>
      </c>
      <c r="D982" s="300" t="s">
        <v>900</v>
      </c>
      <c r="E982" s="300" t="s">
        <v>3611</v>
      </c>
      <c r="F982" s="514"/>
      <c r="G982" s="515">
        <v>56000</v>
      </c>
      <c r="H982" s="302">
        <v>838816.5</v>
      </c>
      <c r="I982" s="1" t="s">
        <v>1045</v>
      </c>
      <c r="J982" s="1" t="s">
        <v>822</v>
      </c>
      <c r="M982" s="190"/>
      <c r="P982" s="1"/>
      <c r="Q982" s="2" t="s">
        <v>4306</v>
      </c>
    </row>
    <row r="983" spans="1:17" s="2" customFormat="1" ht="27.75" customHeight="1">
      <c r="A983" s="199">
        <v>980</v>
      </c>
      <c r="B983" s="23" t="s">
        <v>3609</v>
      </c>
      <c r="C983" s="23" t="s">
        <v>3613</v>
      </c>
      <c r="D983" s="24" t="s">
        <v>900</v>
      </c>
      <c r="E983" s="24" t="s">
        <v>3614</v>
      </c>
      <c r="F983" s="481">
        <v>474000</v>
      </c>
      <c r="G983" s="488"/>
      <c r="H983" s="157">
        <v>364816.5</v>
      </c>
      <c r="I983" s="1" t="s">
        <v>3617</v>
      </c>
      <c r="J983" s="1" t="s">
        <v>3618</v>
      </c>
      <c r="M983" s="190"/>
      <c r="P983" s="1"/>
      <c r="Q983" t="s">
        <v>4266</v>
      </c>
    </row>
    <row r="984" spans="1:17" s="2" customFormat="1" ht="27.75" customHeight="1">
      <c r="A984" s="199">
        <v>981</v>
      </c>
      <c r="B984" s="23" t="s">
        <v>3609</v>
      </c>
      <c r="C984" s="23" t="s">
        <v>3615</v>
      </c>
      <c r="D984" s="24" t="s">
        <v>900</v>
      </c>
      <c r="E984" s="24" t="s">
        <v>3616</v>
      </c>
      <c r="F984" s="462"/>
      <c r="G984" s="481">
        <v>200000</v>
      </c>
      <c r="H984" s="157">
        <v>564816.5</v>
      </c>
      <c r="I984" s="1" t="s">
        <v>3173</v>
      </c>
      <c r="J984" s="1" t="s">
        <v>794</v>
      </c>
      <c r="M984" s="190"/>
      <c r="P984" s="1"/>
      <c r="Q984" s="2" t="s">
        <v>4310</v>
      </c>
    </row>
    <row r="985" spans="1:17" s="2" customFormat="1" ht="27.75" customHeight="1">
      <c r="A985" s="199">
        <v>982</v>
      </c>
      <c r="B985" s="303" t="s">
        <v>3619</v>
      </c>
      <c r="C985" s="303" t="s">
        <v>3620</v>
      </c>
      <c r="D985" s="304" t="s">
        <v>3621</v>
      </c>
      <c r="E985" s="304" t="s">
        <v>3622</v>
      </c>
      <c r="F985" s="516">
        <v>500000</v>
      </c>
      <c r="G985" s="488"/>
      <c r="H985" s="305">
        <v>64816.5</v>
      </c>
      <c r="I985" s="1" t="s">
        <v>3637</v>
      </c>
      <c r="J985" s="1" t="s">
        <v>1028</v>
      </c>
      <c r="M985" s="190"/>
      <c r="O985" s="2" t="s">
        <v>4261</v>
      </c>
      <c r="P985" s="1"/>
      <c r="Q985" t="s">
        <v>4300</v>
      </c>
    </row>
    <row r="986" spans="1:17" s="2" customFormat="1" ht="27.75" customHeight="1">
      <c r="A986" s="199">
        <v>983</v>
      </c>
      <c r="B986" s="303" t="s">
        <v>3623</v>
      </c>
      <c r="C986" s="303" t="s">
        <v>3624</v>
      </c>
      <c r="D986" s="304" t="s">
        <v>900</v>
      </c>
      <c r="E986" s="304" t="s">
        <v>3625</v>
      </c>
      <c r="F986" s="517"/>
      <c r="G986" s="518">
        <v>600000</v>
      </c>
      <c r="H986" s="305">
        <v>664816.5</v>
      </c>
      <c r="I986" s="1" t="s">
        <v>3173</v>
      </c>
      <c r="J986" s="1" t="s">
        <v>794</v>
      </c>
      <c r="M986" s="190"/>
      <c r="P986" s="1"/>
      <c r="Q986" s="2" t="s">
        <v>4310</v>
      </c>
    </row>
    <row r="987" spans="1:17" s="2" customFormat="1" ht="27.75" customHeight="1">
      <c r="A987" s="199">
        <v>984</v>
      </c>
      <c r="B987" s="303" t="s">
        <v>3623</v>
      </c>
      <c r="C987" s="303" t="s">
        <v>3626</v>
      </c>
      <c r="D987" s="304" t="s">
        <v>900</v>
      </c>
      <c r="E987" s="304" t="s">
        <v>3627</v>
      </c>
      <c r="F987" s="519">
        <v>475000</v>
      </c>
      <c r="G987" s="445"/>
      <c r="H987" s="306">
        <v>189816.5</v>
      </c>
      <c r="I987" s="1" t="s">
        <v>116</v>
      </c>
      <c r="J987" s="1" t="s">
        <v>3638</v>
      </c>
      <c r="M987" s="190"/>
      <c r="P987" s="1"/>
      <c r="Q987" t="s">
        <v>4266</v>
      </c>
    </row>
    <row r="988" spans="1:17" s="2" customFormat="1" ht="27.75" customHeight="1">
      <c r="A988" s="199">
        <v>985</v>
      </c>
      <c r="B988" s="303" t="s">
        <v>3623</v>
      </c>
      <c r="C988" s="303" t="s">
        <v>3628</v>
      </c>
      <c r="D988" s="304" t="s">
        <v>900</v>
      </c>
      <c r="E988" s="304" t="s">
        <v>3629</v>
      </c>
      <c r="F988" s="519">
        <v>125000</v>
      </c>
      <c r="G988" s="445"/>
      <c r="H988" s="306">
        <v>64816.5</v>
      </c>
      <c r="I988" s="1" t="s">
        <v>1047</v>
      </c>
      <c r="J988" s="1" t="s">
        <v>3638</v>
      </c>
      <c r="M988" s="190"/>
      <c r="P988" s="1"/>
      <c r="Q988" t="s">
        <v>4266</v>
      </c>
    </row>
    <row r="989" spans="1:17" s="2" customFormat="1" ht="27.75" customHeight="1">
      <c r="A989" s="199">
        <v>986</v>
      </c>
      <c r="B989" s="303" t="s">
        <v>3630</v>
      </c>
      <c r="C989" s="303" t="s">
        <v>3631</v>
      </c>
      <c r="D989" s="304" t="s">
        <v>900</v>
      </c>
      <c r="E989" s="304" t="s">
        <v>3632</v>
      </c>
      <c r="F989" s="520"/>
      <c r="G989" s="521">
        <v>1500000</v>
      </c>
      <c r="H989" s="306">
        <v>1564816.5</v>
      </c>
      <c r="I989" s="1" t="s">
        <v>3173</v>
      </c>
      <c r="J989" s="1" t="s">
        <v>794</v>
      </c>
      <c r="M989" s="190"/>
      <c r="P989" s="1"/>
      <c r="Q989" s="2" t="s">
        <v>4310</v>
      </c>
    </row>
    <row r="990" spans="1:17" s="2" customFormat="1" ht="27.75" customHeight="1">
      <c r="A990" s="199">
        <v>987</v>
      </c>
      <c r="B990" s="303" t="s">
        <v>3630</v>
      </c>
      <c r="C990" s="303" t="s">
        <v>3633</v>
      </c>
      <c r="D990" s="304" t="s">
        <v>900</v>
      </c>
      <c r="E990" s="304" t="s">
        <v>3634</v>
      </c>
      <c r="F990" s="519">
        <v>125000</v>
      </c>
      <c r="G990" s="445"/>
      <c r="H990" s="306">
        <v>1439816.5</v>
      </c>
      <c r="I990" s="1" t="s">
        <v>790</v>
      </c>
      <c r="J990" s="1" t="s">
        <v>3639</v>
      </c>
      <c r="M990" s="190"/>
      <c r="P990" s="1"/>
      <c r="Q990" t="s">
        <v>4266</v>
      </c>
    </row>
    <row r="991" spans="1:17" s="2" customFormat="1" ht="27.75" customHeight="1">
      <c r="A991" s="199">
        <v>988</v>
      </c>
      <c r="B991" s="303" t="s">
        <v>3630</v>
      </c>
      <c r="C991" s="303" t="s">
        <v>3635</v>
      </c>
      <c r="D991" s="304" t="s">
        <v>900</v>
      </c>
      <c r="E991" s="304" t="s">
        <v>3636</v>
      </c>
      <c r="F991" s="519">
        <v>25000</v>
      </c>
      <c r="G991" s="445"/>
      <c r="H991" s="306">
        <v>1414816.5</v>
      </c>
      <c r="I991" s="1" t="s">
        <v>798</v>
      </c>
      <c r="J991" s="1" t="s">
        <v>3640</v>
      </c>
      <c r="M991" s="190"/>
      <c r="P991" s="1"/>
      <c r="Q991" t="s">
        <v>4266</v>
      </c>
    </row>
    <row r="992" spans="1:17" s="2" customFormat="1" ht="27.75" customHeight="1">
      <c r="A992" s="199">
        <v>989</v>
      </c>
      <c r="B992" s="23" t="s">
        <v>3641</v>
      </c>
      <c r="C992" s="23" t="s">
        <v>3642</v>
      </c>
      <c r="D992" s="24" t="s">
        <v>900</v>
      </c>
      <c r="E992" s="24" t="s">
        <v>3643</v>
      </c>
      <c r="F992" s="461">
        <v>450001</v>
      </c>
      <c r="G992" s="445"/>
      <c r="H992" s="249">
        <v>964815.5</v>
      </c>
      <c r="I992" s="1" t="s">
        <v>607</v>
      </c>
      <c r="J992" s="1" t="s">
        <v>3649</v>
      </c>
      <c r="M992" s="190"/>
      <c r="P992" s="1"/>
      <c r="Q992" t="s">
        <v>4266</v>
      </c>
    </row>
    <row r="993" spans="1:17" s="2" customFormat="1" ht="27.75" customHeight="1">
      <c r="A993" s="199">
        <v>990</v>
      </c>
      <c r="B993" s="23" t="s">
        <v>3641</v>
      </c>
      <c r="C993" s="23" t="s">
        <v>3644</v>
      </c>
      <c r="D993" s="24" t="s">
        <v>900</v>
      </c>
      <c r="E993" s="24" t="s">
        <v>3645</v>
      </c>
      <c r="F993" s="461">
        <v>778889</v>
      </c>
      <c r="G993" s="445"/>
      <c r="H993" s="249">
        <v>185926.5</v>
      </c>
      <c r="I993" s="1" t="s">
        <v>147</v>
      </c>
      <c r="J993" s="1" t="s">
        <v>3650</v>
      </c>
      <c r="M993" s="190"/>
      <c r="P993" s="1"/>
      <c r="Q993" t="s">
        <v>4266</v>
      </c>
    </row>
    <row r="994" spans="1:17" s="2" customFormat="1" ht="27.75" customHeight="1">
      <c r="A994" s="199">
        <v>991</v>
      </c>
      <c r="B994" s="23" t="s">
        <v>3641</v>
      </c>
      <c r="C994" s="23" t="s">
        <v>3646</v>
      </c>
      <c r="D994" s="24" t="s">
        <v>900</v>
      </c>
      <c r="E994" s="24" t="s">
        <v>3647</v>
      </c>
      <c r="F994" s="461">
        <v>72500</v>
      </c>
      <c r="G994" s="445"/>
      <c r="H994" s="249">
        <v>113426.5</v>
      </c>
      <c r="I994" s="1" t="s">
        <v>1206</v>
      </c>
      <c r="J994" s="1" t="s">
        <v>1033</v>
      </c>
      <c r="M994" s="190"/>
      <c r="P994" s="1" t="s">
        <v>830</v>
      </c>
      <c r="Q994" t="s">
        <v>4266</v>
      </c>
    </row>
    <row r="995" spans="1:17" s="2" customFormat="1" ht="27.75" customHeight="1">
      <c r="A995" s="199">
        <v>992</v>
      </c>
      <c r="B995" s="23" t="s">
        <v>3641</v>
      </c>
      <c r="C995" s="23" t="s">
        <v>3648</v>
      </c>
      <c r="D995" s="24" t="s">
        <v>900</v>
      </c>
      <c r="E995" s="24" t="s">
        <v>3647</v>
      </c>
      <c r="F995" s="462"/>
      <c r="G995" s="464">
        <v>72500</v>
      </c>
      <c r="H995" s="157">
        <v>185926.5</v>
      </c>
      <c r="I995" s="1" t="s">
        <v>1206</v>
      </c>
      <c r="J995" s="1" t="s">
        <v>3651</v>
      </c>
      <c r="M995" s="190"/>
      <c r="P995" s="1" t="s">
        <v>830</v>
      </c>
      <c r="Q995" t="s">
        <v>4266</v>
      </c>
    </row>
    <row r="996" spans="1:17" s="2" customFormat="1" ht="27.75" customHeight="1">
      <c r="A996" s="199">
        <v>993</v>
      </c>
      <c r="B996" s="307" t="s">
        <v>3652</v>
      </c>
      <c r="C996" s="307" t="s">
        <v>3653</v>
      </c>
      <c r="D996" s="308" t="s">
        <v>900</v>
      </c>
      <c r="E996" s="308" t="s">
        <v>3654</v>
      </c>
      <c r="F996" s="522">
        <v>29700</v>
      </c>
      <c r="G996" s="445"/>
      <c r="H996" s="309">
        <v>156226.5</v>
      </c>
      <c r="I996" s="1" t="s">
        <v>149</v>
      </c>
      <c r="J996" s="1" t="s">
        <v>603</v>
      </c>
      <c r="M996" s="190"/>
      <c r="P996" s="1">
        <v>300</v>
      </c>
      <c r="Q996" s="2" t="s">
        <v>4285</v>
      </c>
    </row>
    <row r="997" spans="1:17" ht="27.75" customHeight="1">
      <c r="A997" s="646">
        <v>994</v>
      </c>
      <c r="B997" s="635" t="s">
        <v>3652</v>
      </c>
      <c r="C997" s="635" t="s">
        <v>3655</v>
      </c>
      <c r="D997" s="636" t="s">
        <v>900</v>
      </c>
      <c r="E997" s="636" t="s">
        <v>3656</v>
      </c>
      <c r="F997" s="647">
        <v>29700</v>
      </c>
      <c r="G997" s="641"/>
      <c r="H997" s="642">
        <v>126526.5</v>
      </c>
      <c r="I997" s="615" t="s">
        <v>3253</v>
      </c>
      <c r="J997" s="615" t="s">
        <v>603</v>
      </c>
      <c r="P997" s="615">
        <v>300</v>
      </c>
      <c r="Q997" s="612" t="s">
        <v>4286</v>
      </c>
    </row>
    <row r="998" spans="1:17" s="2" customFormat="1" ht="27.75" customHeight="1">
      <c r="A998" s="199">
        <v>995</v>
      </c>
      <c r="B998" s="307" t="s">
        <v>3652</v>
      </c>
      <c r="C998" s="307" t="s">
        <v>3657</v>
      </c>
      <c r="D998" s="308" t="s">
        <v>900</v>
      </c>
      <c r="E998" s="308" t="s">
        <v>3658</v>
      </c>
      <c r="F998" s="522">
        <v>50000</v>
      </c>
      <c r="G998" s="445"/>
      <c r="H998" s="309">
        <v>76526.5</v>
      </c>
      <c r="I998" s="1" t="s">
        <v>42</v>
      </c>
      <c r="J998" s="1" t="s">
        <v>1033</v>
      </c>
      <c r="M998" s="190"/>
      <c r="P998" s="1" t="s">
        <v>3888</v>
      </c>
      <c r="Q998" t="s">
        <v>4266</v>
      </c>
    </row>
    <row r="999" spans="1:17" s="2" customFormat="1" ht="27.75" customHeight="1">
      <c r="A999" s="199">
        <v>996</v>
      </c>
      <c r="B999" s="307" t="s">
        <v>3652</v>
      </c>
      <c r="C999" s="307" t="s">
        <v>3659</v>
      </c>
      <c r="D999" s="308" t="s">
        <v>900</v>
      </c>
      <c r="E999" s="308" t="s">
        <v>3660</v>
      </c>
      <c r="F999" s="522">
        <v>22500</v>
      </c>
      <c r="G999" s="445"/>
      <c r="H999" s="309">
        <v>54026.5</v>
      </c>
      <c r="I999" s="1" t="s">
        <v>1206</v>
      </c>
      <c r="J999" s="1" t="s">
        <v>1033</v>
      </c>
      <c r="M999" s="190"/>
      <c r="P999" s="1" t="s">
        <v>3571</v>
      </c>
      <c r="Q999" t="s">
        <v>4266</v>
      </c>
    </row>
    <row r="1000" spans="1:17" s="2" customFormat="1" ht="27.75" customHeight="1">
      <c r="A1000" s="199">
        <v>997</v>
      </c>
      <c r="B1000" s="307" t="s">
        <v>3661</v>
      </c>
      <c r="C1000" s="307" t="s">
        <v>3662</v>
      </c>
      <c r="D1000" s="308" t="s">
        <v>900</v>
      </c>
      <c r="E1000" s="308" t="s">
        <v>3663</v>
      </c>
      <c r="F1000" s="522">
        <v>29700</v>
      </c>
      <c r="G1000" s="445"/>
      <c r="H1000" s="309">
        <v>24326.5</v>
      </c>
      <c r="I1000" s="1" t="s">
        <v>715</v>
      </c>
      <c r="J1000" s="1" t="s">
        <v>603</v>
      </c>
      <c r="M1000" s="190"/>
      <c r="P1000" s="1">
        <v>300</v>
      </c>
      <c r="Q1000" s="2" t="s">
        <v>4285</v>
      </c>
    </row>
    <row r="1001" spans="1:17" s="2" customFormat="1" ht="27.75" customHeight="1">
      <c r="A1001" s="199">
        <v>998</v>
      </c>
      <c r="B1001" s="310" t="s">
        <v>3664</v>
      </c>
      <c r="C1001" s="310" t="s">
        <v>3665</v>
      </c>
      <c r="D1001" s="311" t="s">
        <v>900</v>
      </c>
      <c r="E1001" s="311" t="s">
        <v>3666</v>
      </c>
      <c r="F1001" s="523"/>
      <c r="G1001" s="524">
        <v>1700000</v>
      </c>
      <c r="H1001" s="312">
        <v>1724326.5</v>
      </c>
      <c r="I1001" s="1" t="s">
        <v>352</v>
      </c>
      <c r="J1001" s="1" t="s">
        <v>3477</v>
      </c>
      <c r="M1001" s="190"/>
      <c r="P1001" s="1"/>
      <c r="Q1001" s="2" t="s">
        <v>1345</v>
      </c>
    </row>
    <row r="1002" spans="1:17" s="2" customFormat="1" ht="27.75" customHeight="1">
      <c r="A1002" s="199">
        <v>999</v>
      </c>
      <c r="B1002" s="310" t="s">
        <v>3664</v>
      </c>
      <c r="C1002" s="310" t="s">
        <v>3667</v>
      </c>
      <c r="D1002" s="311" t="s">
        <v>900</v>
      </c>
      <c r="E1002" s="311" t="s">
        <v>3668</v>
      </c>
      <c r="F1002" s="525">
        <v>1700000</v>
      </c>
      <c r="G1002" s="488"/>
      <c r="H1002" s="312">
        <v>24326.5</v>
      </c>
      <c r="I1002" s="1" t="s">
        <v>352</v>
      </c>
      <c r="J1002" s="1" t="s">
        <v>3252</v>
      </c>
      <c r="M1002" s="190"/>
      <c r="P1002" s="1"/>
      <c r="Q1002" t="s">
        <v>1345</v>
      </c>
    </row>
    <row r="1003" spans="1:17" s="2" customFormat="1" ht="27.75" customHeight="1">
      <c r="A1003" s="199">
        <v>1000</v>
      </c>
      <c r="B1003" s="310" t="s">
        <v>3669</v>
      </c>
      <c r="C1003" s="310" t="s">
        <v>3670</v>
      </c>
      <c r="D1003" s="311" t="s">
        <v>900</v>
      </c>
      <c r="E1003" s="311" t="s">
        <v>3666</v>
      </c>
      <c r="F1003" s="523"/>
      <c r="G1003" s="525">
        <v>1700000</v>
      </c>
      <c r="H1003" s="312">
        <v>1724326.5</v>
      </c>
      <c r="I1003" s="1" t="s">
        <v>352</v>
      </c>
      <c r="J1003" s="1" t="s">
        <v>3477</v>
      </c>
      <c r="M1003" s="190"/>
      <c r="P1003" s="1"/>
      <c r="Q1003" s="2" t="s">
        <v>1345</v>
      </c>
    </row>
    <row r="1004" spans="1:17" s="2" customFormat="1" ht="27.75" customHeight="1">
      <c r="A1004" s="199">
        <v>1001</v>
      </c>
      <c r="B1004" s="310" t="s">
        <v>3669</v>
      </c>
      <c r="C1004" s="310" t="s">
        <v>3671</v>
      </c>
      <c r="D1004" s="311" t="s">
        <v>900</v>
      </c>
      <c r="E1004" s="311" t="s">
        <v>3668</v>
      </c>
      <c r="F1004" s="525">
        <v>1700000</v>
      </c>
      <c r="G1004" s="488"/>
      <c r="H1004" s="312">
        <v>24326.5</v>
      </c>
      <c r="I1004" s="1" t="s">
        <v>352</v>
      </c>
      <c r="J1004" s="1" t="s">
        <v>3252</v>
      </c>
      <c r="M1004" s="190"/>
      <c r="P1004" s="1"/>
      <c r="Q1004" t="s">
        <v>1345</v>
      </c>
    </row>
    <row r="1005" spans="1:17" s="2" customFormat="1" ht="27.75" customHeight="1">
      <c r="A1005" s="199">
        <v>1002</v>
      </c>
      <c r="B1005" s="310" t="s">
        <v>3672</v>
      </c>
      <c r="C1005" s="310" t="s">
        <v>3673</v>
      </c>
      <c r="D1005" s="311" t="s">
        <v>900</v>
      </c>
      <c r="E1005" s="311" t="s">
        <v>3674</v>
      </c>
      <c r="F1005" s="523"/>
      <c r="G1005" s="525">
        <v>126000</v>
      </c>
      <c r="H1005" s="312">
        <v>150326.5</v>
      </c>
      <c r="I1005" s="1" t="s">
        <v>351</v>
      </c>
      <c r="J1005" s="1" t="s">
        <v>3477</v>
      </c>
      <c r="M1005" s="190"/>
      <c r="P1005" s="1"/>
      <c r="Q1005" s="2" t="s">
        <v>1345</v>
      </c>
    </row>
    <row r="1006" spans="1:17" s="2" customFormat="1" ht="27.75" customHeight="1">
      <c r="A1006" s="199">
        <v>1003</v>
      </c>
      <c r="B1006" s="310" t="s">
        <v>3672</v>
      </c>
      <c r="C1006" s="310" t="s">
        <v>3675</v>
      </c>
      <c r="D1006" s="311" t="s">
        <v>900</v>
      </c>
      <c r="E1006" s="311" t="s">
        <v>3676</v>
      </c>
      <c r="F1006" s="523"/>
      <c r="G1006" s="525">
        <v>266500</v>
      </c>
      <c r="H1006" s="312">
        <v>416826.5</v>
      </c>
      <c r="I1006" s="1" t="s">
        <v>349</v>
      </c>
      <c r="J1006" s="1" t="s">
        <v>3477</v>
      </c>
      <c r="M1006" s="190"/>
      <c r="P1006" s="1"/>
      <c r="Q1006" s="2" t="s">
        <v>1345</v>
      </c>
    </row>
    <row r="1007" spans="1:17" s="2" customFormat="1" ht="27.75" customHeight="1">
      <c r="A1007" s="199">
        <v>1004</v>
      </c>
      <c r="B1007" s="23" t="s">
        <v>3677</v>
      </c>
      <c r="C1007" s="23" t="s">
        <v>3678</v>
      </c>
      <c r="D1007" s="24" t="s">
        <v>900</v>
      </c>
      <c r="E1007" s="24" t="s">
        <v>3679</v>
      </c>
      <c r="F1007" s="462"/>
      <c r="G1007" s="481">
        <v>1700000</v>
      </c>
      <c r="H1007" s="157">
        <v>2116826.5</v>
      </c>
      <c r="I1007" s="1" t="s">
        <v>352</v>
      </c>
      <c r="J1007" s="1" t="s">
        <v>3477</v>
      </c>
      <c r="M1007" s="190"/>
      <c r="P1007" s="1"/>
      <c r="Q1007" s="2" t="s">
        <v>1345</v>
      </c>
    </row>
    <row r="1008" spans="1:17" s="2" customFormat="1" ht="27.75" customHeight="1">
      <c r="A1008" s="199">
        <v>1005</v>
      </c>
      <c r="B1008" s="313" t="s">
        <v>3680</v>
      </c>
      <c r="C1008" s="313" t="s">
        <v>3681</v>
      </c>
      <c r="D1008" s="314" t="s">
        <v>900</v>
      </c>
      <c r="E1008" s="314" t="s">
        <v>3682</v>
      </c>
      <c r="F1008" s="526">
        <v>150000</v>
      </c>
      <c r="G1008" s="494"/>
      <c r="H1008" s="315">
        <v>1966826.5</v>
      </c>
      <c r="I1008" s="317" t="s">
        <v>3338</v>
      </c>
      <c r="J1008" s="317" t="s">
        <v>3638</v>
      </c>
      <c r="M1008" s="190"/>
      <c r="P1008" s="317"/>
      <c r="Q1008" t="s">
        <v>4266</v>
      </c>
    </row>
    <row r="1009" spans="1:17" s="2" customFormat="1" ht="27.75" customHeight="1">
      <c r="A1009" s="199">
        <v>1006</v>
      </c>
      <c r="B1009" s="313" t="s">
        <v>3686</v>
      </c>
      <c r="C1009" s="313" t="s">
        <v>3687</v>
      </c>
      <c r="D1009" s="314" t="s">
        <v>900</v>
      </c>
      <c r="E1009" s="314" t="s">
        <v>3688</v>
      </c>
      <c r="F1009" s="527">
        <v>600000</v>
      </c>
      <c r="G1009" s="445"/>
      <c r="H1009" s="316">
        <v>1366826.5</v>
      </c>
      <c r="I1009" s="1" t="s">
        <v>411</v>
      </c>
      <c r="J1009" s="1" t="s">
        <v>822</v>
      </c>
      <c r="K1009" s="1"/>
      <c r="L1009" s="1"/>
      <c r="M1009" s="158"/>
      <c r="N1009" s="1"/>
      <c r="O1009" s="1"/>
      <c r="P1009" s="1" t="s">
        <v>3842</v>
      </c>
      <c r="Q1009" s="2" t="s">
        <v>4270</v>
      </c>
    </row>
    <row r="1010" spans="1:17" s="2" customFormat="1" ht="27.75" customHeight="1">
      <c r="A1010" s="199">
        <v>1007</v>
      </c>
      <c r="B1010" s="313" t="s">
        <v>3686</v>
      </c>
      <c r="C1010" s="313" t="s">
        <v>3689</v>
      </c>
      <c r="D1010" s="314" t="s">
        <v>900</v>
      </c>
      <c r="E1010" s="314" t="s">
        <v>3690</v>
      </c>
      <c r="F1010" s="527">
        <v>29700</v>
      </c>
      <c r="G1010" s="445"/>
      <c r="H1010" s="316">
        <v>1337126.5</v>
      </c>
      <c r="I1010" s="1" t="s">
        <v>149</v>
      </c>
      <c r="J1010" s="1" t="s">
        <v>603</v>
      </c>
      <c r="K1010" s="1"/>
      <c r="L1010" s="1"/>
      <c r="M1010" s="158"/>
      <c r="N1010" s="1"/>
      <c r="O1010" s="1"/>
      <c r="P1010" s="1">
        <v>300</v>
      </c>
      <c r="Q1010" s="2" t="s">
        <v>4285</v>
      </c>
    </row>
    <row r="1011" spans="1:17" s="2" customFormat="1" ht="27.75" customHeight="1">
      <c r="A1011" s="199">
        <v>1008</v>
      </c>
      <c r="B1011" s="313" t="s">
        <v>3686</v>
      </c>
      <c r="C1011" s="313" t="s">
        <v>3691</v>
      </c>
      <c r="D1011" s="314" t="s">
        <v>900</v>
      </c>
      <c r="E1011" s="314" t="s">
        <v>3692</v>
      </c>
      <c r="F1011" s="527">
        <v>29700</v>
      </c>
      <c r="G1011" s="445"/>
      <c r="H1011" s="316">
        <v>1307426.5</v>
      </c>
      <c r="I1011" s="1" t="s">
        <v>715</v>
      </c>
      <c r="J1011" s="1" t="s">
        <v>603</v>
      </c>
      <c r="K1011" s="1"/>
      <c r="L1011" s="1"/>
      <c r="M1011" s="158"/>
      <c r="N1011" s="1"/>
      <c r="O1011" s="1"/>
      <c r="P1011" s="1">
        <v>300</v>
      </c>
      <c r="Q1011" s="2" t="s">
        <v>4285</v>
      </c>
    </row>
    <row r="1012" spans="1:17" ht="27.75" customHeight="1">
      <c r="A1012" s="646">
        <v>1009</v>
      </c>
      <c r="B1012" s="635" t="s">
        <v>3686</v>
      </c>
      <c r="C1012" s="635" t="s">
        <v>3693</v>
      </c>
      <c r="D1012" s="636" t="s">
        <v>900</v>
      </c>
      <c r="E1012" s="636" t="s">
        <v>3694</v>
      </c>
      <c r="F1012" s="647">
        <v>29700</v>
      </c>
      <c r="G1012" s="641"/>
      <c r="H1012" s="642">
        <v>1277726.5</v>
      </c>
      <c r="I1012" s="615" t="s">
        <v>3253</v>
      </c>
      <c r="J1012" s="615" t="s">
        <v>603</v>
      </c>
      <c r="K1012" s="615"/>
      <c r="L1012" s="615"/>
      <c r="M1012" s="645"/>
      <c r="N1012" s="615"/>
      <c r="O1012" s="615"/>
      <c r="P1012" s="615">
        <v>300</v>
      </c>
      <c r="Q1012" s="612" t="s">
        <v>4286</v>
      </c>
    </row>
    <row r="1013" spans="1:17" s="2" customFormat="1" ht="27.75" customHeight="1">
      <c r="A1013" s="199">
        <v>1010</v>
      </c>
      <c r="B1013" s="313" t="s">
        <v>3686</v>
      </c>
      <c r="C1013" s="313" t="s">
        <v>3695</v>
      </c>
      <c r="D1013" s="314" t="s">
        <v>900</v>
      </c>
      <c r="E1013" s="314" t="s">
        <v>3696</v>
      </c>
      <c r="F1013" s="527">
        <v>1000000</v>
      </c>
      <c r="G1013" s="445"/>
      <c r="H1013" s="316">
        <v>277726.5</v>
      </c>
      <c r="I1013" s="1" t="s">
        <v>137</v>
      </c>
      <c r="J1013" s="1" t="s">
        <v>3719</v>
      </c>
      <c r="K1013" s="1"/>
      <c r="L1013" s="1"/>
      <c r="M1013" s="158"/>
      <c r="N1013" s="1"/>
      <c r="O1013" s="1"/>
      <c r="P1013" s="1" t="s">
        <v>3900</v>
      </c>
      <c r="Q1013" t="s">
        <v>4266</v>
      </c>
    </row>
    <row r="1014" spans="1:17" s="2" customFormat="1" ht="27.75" customHeight="1">
      <c r="A1014" s="199">
        <v>1011</v>
      </c>
      <c r="B1014" s="23" t="s">
        <v>3698</v>
      </c>
      <c r="C1014" s="23" t="s">
        <v>3699</v>
      </c>
      <c r="D1014" s="24" t="s">
        <v>900</v>
      </c>
      <c r="E1014" s="24" t="s">
        <v>3700</v>
      </c>
      <c r="F1014" s="462"/>
      <c r="G1014" s="464">
        <v>2450000</v>
      </c>
      <c r="H1014" s="157">
        <v>2727726.5</v>
      </c>
      <c r="I1014" s="1" t="s">
        <v>3705</v>
      </c>
      <c r="J1014" s="1" t="s">
        <v>1342</v>
      </c>
      <c r="K1014" s="1"/>
      <c r="L1014" s="1"/>
      <c r="M1014" s="158"/>
      <c r="N1014" s="1"/>
      <c r="O1014" s="1"/>
      <c r="P1014" s="1"/>
      <c r="Q1014" s="2" t="s">
        <v>1345</v>
      </c>
    </row>
    <row r="1015" spans="1:17" s="2" customFormat="1" ht="27.75" customHeight="1">
      <c r="A1015" s="199">
        <v>1012</v>
      </c>
      <c r="B1015" s="23" t="s">
        <v>3698</v>
      </c>
      <c r="C1015" s="23" t="s">
        <v>3701</v>
      </c>
      <c r="D1015" s="24" t="s">
        <v>900</v>
      </c>
      <c r="E1015" s="24" t="s">
        <v>3702</v>
      </c>
      <c r="F1015" s="481">
        <v>298600</v>
      </c>
      <c r="G1015" s="488"/>
      <c r="H1015" s="157">
        <v>2429126.5</v>
      </c>
      <c r="I1015" s="1" t="s">
        <v>137</v>
      </c>
      <c r="J1015" s="1" t="s">
        <v>3719</v>
      </c>
      <c r="K1015" s="1"/>
      <c r="L1015" s="1"/>
      <c r="M1015" s="158"/>
      <c r="N1015" s="1"/>
      <c r="O1015" s="1"/>
      <c r="P1015" s="1" t="s">
        <v>3901</v>
      </c>
      <c r="Q1015" t="s">
        <v>4266</v>
      </c>
    </row>
    <row r="1016" spans="1:17" s="2" customFormat="1" ht="27.75" customHeight="1">
      <c r="A1016" s="199">
        <v>1013</v>
      </c>
      <c r="B1016" s="23" t="s">
        <v>3698</v>
      </c>
      <c r="C1016" s="23" t="s">
        <v>3703</v>
      </c>
      <c r="D1016" s="24" t="s">
        <v>900</v>
      </c>
      <c r="E1016" s="24" t="s">
        <v>3704</v>
      </c>
      <c r="F1016" s="462"/>
      <c r="G1016" s="481">
        <v>838000</v>
      </c>
      <c r="H1016" s="157">
        <v>3267126.5</v>
      </c>
      <c r="I1016" s="1" t="s">
        <v>351</v>
      </c>
      <c r="J1016" s="1" t="s">
        <v>1342</v>
      </c>
      <c r="K1016" s="1"/>
      <c r="L1016" s="1"/>
      <c r="M1016" s="158"/>
      <c r="N1016" s="1"/>
      <c r="O1016" s="1"/>
      <c r="P1016" s="1"/>
      <c r="Q1016" s="2" t="s">
        <v>1345</v>
      </c>
    </row>
    <row r="1017" spans="1:17" s="2" customFormat="1" ht="27.75" customHeight="1">
      <c r="A1017" s="199">
        <v>1014</v>
      </c>
      <c r="B1017" s="318" t="s">
        <v>3706</v>
      </c>
      <c r="C1017" s="318" t="s">
        <v>3707</v>
      </c>
      <c r="D1017" s="319" t="s">
        <v>900</v>
      </c>
      <c r="E1017" s="319" t="s">
        <v>3708</v>
      </c>
      <c r="F1017" s="528">
        <v>400000</v>
      </c>
      <c r="G1017" s="445"/>
      <c r="H1017" s="320">
        <v>2867126.5</v>
      </c>
      <c r="I1017" s="1" t="s">
        <v>374</v>
      </c>
      <c r="J1017" s="1" t="s">
        <v>3713</v>
      </c>
      <c r="K1017" s="1"/>
      <c r="L1017" s="1"/>
      <c r="M1017" s="158"/>
      <c r="N1017" s="1"/>
      <c r="O1017" s="1"/>
      <c r="P1017" s="1"/>
      <c r="Q1017" t="s">
        <v>4266</v>
      </c>
    </row>
    <row r="1018" spans="1:17" s="2" customFormat="1" ht="27.75" customHeight="1">
      <c r="A1018" s="199">
        <v>1015</v>
      </c>
      <c r="B1018" s="318" t="s">
        <v>3706</v>
      </c>
      <c r="C1018" s="318" t="s">
        <v>3709</v>
      </c>
      <c r="D1018" s="319" t="s">
        <v>900</v>
      </c>
      <c r="E1018" s="319" t="s">
        <v>3710</v>
      </c>
      <c r="F1018" s="528">
        <v>206000</v>
      </c>
      <c r="G1018" s="445"/>
      <c r="H1018" s="320">
        <v>2661126.5</v>
      </c>
      <c r="I1018" s="1" t="s">
        <v>3617</v>
      </c>
      <c r="J1018" s="1" t="s">
        <v>3713</v>
      </c>
      <c r="K1018" s="1"/>
      <c r="L1018" s="1"/>
      <c r="M1018" s="158"/>
      <c r="N1018" s="1"/>
      <c r="O1018" s="1"/>
      <c r="P1018" s="1"/>
      <c r="Q1018" t="s">
        <v>4266</v>
      </c>
    </row>
    <row r="1019" spans="1:17" s="2" customFormat="1" ht="27.75" customHeight="1">
      <c r="A1019" s="199">
        <v>1016</v>
      </c>
      <c r="B1019" s="318" t="s">
        <v>3706</v>
      </c>
      <c r="C1019" s="318" t="s">
        <v>3711</v>
      </c>
      <c r="D1019" s="319" t="s">
        <v>900</v>
      </c>
      <c r="E1019" s="319" t="s">
        <v>3712</v>
      </c>
      <c r="F1019" s="528">
        <v>99999</v>
      </c>
      <c r="G1019" s="445"/>
      <c r="H1019" s="320">
        <v>2561127.5</v>
      </c>
      <c r="I1019" s="1" t="s">
        <v>358</v>
      </c>
      <c r="J1019" s="1" t="s">
        <v>869</v>
      </c>
      <c r="K1019" s="1"/>
      <c r="L1019" s="1"/>
      <c r="M1019" s="158"/>
      <c r="N1019" s="1"/>
      <c r="O1019" s="1"/>
      <c r="P1019" s="1"/>
      <c r="Q1019" t="s">
        <v>4266</v>
      </c>
    </row>
    <row r="1020" spans="1:17" s="2" customFormat="1" ht="27.75" customHeight="1">
      <c r="A1020" s="199">
        <v>1017</v>
      </c>
      <c r="B1020" s="321" t="s">
        <v>3714</v>
      </c>
      <c r="C1020" s="321" t="s">
        <v>3715</v>
      </c>
      <c r="D1020" s="322" t="s">
        <v>900</v>
      </c>
      <c r="E1020" s="322" t="s">
        <v>3716</v>
      </c>
      <c r="F1020" s="529">
        <v>175000</v>
      </c>
      <c r="G1020" s="445"/>
      <c r="H1020" s="323">
        <v>2386127.5</v>
      </c>
      <c r="I1020" s="1" t="s">
        <v>3717</v>
      </c>
      <c r="J1020" s="1" t="s">
        <v>3718</v>
      </c>
      <c r="K1020" s="1"/>
      <c r="L1020" s="1"/>
      <c r="M1020" s="158"/>
      <c r="N1020" s="1"/>
      <c r="O1020" s="1"/>
      <c r="P1020" s="1" t="s">
        <v>3882</v>
      </c>
      <c r="Q1020" t="s">
        <v>4266</v>
      </c>
    </row>
    <row r="1021" spans="1:17" s="2" customFormat="1" ht="27.75" customHeight="1">
      <c r="A1021" s="199">
        <v>1018</v>
      </c>
      <c r="B1021" s="318" t="s">
        <v>3720</v>
      </c>
      <c r="C1021" s="318" t="s">
        <v>3721</v>
      </c>
      <c r="D1021" s="319" t="s">
        <v>900</v>
      </c>
      <c r="E1021" s="319" t="s">
        <v>3722</v>
      </c>
      <c r="F1021" s="528">
        <v>300000</v>
      </c>
      <c r="G1021" s="445"/>
      <c r="H1021" s="320">
        <v>2086127.5</v>
      </c>
      <c r="I1021" s="1" t="s">
        <v>899</v>
      </c>
      <c r="J1021" s="1" t="s">
        <v>3725</v>
      </c>
      <c r="K1021" s="1"/>
      <c r="L1021" s="1"/>
      <c r="M1021" s="158"/>
      <c r="N1021" s="1"/>
      <c r="O1021" s="1"/>
      <c r="P1021" s="1" t="s">
        <v>3848</v>
      </c>
      <c r="Q1021" t="s">
        <v>4266</v>
      </c>
    </row>
    <row r="1022" spans="1:17" s="2" customFormat="1" ht="27.75" customHeight="1">
      <c r="A1022" s="199">
        <v>1019</v>
      </c>
      <c r="B1022" s="318" t="s">
        <v>3720</v>
      </c>
      <c r="C1022" s="318" t="s">
        <v>3723</v>
      </c>
      <c r="D1022" s="319" t="s">
        <v>900</v>
      </c>
      <c r="E1022" s="319" t="s">
        <v>3724</v>
      </c>
      <c r="F1022" s="528">
        <v>200000</v>
      </c>
      <c r="G1022" s="445"/>
      <c r="H1022" s="320">
        <v>1886127.5</v>
      </c>
      <c r="I1022" s="1" t="s">
        <v>86</v>
      </c>
      <c r="J1022" s="1" t="s">
        <v>794</v>
      </c>
      <c r="K1022" s="1"/>
      <c r="L1022" s="1"/>
      <c r="M1022" s="158"/>
      <c r="N1022" s="1"/>
      <c r="O1022" s="1"/>
      <c r="P1022" s="1"/>
      <c r="Q1022" s="2" t="s">
        <v>86</v>
      </c>
    </row>
    <row r="1023" spans="1:17" s="186" customFormat="1" ht="27.75" customHeight="1">
      <c r="A1023" s="199">
        <v>1020</v>
      </c>
      <c r="B1023" s="324" t="s">
        <v>3726</v>
      </c>
      <c r="C1023" s="324" t="s">
        <v>3727</v>
      </c>
      <c r="D1023" s="325" t="s">
        <v>900</v>
      </c>
      <c r="E1023" s="325" t="s">
        <v>3728</v>
      </c>
      <c r="F1023" s="530">
        <v>75000</v>
      </c>
      <c r="G1023" s="484"/>
      <c r="H1023" s="327">
        <v>1811127.5</v>
      </c>
      <c r="I1023" s="185"/>
      <c r="J1023" s="185"/>
      <c r="M1023" s="298"/>
      <c r="Q1023" s="2" t="s">
        <v>4266</v>
      </c>
    </row>
    <row r="1024" spans="1:17" s="186" customFormat="1" ht="27.75" customHeight="1">
      <c r="A1024" s="199">
        <v>1021</v>
      </c>
      <c r="B1024" s="324" t="s">
        <v>3726</v>
      </c>
      <c r="C1024" s="324" t="s">
        <v>3729</v>
      </c>
      <c r="D1024" s="325" t="s">
        <v>900</v>
      </c>
      <c r="E1024" s="325" t="s">
        <v>3728</v>
      </c>
      <c r="F1024" s="531"/>
      <c r="G1024" s="532">
        <v>75000</v>
      </c>
      <c r="H1024" s="326">
        <v>1886127.5</v>
      </c>
      <c r="I1024" s="185"/>
      <c r="J1024" s="185"/>
      <c r="M1024" s="298"/>
      <c r="Q1024" s="2" t="s">
        <v>4266</v>
      </c>
    </row>
    <row r="1025" spans="1:17" s="186" customFormat="1" ht="27.75" customHeight="1">
      <c r="A1025" s="199">
        <v>1022</v>
      </c>
      <c r="B1025" s="324" t="s">
        <v>3726</v>
      </c>
      <c r="C1025" s="324" t="s">
        <v>3730</v>
      </c>
      <c r="D1025" s="325" t="s">
        <v>900</v>
      </c>
      <c r="E1025" s="325" t="s">
        <v>3731</v>
      </c>
      <c r="F1025" s="533">
        <v>75000</v>
      </c>
      <c r="G1025" s="534"/>
      <c r="H1025" s="326">
        <v>1811127.5</v>
      </c>
      <c r="I1025" s="185"/>
      <c r="J1025" s="185"/>
      <c r="M1025" s="298"/>
      <c r="Q1025" s="2" t="s">
        <v>4266</v>
      </c>
    </row>
    <row r="1026" spans="1:17" s="186" customFormat="1" ht="27.75" customHeight="1">
      <c r="A1026" s="199">
        <v>1023</v>
      </c>
      <c r="B1026" s="324" t="s">
        <v>3726</v>
      </c>
      <c r="C1026" s="324" t="s">
        <v>3732</v>
      </c>
      <c r="D1026" s="325" t="s">
        <v>900</v>
      </c>
      <c r="E1026" s="325" t="s">
        <v>3731</v>
      </c>
      <c r="F1026" s="531"/>
      <c r="G1026" s="533">
        <v>75000</v>
      </c>
      <c r="H1026" s="326">
        <v>1886127.5</v>
      </c>
      <c r="I1026" s="185"/>
      <c r="J1026" s="185"/>
      <c r="M1026" s="298"/>
      <c r="Q1026" s="2" t="s">
        <v>4266</v>
      </c>
    </row>
    <row r="1027" spans="1:17" s="186" customFormat="1" ht="27.75" customHeight="1">
      <c r="A1027" s="199">
        <v>1024</v>
      </c>
      <c r="B1027" s="324" t="s">
        <v>3726</v>
      </c>
      <c r="C1027" s="324" t="s">
        <v>3733</v>
      </c>
      <c r="D1027" s="325" t="s">
        <v>900</v>
      </c>
      <c r="E1027" s="325" t="s">
        <v>3734</v>
      </c>
      <c r="F1027" s="533">
        <v>75000</v>
      </c>
      <c r="G1027" s="534"/>
      <c r="H1027" s="326">
        <v>1811127.5</v>
      </c>
      <c r="I1027" s="185"/>
      <c r="J1027" s="185"/>
      <c r="M1027" s="298"/>
      <c r="Q1027" s="2" t="s">
        <v>4266</v>
      </c>
    </row>
    <row r="1028" spans="1:17" s="186" customFormat="1" ht="27.75" customHeight="1">
      <c r="A1028" s="199">
        <v>1025</v>
      </c>
      <c r="B1028" s="324" t="s">
        <v>3726</v>
      </c>
      <c r="C1028" s="324" t="s">
        <v>3735</v>
      </c>
      <c r="D1028" s="325" t="s">
        <v>900</v>
      </c>
      <c r="E1028" s="325" t="s">
        <v>3734</v>
      </c>
      <c r="F1028" s="531"/>
      <c r="G1028" s="533">
        <v>75000</v>
      </c>
      <c r="H1028" s="326">
        <v>1886127.5</v>
      </c>
      <c r="I1028" s="185"/>
      <c r="J1028" s="185"/>
      <c r="M1028" s="298"/>
      <c r="Q1028" s="2" t="s">
        <v>4266</v>
      </c>
    </row>
    <row r="1029" spans="1:17" s="186" customFormat="1" ht="27.75" customHeight="1">
      <c r="A1029" s="199">
        <v>1026</v>
      </c>
      <c r="B1029" s="324" t="s">
        <v>3726</v>
      </c>
      <c r="C1029" s="324" t="s">
        <v>3736</v>
      </c>
      <c r="D1029" s="325" t="s">
        <v>900</v>
      </c>
      <c r="E1029" s="325" t="s">
        <v>3737</v>
      </c>
      <c r="F1029" s="533">
        <v>100000</v>
      </c>
      <c r="G1029" s="534"/>
      <c r="H1029" s="326">
        <v>1786127.5</v>
      </c>
      <c r="I1029" s="185"/>
      <c r="J1029" s="185"/>
      <c r="M1029" s="298"/>
      <c r="Q1029" s="2" t="s">
        <v>4266</v>
      </c>
    </row>
    <row r="1030" spans="1:17" s="186" customFormat="1" ht="27.75" customHeight="1">
      <c r="A1030" s="199">
        <v>1027</v>
      </c>
      <c r="B1030" s="324" t="s">
        <v>3726</v>
      </c>
      <c r="C1030" s="324" t="s">
        <v>3738</v>
      </c>
      <c r="D1030" s="325" t="s">
        <v>900</v>
      </c>
      <c r="E1030" s="325" t="s">
        <v>3737</v>
      </c>
      <c r="F1030" s="531"/>
      <c r="G1030" s="535">
        <v>100000</v>
      </c>
      <c r="H1030" s="326">
        <v>1886127.5</v>
      </c>
      <c r="I1030" s="185"/>
      <c r="J1030" s="185"/>
      <c r="M1030" s="298"/>
      <c r="Q1030" s="2" t="s">
        <v>4266</v>
      </c>
    </row>
    <row r="1031" spans="1:17" s="2" customFormat="1" ht="27.75" customHeight="1">
      <c r="A1031" s="199">
        <v>1028</v>
      </c>
      <c r="B1031" s="318" t="s">
        <v>3726</v>
      </c>
      <c r="C1031" s="318" t="s">
        <v>3739</v>
      </c>
      <c r="D1031" s="319" t="s">
        <v>900</v>
      </c>
      <c r="E1031" s="319" t="s">
        <v>3740</v>
      </c>
      <c r="F1031" s="528">
        <v>310000</v>
      </c>
      <c r="G1031" s="445"/>
      <c r="H1031" s="320">
        <v>1576127.5</v>
      </c>
      <c r="I1031" s="1" t="s">
        <v>3748</v>
      </c>
      <c r="J1031" s="1" t="s">
        <v>3761</v>
      </c>
      <c r="M1031" s="190"/>
      <c r="Q1031" t="s">
        <v>4266</v>
      </c>
    </row>
    <row r="1032" spans="1:17" ht="27.75" customHeight="1">
      <c r="A1032" s="646">
        <v>1029</v>
      </c>
      <c r="B1032" s="635" t="s">
        <v>3741</v>
      </c>
      <c r="C1032" s="635" t="s">
        <v>3742</v>
      </c>
      <c r="D1032" s="636" t="s">
        <v>900</v>
      </c>
      <c r="E1032" s="636" t="s">
        <v>3743</v>
      </c>
      <c r="F1032" s="647">
        <v>31400</v>
      </c>
      <c r="G1032" s="641"/>
      <c r="H1032" s="642">
        <v>1544727.5</v>
      </c>
      <c r="I1032" s="615" t="s">
        <v>3479</v>
      </c>
      <c r="J1032" s="615" t="s">
        <v>3749</v>
      </c>
      <c r="O1032" s="612" t="s">
        <v>4261</v>
      </c>
      <c r="Q1032" s="612" t="s">
        <v>3749</v>
      </c>
    </row>
    <row r="1033" spans="1:17" ht="27.75" customHeight="1">
      <c r="A1033" s="646">
        <v>1030</v>
      </c>
      <c r="B1033" s="635" t="s">
        <v>3741</v>
      </c>
      <c r="C1033" s="635" t="s">
        <v>3744</v>
      </c>
      <c r="D1033" s="636" t="s">
        <v>900</v>
      </c>
      <c r="E1033" s="636" t="s">
        <v>3745</v>
      </c>
      <c r="F1033" s="647">
        <v>13680</v>
      </c>
      <c r="G1033" s="641"/>
      <c r="H1033" s="642">
        <v>1531047.5</v>
      </c>
      <c r="I1033" s="615" t="s">
        <v>3479</v>
      </c>
      <c r="J1033" s="615" t="s">
        <v>3749</v>
      </c>
      <c r="O1033" s="612" t="s">
        <v>4261</v>
      </c>
      <c r="Q1033" s="612" t="s">
        <v>3749</v>
      </c>
    </row>
    <row r="1034" spans="1:17" ht="27.75" customHeight="1">
      <c r="A1034" s="646">
        <v>1031</v>
      </c>
      <c r="B1034" s="635" t="s">
        <v>3741</v>
      </c>
      <c r="C1034" s="635" t="s">
        <v>3746</v>
      </c>
      <c r="D1034" s="636" t="s">
        <v>900</v>
      </c>
      <c r="E1034" s="636" t="s">
        <v>3747</v>
      </c>
      <c r="F1034" s="647">
        <v>8653</v>
      </c>
      <c r="G1034" s="641"/>
      <c r="H1034" s="642">
        <v>1522394.5</v>
      </c>
      <c r="I1034" s="615" t="s">
        <v>3479</v>
      </c>
      <c r="J1034" s="615" t="s">
        <v>3749</v>
      </c>
      <c r="O1034" s="612" t="s">
        <v>4261</v>
      </c>
      <c r="Q1034" s="612" t="s">
        <v>3749</v>
      </c>
    </row>
    <row r="1035" spans="1:17" s="2" customFormat="1" ht="27.75" customHeight="1">
      <c r="A1035" s="199">
        <v>1032</v>
      </c>
      <c r="B1035" s="318" t="s">
        <v>3750</v>
      </c>
      <c r="C1035" s="318" t="s">
        <v>3751</v>
      </c>
      <c r="D1035" s="319" t="s">
        <v>900</v>
      </c>
      <c r="E1035" s="319" t="s">
        <v>3752</v>
      </c>
      <c r="F1035" s="528">
        <v>299000</v>
      </c>
      <c r="G1035" s="445"/>
      <c r="H1035" s="320">
        <v>1223394.5</v>
      </c>
      <c r="I1035" s="1" t="s">
        <v>599</v>
      </c>
      <c r="J1035" s="1" t="s">
        <v>3762</v>
      </c>
      <c r="M1035" s="190"/>
      <c r="P1035" s="2" t="s">
        <v>3760</v>
      </c>
      <c r="Q1035" t="s">
        <v>4266</v>
      </c>
    </row>
    <row r="1036" spans="1:17" s="2" customFormat="1" ht="27.75" customHeight="1">
      <c r="A1036" s="199">
        <v>1033</v>
      </c>
      <c r="B1036" s="318" t="s">
        <v>3753</v>
      </c>
      <c r="C1036" s="318" t="s">
        <v>3754</v>
      </c>
      <c r="D1036" s="319" t="s">
        <v>900</v>
      </c>
      <c r="E1036" s="319" t="s">
        <v>3755</v>
      </c>
      <c r="F1036" s="528">
        <v>29700</v>
      </c>
      <c r="G1036" s="445"/>
      <c r="H1036" s="320">
        <v>1193694.5</v>
      </c>
      <c r="I1036" s="1" t="s">
        <v>149</v>
      </c>
      <c r="J1036" s="1" t="s">
        <v>603</v>
      </c>
      <c r="M1036" s="190"/>
      <c r="P1036" s="2">
        <v>300</v>
      </c>
      <c r="Q1036" s="2" t="s">
        <v>4285</v>
      </c>
    </row>
    <row r="1037" spans="1:17" ht="27.75" customHeight="1">
      <c r="A1037" s="646">
        <v>1034</v>
      </c>
      <c r="B1037" s="635" t="s">
        <v>3753</v>
      </c>
      <c r="C1037" s="635" t="s">
        <v>3756</v>
      </c>
      <c r="D1037" s="636" t="s">
        <v>900</v>
      </c>
      <c r="E1037" s="636" t="s">
        <v>3757</v>
      </c>
      <c r="F1037" s="647">
        <v>29700</v>
      </c>
      <c r="G1037" s="641"/>
      <c r="H1037" s="642">
        <v>1163994.5</v>
      </c>
      <c r="I1037" s="615" t="s">
        <v>3597</v>
      </c>
      <c r="J1037" s="615" t="s">
        <v>603</v>
      </c>
      <c r="P1037" s="612">
        <v>300</v>
      </c>
      <c r="Q1037" s="612" t="s">
        <v>4286</v>
      </c>
    </row>
    <row r="1038" spans="1:17" s="186" customFormat="1" ht="27.75" customHeight="1">
      <c r="A1038" s="199">
        <v>1035</v>
      </c>
      <c r="B1038" s="324" t="s">
        <v>3753</v>
      </c>
      <c r="C1038" s="324" t="s">
        <v>3758</v>
      </c>
      <c r="D1038" s="325" t="s">
        <v>900</v>
      </c>
      <c r="E1038" s="325" t="s">
        <v>3759</v>
      </c>
      <c r="F1038" s="530">
        <v>29700</v>
      </c>
      <c r="G1038" s="484"/>
      <c r="H1038" s="327">
        <v>1134294.5</v>
      </c>
      <c r="I1038" s="185" t="s">
        <v>715</v>
      </c>
      <c r="J1038" s="185" t="s">
        <v>603</v>
      </c>
      <c r="M1038" s="298"/>
      <c r="P1038" s="186">
        <v>300</v>
      </c>
      <c r="Q1038" s="2" t="s">
        <v>4285</v>
      </c>
    </row>
    <row r="1039" spans="1:17" s="2" customFormat="1" ht="27.75" customHeight="1">
      <c r="A1039" s="199">
        <v>1036</v>
      </c>
      <c r="B1039" s="328" t="s">
        <v>3763</v>
      </c>
      <c r="C1039" s="328" t="s">
        <v>3764</v>
      </c>
      <c r="D1039" s="329" t="s">
        <v>900</v>
      </c>
      <c r="E1039" s="329" t="s">
        <v>3765</v>
      </c>
      <c r="F1039" s="536">
        <v>500000</v>
      </c>
      <c r="G1039" s="445"/>
      <c r="H1039" s="330">
        <v>634294.5</v>
      </c>
      <c r="I1039" s="1" t="s">
        <v>3774</v>
      </c>
      <c r="J1039" s="1" t="s">
        <v>3775</v>
      </c>
      <c r="M1039" s="190"/>
      <c r="Q1039" t="s">
        <v>4266</v>
      </c>
    </row>
    <row r="1040" spans="1:17" s="2" customFormat="1" ht="27.75" customHeight="1">
      <c r="A1040" s="199">
        <v>1037</v>
      </c>
      <c r="B1040" s="328" t="s">
        <v>3766</v>
      </c>
      <c r="C1040" s="328" t="s">
        <v>3767</v>
      </c>
      <c r="D1040" s="329" t="s">
        <v>900</v>
      </c>
      <c r="E1040" s="329" t="s">
        <v>3768</v>
      </c>
      <c r="F1040" s="537"/>
      <c r="G1040" s="538">
        <v>3500000</v>
      </c>
      <c r="H1040" s="330">
        <v>4134294.5</v>
      </c>
      <c r="I1040" s="1" t="s">
        <v>870</v>
      </c>
      <c r="J1040" s="1" t="s">
        <v>822</v>
      </c>
      <c r="M1040" s="190"/>
      <c r="Q1040" s="2" t="s">
        <v>4307</v>
      </c>
    </row>
    <row r="1041" spans="1:17" s="2" customFormat="1" ht="27.75" customHeight="1">
      <c r="A1041" s="199">
        <v>1038</v>
      </c>
      <c r="B1041" s="328" t="s">
        <v>3766</v>
      </c>
      <c r="C1041" s="328" t="s">
        <v>3769</v>
      </c>
      <c r="D1041" s="329" t="s">
        <v>900</v>
      </c>
      <c r="E1041" s="329" t="s">
        <v>3770</v>
      </c>
      <c r="F1041" s="536">
        <v>710000</v>
      </c>
      <c r="G1041" s="445"/>
      <c r="H1041" s="330">
        <v>3424294.5</v>
      </c>
      <c r="I1041" s="1" t="s">
        <v>715</v>
      </c>
      <c r="J1041" s="1" t="s">
        <v>3778</v>
      </c>
      <c r="M1041" s="190"/>
      <c r="P1041" s="2" t="s">
        <v>3860</v>
      </c>
      <c r="Q1041" t="s">
        <v>4266</v>
      </c>
    </row>
    <row r="1042" spans="1:17" ht="27.75" customHeight="1">
      <c r="A1042" s="646">
        <v>1039</v>
      </c>
      <c r="B1042" s="635" t="s">
        <v>3771</v>
      </c>
      <c r="C1042" s="635" t="s">
        <v>3772</v>
      </c>
      <c r="D1042" s="636" t="s">
        <v>900</v>
      </c>
      <c r="E1042" s="636" t="s">
        <v>3773</v>
      </c>
      <c r="F1042" s="647">
        <v>12873</v>
      </c>
      <c r="G1042" s="641"/>
      <c r="H1042" s="642">
        <v>3411421.5</v>
      </c>
      <c r="I1042" s="615" t="s">
        <v>3776</v>
      </c>
      <c r="J1042" s="615" t="s">
        <v>3777</v>
      </c>
      <c r="O1042" s="612" t="s">
        <v>4261</v>
      </c>
      <c r="Q1042" s="612" t="s">
        <v>4317</v>
      </c>
    </row>
    <row r="1043" spans="1:17" ht="27.75" customHeight="1">
      <c r="A1043" s="646">
        <v>1040</v>
      </c>
      <c r="B1043" s="635" t="s">
        <v>3779</v>
      </c>
      <c r="C1043" s="635" t="s">
        <v>3780</v>
      </c>
      <c r="D1043" s="636" t="s">
        <v>900</v>
      </c>
      <c r="E1043" s="636" t="s">
        <v>3781</v>
      </c>
      <c r="F1043" s="647">
        <v>4000</v>
      </c>
      <c r="G1043" s="641"/>
      <c r="H1043" s="642">
        <v>3407421.5</v>
      </c>
      <c r="I1043" s="615" t="s">
        <v>3776</v>
      </c>
      <c r="J1043" s="615" t="s">
        <v>3777</v>
      </c>
      <c r="O1043" s="612" t="s">
        <v>4261</v>
      </c>
      <c r="Q1043" s="612" t="s">
        <v>4317</v>
      </c>
    </row>
    <row r="1044" spans="1:17" s="2" customFormat="1" ht="27.75" customHeight="1">
      <c r="A1044" s="199">
        <v>1041</v>
      </c>
      <c r="B1044" s="331" t="s">
        <v>3782</v>
      </c>
      <c r="C1044" s="331" t="s">
        <v>3783</v>
      </c>
      <c r="D1044" s="332" t="s">
        <v>900</v>
      </c>
      <c r="E1044" s="332" t="s">
        <v>3784</v>
      </c>
      <c r="F1044" s="539"/>
      <c r="G1044" s="540">
        <v>695500</v>
      </c>
      <c r="H1044" s="333">
        <v>4102921.5</v>
      </c>
      <c r="I1044" s="1" t="s">
        <v>349</v>
      </c>
      <c r="J1044" s="1" t="s">
        <v>1342</v>
      </c>
      <c r="M1044" s="190"/>
      <c r="Q1044" s="2" t="s">
        <v>1345</v>
      </c>
    </row>
    <row r="1045" spans="1:17" s="2" customFormat="1" ht="27.75" customHeight="1">
      <c r="A1045" s="199">
        <v>1042</v>
      </c>
      <c r="B1045" s="331" t="s">
        <v>3785</v>
      </c>
      <c r="C1045" s="331" t="s">
        <v>3786</v>
      </c>
      <c r="D1045" s="332" t="s">
        <v>900</v>
      </c>
      <c r="E1045" s="332" t="s">
        <v>3787</v>
      </c>
      <c r="F1045" s="541">
        <v>620000</v>
      </c>
      <c r="G1045" s="445"/>
      <c r="H1045" s="333">
        <v>3482921.5</v>
      </c>
      <c r="I1045" s="1" t="s">
        <v>3617</v>
      </c>
      <c r="J1045" s="1" t="s">
        <v>3796</v>
      </c>
      <c r="M1045" s="190"/>
      <c r="Q1045" t="s">
        <v>4266</v>
      </c>
    </row>
    <row r="1046" spans="1:17" ht="27.75" customHeight="1">
      <c r="A1046" s="646">
        <v>1043</v>
      </c>
      <c r="B1046" s="635" t="s">
        <v>3788</v>
      </c>
      <c r="C1046" s="635" t="s">
        <v>3789</v>
      </c>
      <c r="D1046" s="636" t="s">
        <v>900</v>
      </c>
      <c r="E1046" s="636" t="s">
        <v>3790</v>
      </c>
      <c r="F1046" s="647">
        <v>47451</v>
      </c>
      <c r="G1046" s="641"/>
      <c r="H1046" s="642">
        <v>3435470.5</v>
      </c>
      <c r="I1046" s="615" t="s">
        <v>3794</v>
      </c>
      <c r="J1046" s="615" t="s">
        <v>3210</v>
      </c>
      <c r="Q1046" s="612" t="s">
        <v>4278</v>
      </c>
    </row>
    <row r="1047" spans="1:17" s="2" customFormat="1" ht="27.75" customHeight="1">
      <c r="A1047" s="199">
        <v>1044</v>
      </c>
      <c r="B1047" s="331" t="s">
        <v>3791</v>
      </c>
      <c r="C1047" s="331" t="s">
        <v>3792</v>
      </c>
      <c r="D1047" s="332" t="s">
        <v>900</v>
      </c>
      <c r="E1047" s="332" t="s">
        <v>3793</v>
      </c>
      <c r="F1047" s="541">
        <v>200000</v>
      </c>
      <c r="G1047" s="445"/>
      <c r="H1047" s="333">
        <v>3235470.5</v>
      </c>
      <c r="I1047" s="1" t="s">
        <v>3795</v>
      </c>
      <c r="J1047" s="1" t="s">
        <v>3797</v>
      </c>
      <c r="M1047" s="190"/>
      <c r="Q1047" t="s">
        <v>4266</v>
      </c>
    </row>
    <row r="1048" spans="1:17" s="2" customFormat="1" ht="27.75" customHeight="1">
      <c r="A1048" s="199">
        <v>1045</v>
      </c>
      <c r="B1048" s="334" t="s">
        <v>3798</v>
      </c>
      <c r="C1048" s="334" t="s">
        <v>3799</v>
      </c>
      <c r="D1048" s="335" t="s">
        <v>900</v>
      </c>
      <c r="E1048" s="335" t="s">
        <v>3800</v>
      </c>
      <c r="F1048" s="542">
        <v>29700</v>
      </c>
      <c r="G1048" s="445"/>
      <c r="H1048" s="336">
        <v>3205770.5</v>
      </c>
      <c r="I1048" s="1" t="s">
        <v>149</v>
      </c>
      <c r="J1048" s="1" t="s">
        <v>603</v>
      </c>
      <c r="M1048" s="190"/>
      <c r="P1048" s="2">
        <v>300</v>
      </c>
      <c r="Q1048" s="2" t="s">
        <v>4285</v>
      </c>
    </row>
    <row r="1049" spans="1:17" ht="27.75" customHeight="1">
      <c r="A1049" s="646">
        <v>1046</v>
      </c>
      <c r="B1049" s="635" t="s">
        <v>3798</v>
      </c>
      <c r="C1049" s="635" t="s">
        <v>3801</v>
      </c>
      <c r="D1049" s="636" t="s">
        <v>900</v>
      </c>
      <c r="E1049" s="636" t="s">
        <v>3802</v>
      </c>
      <c r="F1049" s="647">
        <v>29700</v>
      </c>
      <c r="G1049" s="641"/>
      <c r="H1049" s="642">
        <v>3176070.5</v>
      </c>
      <c r="I1049" s="615" t="s">
        <v>3253</v>
      </c>
      <c r="J1049" s="615" t="s">
        <v>603</v>
      </c>
      <c r="P1049" s="612">
        <v>300</v>
      </c>
      <c r="Q1049" s="612" t="s">
        <v>4286</v>
      </c>
    </row>
    <row r="1050" spans="1:17" s="2" customFormat="1" ht="27.75" customHeight="1">
      <c r="A1050" s="199">
        <v>1047</v>
      </c>
      <c r="B1050" s="334" t="s">
        <v>3798</v>
      </c>
      <c r="C1050" s="334" t="s">
        <v>3803</v>
      </c>
      <c r="D1050" s="335" t="s">
        <v>900</v>
      </c>
      <c r="E1050" s="335" t="s">
        <v>3804</v>
      </c>
      <c r="F1050" s="542">
        <v>29700</v>
      </c>
      <c r="G1050" s="445"/>
      <c r="H1050" s="336">
        <v>3146370.5</v>
      </c>
      <c r="I1050" s="1" t="s">
        <v>715</v>
      </c>
      <c r="J1050" s="1" t="s">
        <v>603</v>
      </c>
      <c r="M1050" s="190"/>
      <c r="P1050" s="2">
        <v>300</v>
      </c>
      <c r="Q1050" s="2" t="s">
        <v>4285</v>
      </c>
    </row>
    <row r="1051" spans="1:17" s="2" customFormat="1" ht="27.75" customHeight="1">
      <c r="A1051" s="199">
        <v>1048</v>
      </c>
      <c r="B1051" s="334" t="s">
        <v>3805</v>
      </c>
      <c r="C1051" s="334" t="s">
        <v>3806</v>
      </c>
      <c r="D1051" s="335" t="s">
        <v>900</v>
      </c>
      <c r="E1051" s="335" t="s">
        <v>3807</v>
      </c>
      <c r="F1051" s="542">
        <v>300000</v>
      </c>
      <c r="G1051" s="445"/>
      <c r="H1051" s="336">
        <v>2846370.5</v>
      </c>
      <c r="I1051" s="1" t="s">
        <v>121</v>
      </c>
      <c r="J1051" s="1" t="s">
        <v>3808</v>
      </c>
      <c r="M1051" s="190"/>
      <c r="P1051" s="2" t="s">
        <v>3893</v>
      </c>
      <c r="Q1051" t="s">
        <v>4266</v>
      </c>
    </row>
    <row r="1052" spans="1:17" s="2" customFormat="1" ht="27.75" customHeight="1">
      <c r="A1052" s="199">
        <v>1049</v>
      </c>
      <c r="B1052" s="334" t="s">
        <v>3809</v>
      </c>
      <c r="C1052" s="334" t="s">
        <v>3810</v>
      </c>
      <c r="D1052" s="335" t="s">
        <v>900</v>
      </c>
      <c r="E1052" s="335" t="s">
        <v>3811</v>
      </c>
      <c r="F1052" s="542">
        <v>337000</v>
      </c>
      <c r="G1052" s="445"/>
      <c r="H1052" s="336">
        <v>2509370.5</v>
      </c>
      <c r="I1052" s="1" t="s">
        <v>374</v>
      </c>
      <c r="J1052" s="1" t="s">
        <v>3796</v>
      </c>
      <c r="M1052" s="190"/>
      <c r="Q1052" t="s">
        <v>4266</v>
      </c>
    </row>
    <row r="1053" spans="1:17" s="2" customFormat="1" ht="27.75" customHeight="1">
      <c r="A1053" s="199">
        <v>1050</v>
      </c>
      <c r="B1053" s="334" t="s">
        <v>3812</v>
      </c>
      <c r="C1053" s="334" t="s">
        <v>3813</v>
      </c>
      <c r="D1053" s="335" t="s">
        <v>900</v>
      </c>
      <c r="E1053" s="335" t="s">
        <v>3814</v>
      </c>
      <c r="F1053" s="542">
        <v>133000</v>
      </c>
      <c r="G1053" s="445"/>
      <c r="H1053" s="336">
        <v>2376370.5</v>
      </c>
      <c r="I1053" s="1" t="s">
        <v>3815</v>
      </c>
      <c r="J1053" s="1" t="s">
        <v>3825</v>
      </c>
      <c r="M1053" s="190"/>
      <c r="Q1053" t="s">
        <v>4266</v>
      </c>
    </row>
    <row r="1054" spans="1:17" s="2" customFormat="1" ht="27.75" customHeight="1">
      <c r="A1054" s="199">
        <v>1051</v>
      </c>
      <c r="B1054" s="334" t="s">
        <v>3816</v>
      </c>
      <c r="C1054" s="334" t="s">
        <v>3817</v>
      </c>
      <c r="D1054" s="335" t="s">
        <v>900</v>
      </c>
      <c r="E1054" s="335" t="s">
        <v>3818</v>
      </c>
      <c r="F1054" s="542">
        <v>755600</v>
      </c>
      <c r="G1054" s="416"/>
      <c r="H1054" s="336">
        <v>1620770.5</v>
      </c>
      <c r="I1054" s="1" t="s">
        <v>316</v>
      </c>
      <c r="J1054" s="1" t="s">
        <v>3826</v>
      </c>
      <c r="M1054" s="190"/>
      <c r="P1054" s="2" t="s">
        <v>3897</v>
      </c>
      <c r="Q1054" t="s">
        <v>4266</v>
      </c>
    </row>
    <row r="1055" spans="1:17" s="2" customFormat="1" ht="27.75" customHeight="1">
      <c r="A1055" s="199">
        <v>1052</v>
      </c>
      <c r="B1055" s="334" t="s">
        <v>3819</v>
      </c>
      <c r="C1055" s="334" t="s">
        <v>3820</v>
      </c>
      <c r="D1055" s="335" t="s">
        <v>900</v>
      </c>
      <c r="E1055" s="335" t="s">
        <v>3821</v>
      </c>
      <c r="F1055" s="542">
        <v>143000</v>
      </c>
      <c r="G1055" s="416"/>
      <c r="H1055" s="336">
        <v>1477770.5</v>
      </c>
      <c r="I1055" s="1" t="s">
        <v>374</v>
      </c>
      <c r="J1055" s="1" t="s">
        <v>3796</v>
      </c>
      <c r="M1055" s="190"/>
      <c r="Q1055" t="s">
        <v>4266</v>
      </c>
    </row>
    <row r="1056" spans="1:17" s="2" customFormat="1" ht="27.75" customHeight="1">
      <c r="A1056" s="199">
        <v>1053</v>
      </c>
      <c r="B1056" s="334" t="s">
        <v>3822</v>
      </c>
      <c r="C1056" s="334" t="s">
        <v>3823</v>
      </c>
      <c r="D1056" s="335" t="s">
        <v>900</v>
      </c>
      <c r="E1056" s="335" t="s">
        <v>3824</v>
      </c>
      <c r="F1056" s="542">
        <v>100000</v>
      </c>
      <c r="G1056" s="416"/>
      <c r="H1056" s="336">
        <v>1377770.5</v>
      </c>
      <c r="I1056" s="1" t="s">
        <v>365</v>
      </c>
      <c r="J1056" s="1" t="s">
        <v>822</v>
      </c>
      <c r="M1056" s="190"/>
      <c r="P1056" s="2" t="s">
        <v>3551</v>
      </c>
      <c r="Q1056" t="s">
        <v>4304</v>
      </c>
    </row>
    <row r="1057" spans="1:17" s="2" customFormat="1" ht="27.75" customHeight="1">
      <c r="A1057" s="199">
        <v>1054</v>
      </c>
      <c r="B1057" s="23" t="s">
        <v>3827</v>
      </c>
      <c r="C1057" s="23" t="s">
        <v>3828</v>
      </c>
      <c r="D1057" s="24" t="s">
        <v>3829</v>
      </c>
      <c r="E1057" s="24" t="s">
        <v>3830</v>
      </c>
      <c r="F1057" s="461">
        <v>1055000</v>
      </c>
      <c r="G1057" s="445"/>
      <c r="H1057" s="249">
        <v>322770.5</v>
      </c>
      <c r="I1057" s="1" t="s">
        <v>899</v>
      </c>
      <c r="J1057" s="1" t="s">
        <v>3837</v>
      </c>
      <c r="M1057" s="190"/>
      <c r="P1057" s="2" t="s">
        <v>3850</v>
      </c>
      <c r="Q1057" t="s">
        <v>4266</v>
      </c>
    </row>
    <row r="1058" spans="1:17" s="2" customFormat="1" ht="27.75" customHeight="1">
      <c r="A1058" s="199">
        <v>1055</v>
      </c>
      <c r="B1058" s="23" t="s">
        <v>3827</v>
      </c>
      <c r="C1058" s="23" t="s">
        <v>3831</v>
      </c>
      <c r="D1058" s="24" t="s">
        <v>900</v>
      </c>
      <c r="E1058" s="24" t="s">
        <v>3832</v>
      </c>
      <c r="F1058" s="461">
        <v>29700</v>
      </c>
      <c r="G1058" s="445"/>
      <c r="H1058" s="249">
        <v>293070.5</v>
      </c>
      <c r="I1058" s="1" t="s">
        <v>149</v>
      </c>
      <c r="J1058" s="1" t="s">
        <v>603</v>
      </c>
      <c r="M1058" s="190"/>
      <c r="P1058" s="2">
        <v>300</v>
      </c>
      <c r="Q1058" s="2" t="s">
        <v>4285</v>
      </c>
    </row>
    <row r="1059" spans="1:17" ht="27.75" customHeight="1">
      <c r="A1059" s="646">
        <v>1056</v>
      </c>
      <c r="B1059" s="635" t="s">
        <v>3827</v>
      </c>
      <c r="C1059" s="635" t="s">
        <v>3833</v>
      </c>
      <c r="D1059" s="636" t="s">
        <v>900</v>
      </c>
      <c r="E1059" s="636" t="s">
        <v>3834</v>
      </c>
      <c r="F1059" s="647">
        <v>29700</v>
      </c>
      <c r="G1059" s="641"/>
      <c r="H1059" s="642">
        <v>263370.5</v>
      </c>
      <c r="I1059" s="615" t="s">
        <v>3597</v>
      </c>
      <c r="J1059" s="615" t="s">
        <v>603</v>
      </c>
      <c r="P1059" s="612">
        <v>300</v>
      </c>
      <c r="Q1059" s="612" t="s">
        <v>4286</v>
      </c>
    </row>
    <row r="1060" spans="1:17" s="2" customFormat="1" ht="27.75" customHeight="1">
      <c r="A1060" s="199">
        <v>1057</v>
      </c>
      <c r="B1060" s="23" t="s">
        <v>3827</v>
      </c>
      <c r="C1060" s="23" t="s">
        <v>3835</v>
      </c>
      <c r="D1060" s="24" t="s">
        <v>900</v>
      </c>
      <c r="E1060" s="24" t="s">
        <v>3836</v>
      </c>
      <c r="F1060" s="461">
        <v>29700</v>
      </c>
      <c r="G1060" s="445"/>
      <c r="H1060" s="249">
        <v>233670.5</v>
      </c>
      <c r="I1060" s="1" t="s">
        <v>715</v>
      </c>
      <c r="J1060" s="1" t="s">
        <v>603</v>
      </c>
      <c r="M1060" s="190"/>
      <c r="P1060" s="2">
        <v>300</v>
      </c>
      <c r="Q1060" s="2" t="s">
        <v>4285</v>
      </c>
    </row>
    <row r="1061" spans="1:17" s="2" customFormat="1" ht="27.75" customHeight="1">
      <c r="A1061" s="199">
        <v>1058</v>
      </c>
      <c r="B1061" s="339" t="s">
        <v>3902</v>
      </c>
      <c r="C1061" s="339" t="s">
        <v>3903</v>
      </c>
      <c r="D1061" s="340" t="s">
        <v>900</v>
      </c>
      <c r="E1061" s="340" t="s">
        <v>3904</v>
      </c>
      <c r="F1061" s="543"/>
      <c r="G1061" s="544">
        <v>3100000</v>
      </c>
      <c r="H1061" s="341">
        <v>3333670.5</v>
      </c>
      <c r="I1061" s="1" t="s">
        <v>3705</v>
      </c>
      <c r="J1061" s="1" t="s">
        <v>1342</v>
      </c>
      <c r="M1061" s="190"/>
      <c r="Q1061" s="2" t="s">
        <v>1345</v>
      </c>
    </row>
    <row r="1062" spans="1:17" s="2" customFormat="1" ht="27.75" customHeight="1">
      <c r="A1062" s="199">
        <v>1059</v>
      </c>
      <c r="B1062" s="339" t="s">
        <v>3905</v>
      </c>
      <c r="C1062" s="339" t="s">
        <v>3906</v>
      </c>
      <c r="D1062" s="340" t="s">
        <v>900</v>
      </c>
      <c r="E1062" s="340" t="s">
        <v>3907</v>
      </c>
      <c r="F1062" s="543"/>
      <c r="G1062" s="545">
        <v>300000</v>
      </c>
      <c r="H1062" s="341">
        <v>3633670.5</v>
      </c>
      <c r="I1062" s="1" t="s">
        <v>708</v>
      </c>
      <c r="J1062" s="1" t="s">
        <v>3912</v>
      </c>
      <c r="M1062" s="190"/>
      <c r="Q1062" s="2" t="s">
        <v>4266</v>
      </c>
    </row>
    <row r="1063" spans="1:17" s="2" customFormat="1" ht="27.75" customHeight="1">
      <c r="A1063" s="199">
        <v>1060</v>
      </c>
      <c r="B1063" s="339" t="s">
        <v>3908</v>
      </c>
      <c r="C1063" s="339" t="s">
        <v>3909</v>
      </c>
      <c r="D1063" s="340" t="s">
        <v>900</v>
      </c>
      <c r="E1063" s="340" t="s">
        <v>3910</v>
      </c>
      <c r="F1063" s="543"/>
      <c r="G1063" s="545">
        <v>50000</v>
      </c>
      <c r="H1063" s="341">
        <v>3683670.5</v>
      </c>
      <c r="I1063" s="1" t="s">
        <v>3911</v>
      </c>
      <c r="J1063" s="1" t="s">
        <v>3309</v>
      </c>
      <c r="M1063" s="190"/>
      <c r="Q1063" t="s">
        <v>4266</v>
      </c>
    </row>
    <row r="1064" spans="1:17" s="2" customFormat="1" ht="27.75" customHeight="1">
      <c r="A1064" s="199">
        <v>1061</v>
      </c>
      <c r="B1064" s="339" t="s">
        <v>3913</v>
      </c>
      <c r="C1064" s="339" t="s">
        <v>3914</v>
      </c>
      <c r="D1064" s="340" t="s">
        <v>900</v>
      </c>
      <c r="E1064" s="340" t="s">
        <v>3915</v>
      </c>
      <c r="F1064" s="546">
        <v>400000</v>
      </c>
      <c r="G1064" s="445"/>
      <c r="H1064" s="342">
        <v>3283670.5</v>
      </c>
      <c r="I1064" s="1" t="s">
        <v>3925</v>
      </c>
      <c r="J1064" s="1" t="s">
        <v>3979</v>
      </c>
      <c r="M1064" s="190"/>
      <c r="Q1064" s="2" t="s">
        <v>86</v>
      </c>
    </row>
    <row r="1065" spans="1:17" ht="27.75" customHeight="1">
      <c r="A1065" s="646">
        <v>1062</v>
      </c>
      <c r="B1065" s="635" t="s">
        <v>3916</v>
      </c>
      <c r="C1065" s="635" t="s">
        <v>3917</v>
      </c>
      <c r="D1065" s="636" t="s">
        <v>900</v>
      </c>
      <c r="E1065" s="636" t="s">
        <v>3918</v>
      </c>
      <c r="F1065" s="647">
        <v>236</v>
      </c>
      <c r="G1065" s="641"/>
      <c r="H1065" s="642">
        <v>3283434.5</v>
      </c>
      <c r="I1065" s="615" t="s">
        <v>38</v>
      </c>
      <c r="J1065" s="615" t="s">
        <v>788</v>
      </c>
      <c r="O1065" s="612" t="s">
        <v>4261</v>
      </c>
      <c r="Q1065" s="612" t="s">
        <v>788</v>
      </c>
    </row>
    <row r="1066" spans="1:17" s="2" customFormat="1" ht="27.75" customHeight="1">
      <c r="A1066" s="199">
        <v>1063</v>
      </c>
      <c r="B1066" s="339" t="s">
        <v>3916</v>
      </c>
      <c r="C1066" s="339" t="s">
        <v>3919</v>
      </c>
      <c r="D1066" s="340" t="s">
        <v>900</v>
      </c>
      <c r="E1066" s="340" t="s">
        <v>3920</v>
      </c>
      <c r="F1066" s="546">
        <v>29700</v>
      </c>
      <c r="G1066" s="445"/>
      <c r="H1066" s="342">
        <v>3253734.5</v>
      </c>
      <c r="I1066" s="1" t="s">
        <v>149</v>
      </c>
      <c r="J1066" s="1" t="s">
        <v>603</v>
      </c>
      <c r="M1066" s="190"/>
      <c r="P1066" s="2">
        <v>300</v>
      </c>
      <c r="Q1066" s="2" t="s">
        <v>4285</v>
      </c>
    </row>
    <row r="1067" spans="1:17" ht="27.75" customHeight="1">
      <c r="A1067" s="646">
        <v>1064</v>
      </c>
      <c r="B1067" s="635" t="s">
        <v>3916</v>
      </c>
      <c r="C1067" s="635" t="s">
        <v>3921</v>
      </c>
      <c r="D1067" s="636" t="s">
        <v>900</v>
      </c>
      <c r="E1067" s="636" t="s">
        <v>3922</v>
      </c>
      <c r="F1067" s="647">
        <v>29700</v>
      </c>
      <c r="G1067" s="641"/>
      <c r="H1067" s="642">
        <v>3224034.5</v>
      </c>
      <c r="I1067" s="615" t="s">
        <v>3597</v>
      </c>
      <c r="J1067" s="615" t="s">
        <v>603</v>
      </c>
      <c r="P1067" s="612">
        <v>300</v>
      </c>
      <c r="Q1067" s="612" t="s">
        <v>4286</v>
      </c>
    </row>
    <row r="1068" spans="1:17" s="2" customFormat="1" ht="27.75" customHeight="1">
      <c r="A1068" s="199">
        <v>1065</v>
      </c>
      <c r="B1068" s="339" t="s">
        <v>3916</v>
      </c>
      <c r="C1068" s="339" t="s">
        <v>3923</v>
      </c>
      <c r="D1068" s="340" t="s">
        <v>900</v>
      </c>
      <c r="E1068" s="340" t="s">
        <v>3924</v>
      </c>
      <c r="F1068" s="546">
        <v>29700</v>
      </c>
      <c r="G1068" s="445"/>
      <c r="H1068" s="342">
        <v>3194334.5</v>
      </c>
      <c r="I1068" s="1" t="s">
        <v>715</v>
      </c>
      <c r="J1068" s="1" t="s">
        <v>603</v>
      </c>
      <c r="M1068" s="190"/>
      <c r="P1068" s="2">
        <v>300</v>
      </c>
      <c r="Q1068" s="2" t="s">
        <v>4285</v>
      </c>
    </row>
    <row r="1069" spans="1:17" s="2" customFormat="1" ht="27.75" customHeight="1">
      <c r="A1069" s="199">
        <v>1066</v>
      </c>
      <c r="B1069" s="23" t="s">
        <v>3926</v>
      </c>
      <c r="C1069" s="23" t="s">
        <v>3927</v>
      </c>
      <c r="D1069" s="24" t="s">
        <v>900</v>
      </c>
      <c r="E1069" s="24" t="s">
        <v>3928</v>
      </c>
      <c r="F1069" s="461">
        <v>600000</v>
      </c>
      <c r="G1069" s="445"/>
      <c r="H1069" s="249">
        <v>2594334.5</v>
      </c>
      <c r="I1069" s="1" t="s">
        <v>313</v>
      </c>
      <c r="J1069" s="1" t="s">
        <v>3934</v>
      </c>
      <c r="M1069" s="190"/>
      <c r="Q1069" t="s">
        <v>4266</v>
      </c>
    </row>
    <row r="1070" spans="1:17" s="2" customFormat="1" ht="27.75" customHeight="1">
      <c r="A1070" s="199">
        <v>1067</v>
      </c>
      <c r="B1070" s="23" t="s">
        <v>3926</v>
      </c>
      <c r="C1070" s="23" t="s">
        <v>3929</v>
      </c>
      <c r="D1070" s="24" t="s">
        <v>900</v>
      </c>
      <c r="E1070" s="24" t="s">
        <v>3930</v>
      </c>
      <c r="F1070" s="461">
        <v>299000</v>
      </c>
      <c r="G1070" s="445"/>
      <c r="H1070" s="249">
        <v>2295334.5</v>
      </c>
      <c r="I1070" s="1" t="s">
        <v>860</v>
      </c>
      <c r="J1070" s="1" t="s">
        <v>3935</v>
      </c>
      <c r="M1070" s="190"/>
      <c r="Q1070" t="s">
        <v>4266</v>
      </c>
    </row>
    <row r="1071" spans="1:17" s="2" customFormat="1" ht="27.75" customHeight="1">
      <c r="A1071" s="199">
        <v>1068</v>
      </c>
      <c r="B1071" s="23" t="s">
        <v>3926</v>
      </c>
      <c r="C1071" s="23" t="s">
        <v>3931</v>
      </c>
      <c r="D1071" s="24" t="s">
        <v>900</v>
      </c>
      <c r="E1071" s="24" t="s">
        <v>3932</v>
      </c>
      <c r="F1071" s="461">
        <v>50000</v>
      </c>
      <c r="G1071" s="445"/>
      <c r="H1071" s="249">
        <v>2245334.5</v>
      </c>
      <c r="I1071" s="1" t="s">
        <v>3933</v>
      </c>
      <c r="J1071" s="1" t="s">
        <v>3936</v>
      </c>
      <c r="M1071" s="190"/>
      <c r="Q1071" t="s">
        <v>4266</v>
      </c>
    </row>
    <row r="1072" spans="1:17" s="2" customFormat="1" ht="27.75" customHeight="1">
      <c r="A1072" s="199">
        <v>1069</v>
      </c>
      <c r="B1072" s="343" t="s">
        <v>3937</v>
      </c>
      <c r="C1072" s="343" t="s">
        <v>3938</v>
      </c>
      <c r="D1072" s="344" t="s">
        <v>900</v>
      </c>
      <c r="E1072" s="344" t="s">
        <v>3939</v>
      </c>
      <c r="F1072" s="547">
        <v>200000</v>
      </c>
      <c r="G1072" s="445"/>
      <c r="H1072" s="345">
        <v>2045334.5</v>
      </c>
      <c r="I1072" s="1" t="s">
        <v>3946</v>
      </c>
      <c r="J1072" s="1" t="s">
        <v>3945</v>
      </c>
      <c r="M1072" s="190"/>
      <c r="Q1072" t="s">
        <v>4266</v>
      </c>
    </row>
    <row r="1073" spans="1:17" s="2" customFormat="1" ht="27.75" customHeight="1">
      <c r="A1073" s="199">
        <v>1070</v>
      </c>
      <c r="B1073" s="343" t="s">
        <v>3937</v>
      </c>
      <c r="C1073" s="343" t="s">
        <v>3940</v>
      </c>
      <c r="D1073" s="344" t="s">
        <v>900</v>
      </c>
      <c r="E1073" s="344" t="s">
        <v>3941</v>
      </c>
      <c r="F1073" s="547">
        <v>640000</v>
      </c>
      <c r="G1073" s="445"/>
      <c r="H1073" s="345">
        <v>1405334.5</v>
      </c>
      <c r="I1073" s="1" t="s">
        <v>340</v>
      </c>
      <c r="J1073" s="1" t="s">
        <v>3944</v>
      </c>
      <c r="M1073" s="190"/>
      <c r="Q1073" t="s">
        <v>4266</v>
      </c>
    </row>
    <row r="1074" spans="1:17" s="2" customFormat="1" ht="27.75" customHeight="1">
      <c r="A1074" s="199">
        <v>1071</v>
      </c>
      <c r="B1074" s="343" t="s">
        <v>3937</v>
      </c>
      <c r="C1074" s="343" t="s">
        <v>3942</v>
      </c>
      <c r="D1074" s="344" t="s">
        <v>900</v>
      </c>
      <c r="E1074" s="344" t="s">
        <v>3943</v>
      </c>
      <c r="F1074" s="547">
        <v>150000</v>
      </c>
      <c r="G1074" s="445"/>
      <c r="H1074" s="345">
        <v>1255334.5</v>
      </c>
      <c r="I1074" s="1" t="s">
        <v>149</v>
      </c>
      <c r="J1074" s="1" t="s">
        <v>3944</v>
      </c>
      <c r="M1074" s="190"/>
      <c r="Q1074" t="s">
        <v>4266</v>
      </c>
    </row>
    <row r="1075" spans="1:17" s="2" customFormat="1" ht="27.75" customHeight="1">
      <c r="A1075" s="199">
        <v>1072</v>
      </c>
      <c r="B1075" s="343" t="s">
        <v>3947</v>
      </c>
      <c r="C1075" s="343" t="s">
        <v>3948</v>
      </c>
      <c r="D1075" s="344" t="s">
        <v>900</v>
      </c>
      <c r="E1075" s="344" t="s">
        <v>3949</v>
      </c>
      <c r="F1075" s="547">
        <v>300000</v>
      </c>
      <c r="G1075" s="445"/>
      <c r="H1075" s="345">
        <v>955334.5</v>
      </c>
      <c r="I1075" s="1" t="s">
        <v>3950</v>
      </c>
      <c r="J1075" s="1" t="s">
        <v>3478</v>
      </c>
      <c r="M1075" s="190"/>
      <c r="Q1075" t="s">
        <v>4266</v>
      </c>
    </row>
    <row r="1076" spans="1:17" s="2" customFormat="1" ht="27.75" customHeight="1">
      <c r="A1076" s="199">
        <v>1073</v>
      </c>
      <c r="B1076" s="23" t="s">
        <v>3951</v>
      </c>
      <c r="C1076" s="23" t="s">
        <v>3952</v>
      </c>
      <c r="D1076" s="24" t="s">
        <v>900</v>
      </c>
      <c r="E1076" s="24" t="s">
        <v>3953</v>
      </c>
      <c r="F1076" s="461">
        <v>269000</v>
      </c>
      <c r="G1076" s="445"/>
      <c r="H1076" s="249">
        <v>686334.5</v>
      </c>
      <c r="I1076" s="1" t="s">
        <v>37</v>
      </c>
      <c r="J1076" s="1" t="s">
        <v>3961</v>
      </c>
      <c r="M1076" s="190"/>
      <c r="Q1076" t="s">
        <v>4272</v>
      </c>
    </row>
    <row r="1077" spans="1:17" ht="27.75" customHeight="1">
      <c r="A1077" s="646">
        <v>1074</v>
      </c>
      <c r="B1077" s="635" t="s">
        <v>3954</v>
      </c>
      <c r="C1077" s="635" t="s">
        <v>3955</v>
      </c>
      <c r="D1077" s="636" t="s">
        <v>900</v>
      </c>
      <c r="E1077" s="636" t="s">
        <v>3956</v>
      </c>
      <c r="F1077" s="647">
        <v>29700</v>
      </c>
      <c r="G1077" s="641"/>
      <c r="H1077" s="642">
        <v>656634.5</v>
      </c>
      <c r="I1077" s="615" t="s">
        <v>3253</v>
      </c>
      <c r="J1077" s="615" t="s">
        <v>603</v>
      </c>
      <c r="P1077" s="612">
        <v>300</v>
      </c>
      <c r="Q1077" s="612" t="s">
        <v>4286</v>
      </c>
    </row>
    <row r="1078" spans="1:17" s="2" customFormat="1" ht="27.75" customHeight="1">
      <c r="A1078" s="199">
        <v>1075</v>
      </c>
      <c r="B1078" s="23" t="s">
        <v>3954</v>
      </c>
      <c r="C1078" s="23" t="s">
        <v>3957</v>
      </c>
      <c r="D1078" s="24" t="s">
        <v>900</v>
      </c>
      <c r="E1078" s="24" t="s">
        <v>3958</v>
      </c>
      <c r="F1078" s="461">
        <v>29700</v>
      </c>
      <c r="G1078" s="445"/>
      <c r="H1078" s="249">
        <v>626934.5</v>
      </c>
      <c r="I1078" s="1" t="s">
        <v>715</v>
      </c>
      <c r="J1078" s="1" t="s">
        <v>603</v>
      </c>
      <c r="M1078" s="190"/>
      <c r="P1078" s="2">
        <v>300</v>
      </c>
      <c r="Q1078" s="2" t="s">
        <v>4285</v>
      </c>
    </row>
    <row r="1079" spans="1:17" s="2" customFormat="1" ht="27.75" customHeight="1">
      <c r="A1079" s="199">
        <v>1076</v>
      </c>
      <c r="B1079" s="23" t="s">
        <v>3954</v>
      </c>
      <c r="C1079" s="23" t="s">
        <v>3959</v>
      </c>
      <c r="D1079" s="24" t="s">
        <v>900</v>
      </c>
      <c r="E1079" s="24" t="s">
        <v>3960</v>
      </c>
      <c r="F1079" s="461">
        <v>29700</v>
      </c>
      <c r="G1079" s="445"/>
      <c r="H1079" s="249">
        <v>597234.5</v>
      </c>
      <c r="I1079" s="1" t="s">
        <v>149</v>
      </c>
      <c r="J1079" s="1" t="s">
        <v>603</v>
      </c>
      <c r="M1079" s="190"/>
      <c r="P1079" s="2">
        <v>300</v>
      </c>
      <c r="Q1079" s="2" t="s">
        <v>4285</v>
      </c>
    </row>
    <row r="1080" spans="1:17" s="2" customFormat="1" ht="27.75" customHeight="1">
      <c r="A1080" s="199">
        <v>1077</v>
      </c>
      <c r="B1080" s="23" t="s">
        <v>3962</v>
      </c>
      <c r="C1080" s="23" t="s">
        <v>3963</v>
      </c>
      <c r="D1080" s="24" t="s">
        <v>900</v>
      </c>
      <c r="E1080" s="24" t="s">
        <v>3964</v>
      </c>
      <c r="F1080" s="461">
        <v>110000</v>
      </c>
      <c r="G1080" s="445"/>
      <c r="H1080" s="249">
        <v>487234.5</v>
      </c>
      <c r="I1080" s="1" t="s">
        <v>3982</v>
      </c>
      <c r="J1080" s="1" t="s">
        <v>822</v>
      </c>
      <c r="M1080" s="190"/>
      <c r="Q1080" s="2" t="s">
        <v>4266</v>
      </c>
    </row>
    <row r="1081" spans="1:17" s="2" customFormat="1" ht="27.75" customHeight="1">
      <c r="A1081" s="199">
        <v>1078</v>
      </c>
      <c r="B1081" s="346" t="s">
        <v>3965</v>
      </c>
      <c r="C1081" s="346" t="s">
        <v>3966</v>
      </c>
      <c r="D1081" s="347" t="s">
        <v>900</v>
      </c>
      <c r="E1081" s="347" t="s">
        <v>3967</v>
      </c>
      <c r="F1081" s="548"/>
      <c r="G1081" s="549">
        <v>2550000</v>
      </c>
      <c r="H1081" s="348">
        <v>3037234.5</v>
      </c>
      <c r="I1081" s="1" t="s">
        <v>870</v>
      </c>
      <c r="J1081" s="1" t="s">
        <v>3979</v>
      </c>
      <c r="M1081" s="190"/>
      <c r="Q1081" s="2" t="s">
        <v>4307</v>
      </c>
    </row>
    <row r="1082" spans="1:17" s="2" customFormat="1" ht="27.75" customHeight="1">
      <c r="A1082" s="199">
        <v>1079</v>
      </c>
      <c r="B1082" s="346" t="s">
        <v>3965</v>
      </c>
      <c r="C1082" s="346" t="s">
        <v>3968</v>
      </c>
      <c r="D1082" s="347" t="s">
        <v>900</v>
      </c>
      <c r="E1082" s="347" t="s">
        <v>3969</v>
      </c>
      <c r="F1082" s="550">
        <v>895000</v>
      </c>
      <c r="G1082" s="445"/>
      <c r="H1082" s="349">
        <v>2142234.5</v>
      </c>
      <c r="I1082" s="1" t="s">
        <v>708</v>
      </c>
      <c r="J1082" s="1" t="s">
        <v>3980</v>
      </c>
      <c r="M1082" s="190"/>
      <c r="Q1082" t="s">
        <v>4266</v>
      </c>
    </row>
    <row r="1083" spans="1:17" s="2" customFormat="1" ht="27.75" customHeight="1">
      <c r="A1083" s="199">
        <v>1080</v>
      </c>
      <c r="B1083" s="346" t="s">
        <v>3965</v>
      </c>
      <c r="C1083" s="346" t="s">
        <v>3970</v>
      </c>
      <c r="D1083" s="347" t="s">
        <v>900</v>
      </c>
      <c r="E1083" s="347" t="s">
        <v>3971</v>
      </c>
      <c r="F1083" s="550">
        <v>400000</v>
      </c>
      <c r="G1083" s="445"/>
      <c r="H1083" s="349">
        <v>1742234.5</v>
      </c>
      <c r="I1083" s="1" t="s">
        <v>3978</v>
      </c>
      <c r="J1083" s="1" t="s">
        <v>1054</v>
      </c>
      <c r="M1083" s="190"/>
      <c r="Q1083" t="s">
        <v>4266</v>
      </c>
    </row>
    <row r="1084" spans="1:17" ht="27.75" customHeight="1">
      <c r="A1084" s="646">
        <v>1081</v>
      </c>
      <c r="B1084" s="635" t="s">
        <v>3972</v>
      </c>
      <c r="C1084" s="635" t="s">
        <v>3973</v>
      </c>
      <c r="D1084" s="636" t="s">
        <v>900</v>
      </c>
      <c r="E1084" s="636" t="s">
        <v>3974</v>
      </c>
      <c r="F1084" s="647">
        <v>175000</v>
      </c>
      <c r="G1084" s="641"/>
      <c r="H1084" s="642">
        <v>1567234.5</v>
      </c>
      <c r="I1084" s="615" t="s">
        <v>714</v>
      </c>
      <c r="J1084" s="615" t="s">
        <v>1031</v>
      </c>
      <c r="O1084" s="612" t="s">
        <v>4261</v>
      </c>
      <c r="Q1084" s="612" t="s">
        <v>1031</v>
      </c>
    </row>
    <row r="1085" spans="1:17" s="2" customFormat="1" ht="27.75" customHeight="1">
      <c r="A1085" s="199">
        <v>1082</v>
      </c>
      <c r="B1085" s="346" t="s">
        <v>3975</v>
      </c>
      <c r="C1085" s="346" t="s">
        <v>3976</v>
      </c>
      <c r="D1085" s="347" t="s">
        <v>900</v>
      </c>
      <c r="E1085" s="347" t="s">
        <v>3977</v>
      </c>
      <c r="F1085" s="550">
        <v>400000</v>
      </c>
      <c r="G1085" s="445"/>
      <c r="H1085" s="349">
        <v>1167234.5</v>
      </c>
      <c r="I1085" s="1" t="s">
        <v>376</v>
      </c>
      <c r="J1085" s="1" t="s">
        <v>3981</v>
      </c>
      <c r="M1085" s="190"/>
      <c r="Q1085" t="s">
        <v>4266</v>
      </c>
    </row>
    <row r="1086" spans="1:17" s="2" customFormat="1" ht="27.75" customHeight="1">
      <c r="A1086" s="199">
        <v>1083</v>
      </c>
      <c r="B1086" s="346" t="s">
        <v>3983</v>
      </c>
      <c r="C1086" s="346" t="s">
        <v>3984</v>
      </c>
      <c r="D1086" s="347" t="s">
        <v>900</v>
      </c>
      <c r="E1086" s="347" t="s">
        <v>3985</v>
      </c>
      <c r="F1086" s="550">
        <v>560000</v>
      </c>
      <c r="G1086" s="445"/>
      <c r="H1086" s="349">
        <v>607234.5</v>
      </c>
      <c r="I1086" s="1" t="s">
        <v>375</v>
      </c>
      <c r="J1086" s="1" t="s">
        <v>3993</v>
      </c>
      <c r="M1086" s="190"/>
      <c r="Q1086" t="s">
        <v>4266</v>
      </c>
    </row>
    <row r="1087" spans="1:17" s="2" customFormat="1" ht="27.75" customHeight="1">
      <c r="A1087" s="199">
        <v>1084</v>
      </c>
      <c r="B1087" s="346" t="s">
        <v>3983</v>
      </c>
      <c r="C1087" s="346" t="s">
        <v>3986</v>
      </c>
      <c r="D1087" s="347" t="s">
        <v>900</v>
      </c>
      <c r="E1087" s="347" t="s">
        <v>3987</v>
      </c>
      <c r="F1087" s="550">
        <v>600000</v>
      </c>
      <c r="G1087" s="445"/>
      <c r="H1087" s="349">
        <v>7234.5</v>
      </c>
      <c r="I1087" s="1" t="s">
        <v>375</v>
      </c>
      <c r="J1087" s="1" t="s">
        <v>3993</v>
      </c>
      <c r="M1087" s="190"/>
      <c r="Q1087" t="s">
        <v>4266</v>
      </c>
    </row>
    <row r="1088" spans="1:17" s="2" customFormat="1" ht="27.75" customHeight="1">
      <c r="A1088" s="199">
        <v>1085</v>
      </c>
      <c r="B1088" s="346" t="s">
        <v>3988</v>
      </c>
      <c r="C1088" s="346" t="s">
        <v>3989</v>
      </c>
      <c r="D1088" s="347" t="s">
        <v>900</v>
      </c>
      <c r="E1088" s="347" t="s">
        <v>3990</v>
      </c>
      <c r="F1088" s="548"/>
      <c r="G1088" s="551">
        <v>38660</v>
      </c>
      <c r="H1088" s="348">
        <v>45894.5</v>
      </c>
      <c r="I1088" s="1"/>
      <c r="J1088" s="1" t="s">
        <v>3994</v>
      </c>
      <c r="M1088" s="190"/>
      <c r="O1088" s="2" t="s">
        <v>4261</v>
      </c>
      <c r="Q1088" t="s">
        <v>822</v>
      </c>
    </row>
    <row r="1089" spans="1:17" s="2" customFormat="1" ht="27.75" customHeight="1">
      <c r="A1089" s="199">
        <v>1086</v>
      </c>
      <c r="B1089" s="346" t="s">
        <v>3988</v>
      </c>
      <c r="C1089" s="346" t="s">
        <v>3991</v>
      </c>
      <c r="D1089" s="347" t="s">
        <v>900</v>
      </c>
      <c r="E1089" s="347" t="s">
        <v>3992</v>
      </c>
      <c r="F1089" s="548"/>
      <c r="G1089" s="552">
        <v>2000000</v>
      </c>
      <c r="H1089" s="348">
        <v>2045894.5</v>
      </c>
      <c r="I1089" s="1" t="s">
        <v>3705</v>
      </c>
      <c r="J1089" s="1" t="s">
        <v>740</v>
      </c>
      <c r="M1089" s="190"/>
      <c r="Q1089" s="2" t="s">
        <v>1345</v>
      </c>
    </row>
    <row r="1090" spans="1:17" s="2" customFormat="1" ht="27.75" customHeight="1">
      <c r="A1090" s="199">
        <v>1087</v>
      </c>
      <c r="B1090" s="346" t="s">
        <v>3988</v>
      </c>
      <c r="C1090" s="346" t="s">
        <v>3995</v>
      </c>
      <c r="D1090" s="347" t="s">
        <v>900</v>
      </c>
      <c r="E1090" s="347" t="s">
        <v>3996</v>
      </c>
      <c r="F1090" s="550">
        <v>37000</v>
      </c>
      <c r="G1090" s="445"/>
      <c r="H1090" s="349">
        <v>2008894.5</v>
      </c>
      <c r="I1090" s="1" t="s">
        <v>149</v>
      </c>
      <c r="J1090" s="1" t="s">
        <v>603</v>
      </c>
      <c r="M1090" s="190"/>
      <c r="Q1090" s="2" t="s">
        <v>4285</v>
      </c>
    </row>
    <row r="1091" spans="1:17" ht="27.75" customHeight="1">
      <c r="A1091" s="646">
        <v>1088</v>
      </c>
      <c r="B1091" s="635" t="s">
        <v>3988</v>
      </c>
      <c r="C1091" s="635" t="s">
        <v>3997</v>
      </c>
      <c r="D1091" s="636" t="s">
        <v>900</v>
      </c>
      <c r="E1091" s="636" t="s">
        <v>3998</v>
      </c>
      <c r="F1091" s="647">
        <v>37000</v>
      </c>
      <c r="G1091" s="641"/>
      <c r="H1091" s="642">
        <v>1971894.5</v>
      </c>
      <c r="I1091" s="615" t="s">
        <v>3597</v>
      </c>
      <c r="J1091" s="615" t="s">
        <v>603</v>
      </c>
      <c r="Q1091" s="612" t="s">
        <v>4286</v>
      </c>
    </row>
    <row r="1092" spans="1:17" s="2" customFormat="1" ht="27.75" customHeight="1">
      <c r="A1092" s="199">
        <v>1089</v>
      </c>
      <c r="B1092" s="346" t="s">
        <v>3988</v>
      </c>
      <c r="C1092" s="346" t="s">
        <v>3999</v>
      </c>
      <c r="D1092" s="347" t="s">
        <v>900</v>
      </c>
      <c r="E1092" s="347" t="s">
        <v>4000</v>
      </c>
      <c r="F1092" s="550">
        <v>36500</v>
      </c>
      <c r="G1092" s="445"/>
      <c r="H1092" s="349">
        <v>1935394.5</v>
      </c>
      <c r="I1092" s="1" t="s">
        <v>715</v>
      </c>
      <c r="J1092" s="1" t="s">
        <v>603</v>
      </c>
      <c r="M1092" s="190"/>
      <c r="Q1092" s="2" t="s">
        <v>4285</v>
      </c>
    </row>
    <row r="1093" spans="1:17" s="2" customFormat="1" ht="27.75" customHeight="1">
      <c r="A1093" s="199">
        <v>1090</v>
      </c>
      <c r="B1093" s="23" t="s">
        <v>4001</v>
      </c>
      <c r="C1093" s="23" t="s">
        <v>4002</v>
      </c>
      <c r="D1093" s="24" t="s">
        <v>900</v>
      </c>
      <c r="E1093" s="24" t="s">
        <v>4003</v>
      </c>
      <c r="F1093" s="462"/>
      <c r="G1093" s="464">
        <v>1621000</v>
      </c>
      <c r="H1093" s="157">
        <v>3556394.5</v>
      </c>
      <c r="I1093" s="1" t="s">
        <v>351</v>
      </c>
      <c r="J1093" s="1" t="s">
        <v>740</v>
      </c>
      <c r="M1093" s="190"/>
      <c r="Q1093" s="2" t="s">
        <v>1345</v>
      </c>
    </row>
    <row r="1094" spans="1:17" s="2" customFormat="1" ht="27.75" customHeight="1">
      <c r="A1094" s="199">
        <v>1091</v>
      </c>
      <c r="B1094" s="23" t="s">
        <v>4001</v>
      </c>
      <c r="C1094" s="23" t="s">
        <v>4004</v>
      </c>
      <c r="D1094" s="24" t="s">
        <v>900</v>
      </c>
      <c r="E1094" s="24" t="s">
        <v>4005</v>
      </c>
      <c r="F1094" s="462"/>
      <c r="G1094" s="481">
        <v>2000000</v>
      </c>
      <c r="H1094" s="157">
        <v>5556394.5</v>
      </c>
      <c r="I1094" s="1" t="s">
        <v>3705</v>
      </c>
      <c r="J1094" s="1" t="s">
        <v>740</v>
      </c>
      <c r="M1094" s="190"/>
      <c r="Q1094" s="2" t="s">
        <v>1345</v>
      </c>
    </row>
    <row r="1095" spans="1:17" s="2" customFormat="1" ht="27.75" customHeight="1">
      <c r="A1095" s="199">
        <v>1092</v>
      </c>
      <c r="B1095" s="350" t="s">
        <v>4006</v>
      </c>
      <c r="C1095" s="350" t="s">
        <v>4007</v>
      </c>
      <c r="D1095" s="351" t="s">
        <v>900</v>
      </c>
      <c r="E1095" s="351" t="s">
        <v>4008</v>
      </c>
      <c r="F1095" s="553"/>
      <c r="G1095" s="554">
        <v>1800000</v>
      </c>
      <c r="H1095" s="352">
        <v>7356394.5</v>
      </c>
      <c r="I1095" s="1" t="s">
        <v>3705</v>
      </c>
      <c r="J1095" s="1" t="s">
        <v>740</v>
      </c>
      <c r="M1095" s="190"/>
      <c r="Q1095" s="2" t="s">
        <v>1345</v>
      </c>
    </row>
    <row r="1096" spans="1:17" s="2" customFormat="1" ht="27.75" customHeight="1">
      <c r="A1096" s="199">
        <v>1093</v>
      </c>
      <c r="B1096" s="350" t="s">
        <v>4009</v>
      </c>
      <c r="C1096" s="350" t="s">
        <v>4010</v>
      </c>
      <c r="D1096" s="351" t="s">
        <v>900</v>
      </c>
      <c r="E1096" s="351" t="s">
        <v>4011</v>
      </c>
      <c r="F1096" s="555">
        <v>250900</v>
      </c>
      <c r="G1096" s="445"/>
      <c r="H1096" s="353">
        <v>7105494.5</v>
      </c>
      <c r="I1096" s="1" t="s">
        <v>376</v>
      </c>
      <c r="J1096" s="1" t="s">
        <v>3981</v>
      </c>
      <c r="M1096" s="190"/>
      <c r="Q1096" t="s">
        <v>4266</v>
      </c>
    </row>
    <row r="1097" spans="1:17" s="2" customFormat="1" ht="27.75" customHeight="1">
      <c r="A1097" s="199">
        <v>1094</v>
      </c>
      <c r="B1097" s="350" t="s">
        <v>4012</v>
      </c>
      <c r="C1097" s="350" t="s">
        <v>4013</v>
      </c>
      <c r="D1097" s="351" t="s">
        <v>900</v>
      </c>
      <c r="E1097" s="351" t="s">
        <v>4014</v>
      </c>
      <c r="F1097" s="555">
        <v>500000</v>
      </c>
      <c r="G1097" s="445"/>
      <c r="H1097" s="353">
        <v>6605494.5</v>
      </c>
      <c r="I1097" s="1" t="s">
        <v>3461</v>
      </c>
      <c r="J1097" s="1" t="s">
        <v>3808</v>
      </c>
      <c r="M1097" s="190"/>
      <c r="Q1097" t="s">
        <v>4266</v>
      </c>
    </row>
    <row r="1098" spans="1:17" s="2" customFormat="1" ht="27.75" customHeight="1">
      <c r="A1098" s="199">
        <v>1095</v>
      </c>
      <c r="B1098" s="350" t="s">
        <v>4015</v>
      </c>
      <c r="C1098" s="350" t="s">
        <v>4016</v>
      </c>
      <c r="D1098" s="351" t="s">
        <v>900</v>
      </c>
      <c r="E1098" s="351" t="s">
        <v>4017</v>
      </c>
      <c r="F1098" s="555">
        <v>30000</v>
      </c>
      <c r="G1098" s="445"/>
      <c r="H1098" s="353">
        <v>6575494.5</v>
      </c>
      <c r="I1098" s="1" t="s">
        <v>149</v>
      </c>
      <c r="J1098" s="1" t="s">
        <v>603</v>
      </c>
      <c r="M1098" s="190"/>
      <c r="Q1098" s="2" t="s">
        <v>4285</v>
      </c>
    </row>
    <row r="1099" spans="1:17" ht="27.75" customHeight="1">
      <c r="A1099" s="646">
        <v>1096</v>
      </c>
      <c r="B1099" s="635" t="s">
        <v>4015</v>
      </c>
      <c r="C1099" s="635" t="s">
        <v>4018</v>
      </c>
      <c r="D1099" s="636" t="s">
        <v>900</v>
      </c>
      <c r="E1099" s="636" t="s">
        <v>4019</v>
      </c>
      <c r="F1099" s="647">
        <v>30000</v>
      </c>
      <c r="G1099" s="641"/>
      <c r="H1099" s="642">
        <v>6545494.5</v>
      </c>
      <c r="I1099" s="615" t="s">
        <v>3597</v>
      </c>
      <c r="J1099" s="615" t="s">
        <v>603</v>
      </c>
      <c r="Q1099" s="612" t="s">
        <v>4286</v>
      </c>
    </row>
    <row r="1100" spans="1:17" s="2" customFormat="1" ht="27.75" customHeight="1">
      <c r="A1100" s="199">
        <v>1097</v>
      </c>
      <c r="B1100" s="350" t="s">
        <v>4015</v>
      </c>
      <c r="C1100" s="350" t="s">
        <v>4020</v>
      </c>
      <c r="D1100" s="351" t="s">
        <v>900</v>
      </c>
      <c r="E1100" s="351" t="s">
        <v>4021</v>
      </c>
      <c r="F1100" s="555">
        <v>30000</v>
      </c>
      <c r="G1100" s="445"/>
      <c r="H1100" s="353">
        <v>6515494.5</v>
      </c>
      <c r="I1100" s="1" t="s">
        <v>715</v>
      </c>
      <c r="J1100" s="1" t="s">
        <v>603</v>
      </c>
      <c r="M1100" s="190"/>
      <c r="Q1100" s="2" t="s">
        <v>4285</v>
      </c>
    </row>
    <row r="1101" spans="1:17" s="2" customFormat="1" ht="27.75" customHeight="1">
      <c r="A1101" s="199">
        <v>1098</v>
      </c>
      <c r="B1101" s="350" t="s">
        <v>4022</v>
      </c>
      <c r="C1101" s="391" t="s">
        <v>4023</v>
      </c>
      <c r="D1101" s="392" t="s">
        <v>900</v>
      </c>
      <c r="E1101" s="392" t="s">
        <v>4024</v>
      </c>
      <c r="F1101" s="601">
        <v>1000000</v>
      </c>
      <c r="G1101" s="602"/>
      <c r="H1101" s="603">
        <v>5515494.5</v>
      </c>
      <c r="I1101" s="596" t="s">
        <v>2</v>
      </c>
      <c r="J1101" s="596" t="s">
        <v>4147</v>
      </c>
      <c r="M1101" s="190"/>
      <c r="Q1101" s="2" t="s">
        <v>4265</v>
      </c>
    </row>
    <row r="1102" spans="1:17" s="2" customFormat="1" ht="27.75" customHeight="1">
      <c r="A1102" s="199">
        <v>1099</v>
      </c>
      <c r="B1102" s="350" t="s">
        <v>4022</v>
      </c>
      <c r="C1102" s="391" t="s">
        <v>4025</v>
      </c>
      <c r="D1102" s="392" t="s">
        <v>900</v>
      </c>
      <c r="E1102" s="392" t="s">
        <v>4026</v>
      </c>
      <c r="F1102" s="601">
        <v>1000000</v>
      </c>
      <c r="G1102" s="602"/>
      <c r="H1102" s="603">
        <v>4515494.5</v>
      </c>
      <c r="I1102" s="596" t="s">
        <v>2</v>
      </c>
      <c r="J1102" s="596" t="s">
        <v>4147</v>
      </c>
      <c r="M1102" s="190"/>
      <c r="Q1102" s="2" t="s">
        <v>4265</v>
      </c>
    </row>
    <row r="1103" spans="1:17" s="2" customFormat="1" ht="27.75" customHeight="1">
      <c r="A1103" s="199">
        <v>1100</v>
      </c>
      <c r="B1103" s="350" t="s">
        <v>4022</v>
      </c>
      <c r="C1103" s="391" t="s">
        <v>4027</v>
      </c>
      <c r="D1103" s="392" t="s">
        <v>900</v>
      </c>
      <c r="E1103" s="392" t="s">
        <v>4028</v>
      </c>
      <c r="F1103" s="601">
        <v>1000000</v>
      </c>
      <c r="G1103" s="602"/>
      <c r="H1103" s="603">
        <v>3515494.5</v>
      </c>
      <c r="I1103" s="596" t="s">
        <v>2</v>
      </c>
      <c r="J1103" s="596" t="s">
        <v>4147</v>
      </c>
      <c r="M1103" s="190"/>
      <c r="Q1103" s="2" t="s">
        <v>4265</v>
      </c>
    </row>
    <row r="1104" spans="1:17" s="2" customFormat="1" ht="27.75" customHeight="1">
      <c r="A1104" s="199">
        <v>1101</v>
      </c>
      <c r="B1104" s="350" t="s">
        <v>4022</v>
      </c>
      <c r="C1104" s="391" t="s">
        <v>4029</v>
      </c>
      <c r="D1104" s="392" t="s">
        <v>900</v>
      </c>
      <c r="E1104" s="392" t="s">
        <v>4030</v>
      </c>
      <c r="F1104" s="601">
        <v>1000000</v>
      </c>
      <c r="G1104" s="602"/>
      <c r="H1104" s="603">
        <v>2515494.5</v>
      </c>
      <c r="I1104" s="596" t="s">
        <v>2</v>
      </c>
      <c r="J1104" s="596" t="s">
        <v>4147</v>
      </c>
      <c r="M1104" s="190"/>
      <c r="Q1104" s="2" t="s">
        <v>4265</v>
      </c>
    </row>
    <row r="1105" spans="1:17" ht="27.75" customHeight="1">
      <c r="A1105" s="646">
        <v>1102</v>
      </c>
      <c r="B1105" s="635" t="s">
        <v>4031</v>
      </c>
      <c r="C1105" s="635" t="s">
        <v>4032</v>
      </c>
      <c r="D1105" s="636" t="s">
        <v>900</v>
      </c>
      <c r="E1105" s="636" t="s">
        <v>4033</v>
      </c>
      <c r="F1105" s="650"/>
      <c r="G1105" s="651">
        <v>5000</v>
      </c>
      <c r="H1105" s="638">
        <v>2520494.5</v>
      </c>
      <c r="I1105" s="615" t="s">
        <v>4034</v>
      </c>
      <c r="J1105" s="615" t="s">
        <v>794</v>
      </c>
      <c r="Q1105" s="612" t="s">
        <v>4286</v>
      </c>
    </row>
    <row r="1106" spans="1:17" s="2" customFormat="1" ht="27.75" customHeight="1">
      <c r="A1106" s="199">
        <v>1103</v>
      </c>
      <c r="B1106" s="23" t="s">
        <v>4035</v>
      </c>
      <c r="C1106" s="23" t="s">
        <v>4036</v>
      </c>
      <c r="D1106" s="24" t="s">
        <v>900</v>
      </c>
      <c r="E1106" s="24" t="s">
        <v>4037</v>
      </c>
      <c r="F1106" s="461">
        <v>75000</v>
      </c>
      <c r="G1106" s="445"/>
      <c r="H1106" s="249">
        <v>2445494.5</v>
      </c>
      <c r="I1106" s="1" t="s">
        <v>4040</v>
      </c>
      <c r="J1106" s="1" t="s">
        <v>3761</v>
      </c>
      <c r="M1106" s="190"/>
      <c r="Q1106" t="s">
        <v>4266</v>
      </c>
    </row>
    <row r="1107" spans="1:17" s="2" customFormat="1" ht="27.75" customHeight="1">
      <c r="A1107" s="199">
        <v>1104</v>
      </c>
      <c r="B1107" s="23" t="s">
        <v>4035</v>
      </c>
      <c r="C1107" s="23" t="s">
        <v>4038</v>
      </c>
      <c r="D1107" s="24" t="s">
        <v>900</v>
      </c>
      <c r="E1107" s="24" t="s">
        <v>4039</v>
      </c>
      <c r="F1107" s="461">
        <v>50000</v>
      </c>
      <c r="G1107" s="445"/>
      <c r="H1107" s="249">
        <v>2395494.5</v>
      </c>
      <c r="I1107" s="1" t="s">
        <v>4041</v>
      </c>
      <c r="J1107" s="1" t="s">
        <v>3761</v>
      </c>
      <c r="M1107" s="190"/>
      <c r="Q1107" t="s">
        <v>4266</v>
      </c>
    </row>
    <row r="1108" spans="1:17" s="2" customFormat="1" ht="27.75" customHeight="1">
      <c r="A1108" s="199">
        <v>1105</v>
      </c>
      <c r="B1108" s="354" t="s">
        <v>4042</v>
      </c>
      <c r="C1108" s="354" t="s">
        <v>4043</v>
      </c>
      <c r="D1108" s="355" t="s">
        <v>900</v>
      </c>
      <c r="E1108" s="358" t="s">
        <v>4044</v>
      </c>
      <c r="F1108" s="556">
        <v>30000</v>
      </c>
      <c r="G1108" s="557"/>
      <c r="H1108" s="357">
        <v>2365494.5</v>
      </c>
      <c r="I1108" s="1" t="s">
        <v>149</v>
      </c>
      <c r="J1108" s="1" t="s">
        <v>603</v>
      </c>
      <c r="M1108" s="190"/>
      <c r="Q1108" s="2" t="s">
        <v>4285</v>
      </c>
    </row>
    <row r="1109" spans="1:17" ht="27.75" customHeight="1">
      <c r="A1109" s="646">
        <v>1106</v>
      </c>
      <c r="B1109" s="368" t="s">
        <v>4042</v>
      </c>
      <c r="C1109" s="368" t="s">
        <v>4045</v>
      </c>
      <c r="D1109" s="369" t="s">
        <v>900</v>
      </c>
      <c r="E1109" s="370" t="s">
        <v>4046</v>
      </c>
      <c r="F1109" s="569">
        <v>35000</v>
      </c>
      <c r="G1109" s="576"/>
      <c r="H1109" s="372">
        <v>2330494.5</v>
      </c>
      <c r="I1109" s="615" t="s">
        <v>4034</v>
      </c>
      <c r="J1109" s="615" t="s">
        <v>603</v>
      </c>
      <c r="Q1109" s="612" t="s">
        <v>4286</v>
      </c>
    </row>
    <row r="1110" spans="1:17" s="2" customFormat="1" ht="27.75" customHeight="1">
      <c r="A1110" s="199">
        <v>1107</v>
      </c>
      <c r="B1110" s="354" t="s">
        <v>4042</v>
      </c>
      <c r="C1110" s="354" t="s">
        <v>4047</v>
      </c>
      <c r="D1110" s="355" t="s">
        <v>900</v>
      </c>
      <c r="E1110" s="358" t="s">
        <v>4048</v>
      </c>
      <c r="F1110" s="558">
        <v>30000</v>
      </c>
      <c r="G1110" s="557"/>
      <c r="H1110" s="357">
        <v>2300494.5</v>
      </c>
      <c r="I1110" s="1" t="s">
        <v>715</v>
      </c>
      <c r="J1110" s="1" t="s">
        <v>603</v>
      </c>
      <c r="M1110" s="190"/>
      <c r="Q1110" s="2" t="s">
        <v>4285</v>
      </c>
    </row>
    <row r="1111" spans="1:17" s="2" customFormat="1" ht="27.75" customHeight="1">
      <c r="A1111" s="199">
        <v>1108</v>
      </c>
      <c r="B1111" s="354" t="s">
        <v>4049</v>
      </c>
      <c r="C1111" s="354" t="s">
        <v>4050</v>
      </c>
      <c r="D1111" s="355" t="s">
        <v>900</v>
      </c>
      <c r="E1111" s="358" t="s">
        <v>4051</v>
      </c>
      <c r="F1111" s="559"/>
      <c r="G1111" s="560">
        <v>21000</v>
      </c>
      <c r="H1111" s="356">
        <v>2321494.5</v>
      </c>
      <c r="I1111" s="1" t="s">
        <v>4052</v>
      </c>
      <c r="J1111" s="1" t="s">
        <v>4053</v>
      </c>
      <c r="M1111" s="190"/>
      <c r="Q1111" t="s">
        <v>4266</v>
      </c>
    </row>
    <row r="1112" spans="1:17" s="2" customFormat="1" ht="27.75" customHeight="1">
      <c r="A1112" s="199">
        <v>1109</v>
      </c>
      <c r="B1112" s="359" t="s">
        <v>4054</v>
      </c>
      <c r="C1112" s="359" t="s">
        <v>4055</v>
      </c>
      <c r="D1112" s="360" t="s">
        <v>900</v>
      </c>
      <c r="E1112" s="362" t="s">
        <v>4056</v>
      </c>
      <c r="F1112" s="561">
        <v>30000</v>
      </c>
      <c r="G1112" s="445"/>
      <c r="H1112" s="361">
        <v>2291494.5</v>
      </c>
      <c r="I1112" s="1" t="s">
        <v>149</v>
      </c>
      <c r="J1112" s="1" t="s">
        <v>603</v>
      </c>
      <c r="M1112" s="190"/>
      <c r="Q1112" s="2" t="s">
        <v>4285</v>
      </c>
    </row>
    <row r="1113" spans="1:17" ht="27.75" customHeight="1">
      <c r="A1113" s="646">
        <v>1110</v>
      </c>
      <c r="B1113" s="652" t="s">
        <v>4054</v>
      </c>
      <c r="C1113" s="652" t="s">
        <v>4057</v>
      </c>
      <c r="D1113" s="653" t="s">
        <v>900</v>
      </c>
      <c r="E1113" s="654" t="s">
        <v>4058</v>
      </c>
      <c r="F1113" s="647">
        <v>30000</v>
      </c>
      <c r="G1113" s="641"/>
      <c r="H1113" s="655">
        <v>2261494.5</v>
      </c>
      <c r="I1113" s="615" t="s">
        <v>4034</v>
      </c>
      <c r="J1113" s="615" t="s">
        <v>603</v>
      </c>
      <c r="Q1113" s="612" t="s">
        <v>4286</v>
      </c>
    </row>
    <row r="1114" spans="1:17" s="2" customFormat="1" ht="27.75" customHeight="1">
      <c r="A1114" s="199">
        <v>1111</v>
      </c>
      <c r="B1114" s="359" t="s">
        <v>4054</v>
      </c>
      <c r="C1114" s="359" t="s">
        <v>4059</v>
      </c>
      <c r="D1114" s="360" t="s">
        <v>900</v>
      </c>
      <c r="E1114" s="362" t="s">
        <v>4060</v>
      </c>
      <c r="F1114" s="561">
        <v>30000</v>
      </c>
      <c r="G1114" s="445"/>
      <c r="H1114" s="361">
        <v>2231494.5</v>
      </c>
      <c r="I1114" s="1" t="s">
        <v>715</v>
      </c>
      <c r="J1114" s="1" t="s">
        <v>603</v>
      </c>
      <c r="M1114" s="190"/>
      <c r="Q1114" s="2" t="s">
        <v>4285</v>
      </c>
    </row>
    <row r="1115" spans="1:17" s="2" customFormat="1" ht="27.75" customHeight="1">
      <c r="A1115" s="199">
        <v>1112</v>
      </c>
      <c r="B1115" s="359" t="s">
        <v>4061</v>
      </c>
      <c r="C1115" s="359" t="s">
        <v>4062</v>
      </c>
      <c r="D1115" s="360" t="s">
        <v>900</v>
      </c>
      <c r="E1115" s="362" t="s">
        <v>4063</v>
      </c>
      <c r="F1115" s="562"/>
      <c r="G1115" s="563">
        <v>50000</v>
      </c>
      <c r="H1115" s="363">
        <v>2281494.5</v>
      </c>
      <c r="I1115" s="1" t="s">
        <v>4069</v>
      </c>
      <c r="J1115" s="1" t="s">
        <v>4071</v>
      </c>
      <c r="K1115" s="2" t="s">
        <v>4134</v>
      </c>
      <c r="M1115" s="190"/>
      <c r="Q1115" t="s">
        <v>4266</v>
      </c>
    </row>
    <row r="1116" spans="1:17" s="2" customFormat="1" ht="27.75" customHeight="1">
      <c r="A1116" s="199">
        <v>1113</v>
      </c>
      <c r="B1116" s="359" t="s">
        <v>4061</v>
      </c>
      <c r="C1116" s="359" t="s">
        <v>4064</v>
      </c>
      <c r="D1116" s="360" t="s">
        <v>900</v>
      </c>
      <c r="E1116" s="362" t="s">
        <v>4065</v>
      </c>
      <c r="F1116" s="562"/>
      <c r="G1116" s="564">
        <v>60000</v>
      </c>
      <c r="H1116" s="363">
        <v>2341494.5</v>
      </c>
      <c r="I1116" s="1" t="s">
        <v>4070</v>
      </c>
      <c r="J1116" s="1" t="s">
        <v>4071</v>
      </c>
      <c r="K1116" s="2" t="s">
        <v>4134</v>
      </c>
      <c r="M1116" s="190"/>
      <c r="Q1116" t="s">
        <v>4266</v>
      </c>
    </row>
    <row r="1117" spans="1:17" s="2" customFormat="1" ht="27.75" customHeight="1">
      <c r="A1117" s="199">
        <v>1114</v>
      </c>
      <c r="B1117" s="359" t="s">
        <v>4066</v>
      </c>
      <c r="C1117" s="359" t="s">
        <v>4067</v>
      </c>
      <c r="D1117" s="360" t="s">
        <v>900</v>
      </c>
      <c r="E1117" s="362" t="s">
        <v>4068</v>
      </c>
      <c r="F1117" s="562"/>
      <c r="G1117" s="564">
        <v>508500</v>
      </c>
      <c r="H1117" s="363">
        <v>2849994.5</v>
      </c>
      <c r="I1117" s="1" t="s">
        <v>4069</v>
      </c>
      <c r="J1117" s="1" t="s">
        <v>4071</v>
      </c>
      <c r="K1117" s="2" t="s">
        <v>4134</v>
      </c>
      <c r="M1117" s="190"/>
      <c r="Q1117" t="s">
        <v>4266</v>
      </c>
    </row>
    <row r="1118" spans="1:17" s="2" customFormat="1" ht="27.75" customHeight="1">
      <c r="A1118" s="199">
        <v>1115</v>
      </c>
      <c r="B1118" s="359" t="s">
        <v>4066</v>
      </c>
      <c r="C1118" s="359" t="s">
        <v>4072</v>
      </c>
      <c r="D1118" s="360" t="s">
        <v>900</v>
      </c>
      <c r="E1118" s="362" t="s">
        <v>4073</v>
      </c>
      <c r="F1118" s="562"/>
      <c r="G1118" s="564">
        <v>440000</v>
      </c>
      <c r="H1118" s="360">
        <v>3289994.5</v>
      </c>
      <c r="I1118" s="1" t="s">
        <v>4070</v>
      </c>
      <c r="J1118" s="1" t="s">
        <v>4071</v>
      </c>
      <c r="K1118" s="2" t="s">
        <v>4134</v>
      </c>
      <c r="M1118" s="190"/>
      <c r="Q1118" t="s">
        <v>4266</v>
      </c>
    </row>
    <row r="1119" spans="1:17" s="2" customFormat="1" ht="27.75" customHeight="1">
      <c r="A1119" s="199">
        <v>1116</v>
      </c>
      <c r="B1119" s="359" t="s">
        <v>4074</v>
      </c>
      <c r="C1119" s="359" t="s">
        <v>4075</v>
      </c>
      <c r="D1119" s="360" t="s">
        <v>900</v>
      </c>
      <c r="E1119" s="362" t="s">
        <v>4076</v>
      </c>
      <c r="F1119" s="562"/>
      <c r="G1119" s="564">
        <v>58500</v>
      </c>
      <c r="H1119" s="363">
        <v>3348494.5</v>
      </c>
      <c r="I1119" s="1" t="s">
        <v>4070</v>
      </c>
      <c r="J1119" s="1" t="s">
        <v>4071</v>
      </c>
      <c r="K1119" s="2" t="s">
        <v>4134</v>
      </c>
      <c r="M1119" s="190"/>
      <c r="Q1119" t="s">
        <v>4266</v>
      </c>
    </row>
    <row r="1120" spans="1:17" s="2" customFormat="1" ht="27.75" customHeight="1">
      <c r="A1120" s="199">
        <v>1117</v>
      </c>
      <c r="B1120" s="359" t="s">
        <v>4074</v>
      </c>
      <c r="C1120" s="359" t="s">
        <v>4077</v>
      </c>
      <c r="D1120" s="360" t="s">
        <v>900</v>
      </c>
      <c r="E1120" s="362" t="s">
        <v>4078</v>
      </c>
      <c r="F1120" s="562"/>
      <c r="G1120" s="564">
        <v>54000</v>
      </c>
      <c r="H1120" s="363">
        <v>3402494.5</v>
      </c>
      <c r="I1120" s="1" t="s">
        <v>349</v>
      </c>
      <c r="J1120" s="1" t="s">
        <v>740</v>
      </c>
      <c r="M1120" s="190"/>
      <c r="Q1120" s="2" t="s">
        <v>1345</v>
      </c>
    </row>
    <row r="1121" spans="1:17" s="2" customFormat="1" ht="27.75" customHeight="1">
      <c r="A1121" s="199">
        <v>1118</v>
      </c>
      <c r="B1121" s="359" t="s">
        <v>4079</v>
      </c>
      <c r="C1121" s="359" t="s">
        <v>4080</v>
      </c>
      <c r="D1121" s="360" t="s">
        <v>900</v>
      </c>
      <c r="E1121" s="362" t="s">
        <v>4081</v>
      </c>
      <c r="F1121" s="562"/>
      <c r="G1121" s="564">
        <v>1000</v>
      </c>
      <c r="H1121" s="363">
        <v>3403494.5</v>
      </c>
      <c r="I1121" s="1" t="s">
        <v>4052</v>
      </c>
      <c r="J1121" s="1" t="s">
        <v>4053</v>
      </c>
      <c r="K1121" s="2" t="s">
        <v>4134</v>
      </c>
      <c r="M1121" s="190"/>
      <c r="Q1121" t="s">
        <v>4266</v>
      </c>
    </row>
    <row r="1122" spans="1:17" s="2" customFormat="1" ht="27.75" customHeight="1">
      <c r="A1122" s="199">
        <v>1119</v>
      </c>
      <c r="B1122" s="359" t="s">
        <v>4079</v>
      </c>
      <c r="C1122" s="359" t="s">
        <v>4082</v>
      </c>
      <c r="D1122" s="360" t="s">
        <v>900</v>
      </c>
      <c r="E1122" s="362" t="s">
        <v>4083</v>
      </c>
      <c r="F1122" s="562"/>
      <c r="G1122" s="564">
        <v>49000</v>
      </c>
      <c r="H1122" s="363">
        <v>3452494.5</v>
      </c>
      <c r="I1122" s="1" t="s">
        <v>4052</v>
      </c>
      <c r="J1122" s="1" t="s">
        <v>4053</v>
      </c>
      <c r="K1122" s="2" t="s">
        <v>4134</v>
      </c>
      <c r="M1122" s="190"/>
      <c r="Q1122" t="s">
        <v>4266</v>
      </c>
    </row>
    <row r="1123" spans="1:17" s="2" customFormat="1" ht="27.75" customHeight="1">
      <c r="A1123" s="199">
        <v>1120</v>
      </c>
      <c r="B1123" s="359" t="s">
        <v>4084</v>
      </c>
      <c r="C1123" s="359" t="s">
        <v>4085</v>
      </c>
      <c r="D1123" s="360" t="s">
        <v>900</v>
      </c>
      <c r="E1123" s="362" t="s">
        <v>4086</v>
      </c>
      <c r="F1123" s="562"/>
      <c r="G1123" s="564">
        <v>50000</v>
      </c>
      <c r="H1123" s="363">
        <v>3502494.5</v>
      </c>
      <c r="I1123" s="1" t="s">
        <v>4052</v>
      </c>
      <c r="J1123" s="1" t="s">
        <v>4053</v>
      </c>
      <c r="K1123" s="2" t="s">
        <v>4134</v>
      </c>
      <c r="M1123" s="190"/>
      <c r="Q1123" t="s">
        <v>4266</v>
      </c>
    </row>
    <row r="1124" spans="1:17" s="2" customFormat="1" ht="27.75" customHeight="1">
      <c r="A1124" s="199">
        <v>1121</v>
      </c>
      <c r="B1124" s="359" t="s">
        <v>4087</v>
      </c>
      <c r="C1124" s="359" t="s">
        <v>4088</v>
      </c>
      <c r="D1124" s="360" t="s">
        <v>900</v>
      </c>
      <c r="E1124" s="362" t="s">
        <v>4089</v>
      </c>
      <c r="F1124" s="562"/>
      <c r="G1124" s="564">
        <v>559000</v>
      </c>
      <c r="H1124" s="363">
        <v>4061494.5</v>
      </c>
      <c r="I1124" s="1" t="s">
        <v>4052</v>
      </c>
      <c r="J1124" s="1" t="s">
        <v>4053</v>
      </c>
      <c r="K1124" s="2" t="s">
        <v>4134</v>
      </c>
      <c r="M1124" s="190"/>
      <c r="Q1124" t="s">
        <v>4266</v>
      </c>
    </row>
    <row r="1125" spans="1:17" s="2" customFormat="1" ht="27.75" customHeight="1">
      <c r="A1125" s="199">
        <v>1122</v>
      </c>
      <c r="B1125" s="359" t="s">
        <v>4087</v>
      </c>
      <c r="C1125" s="359" t="s">
        <v>4090</v>
      </c>
      <c r="D1125" s="360" t="s">
        <v>900</v>
      </c>
      <c r="E1125" s="362" t="s">
        <v>4091</v>
      </c>
      <c r="F1125" s="562"/>
      <c r="G1125" s="564">
        <v>350000</v>
      </c>
      <c r="H1125" s="363">
        <v>4411494.5</v>
      </c>
      <c r="I1125" s="1" t="s">
        <v>4052</v>
      </c>
      <c r="J1125" s="1" t="s">
        <v>4053</v>
      </c>
      <c r="K1125" s="2" t="s">
        <v>4134</v>
      </c>
      <c r="M1125" s="190"/>
      <c r="Q1125" t="s">
        <v>4266</v>
      </c>
    </row>
    <row r="1126" spans="1:17" s="2" customFormat="1" ht="27.75" customHeight="1">
      <c r="A1126" s="199">
        <v>1123</v>
      </c>
      <c r="B1126" s="359" t="s">
        <v>4092</v>
      </c>
      <c r="C1126" s="359" t="s">
        <v>4093</v>
      </c>
      <c r="D1126" s="360" t="s">
        <v>900</v>
      </c>
      <c r="E1126" s="362" t="s">
        <v>4094</v>
      </c>
      <c r="F1126" s="562"/>
      <c r="G1126" s="564">
        <v>50000</v>
      </c>
      <c r="H1126" s="363">
        <v>4461494.5</v>
      </c>
      <c r="I1126" s="1" t="s">
        <v>4052</v>
      </c>
      <c r="J1126" s="1" t="s">
        <v>4053</v>
      </c>
      <c r="K1126" s="2" t="s">
        <v>4134</v>
      </c>
      <c r="M1126" s="190"/>
      <c r="Q1126" t="s">
        <v>4266</v>
      </c>
    </row>
    <row r="1127" spans="1:17" s="2" customFormat="1" ht="27.75" customHeight="1">
      <c r="A1127" s="199">
        <v>1124</v>
      </c>
      <c r="B1127" s="359" t="s">
        <v>4092</v>
      </c>
      <c r="C1127" s="359" t="s">
        <v>4095</v>
      </c>
      <c r="D1127" s="360" t="s">
        <v>900</v>
      </c>
      <c r="E1127" s="362" t="s">
        <v>4096</v>
      </c>
      <c r="F1127" s="562"/>
      <c r="G1127" s="564">
        <v>10000</v>
      </c>
      <c r="H1127" s="363">
        <v>4471494.5</v>
      </c>
      <c r="I1127" s="1" t="s">
        <v>4097</v>
      </c>
      <c r="J1127" s="1" t="s">
        <v>4108</v>
      </c>
      <c r="K1127" s="2" t="s">
        <v>4135</v>
      </c>
      <c r="M1127" s="190"/>
      <c r="Q1127" t="s">
        <v>4266</v>
      </c>
    </row>
    <row r="1128" spans="1:17" s="2" customFormat="1" ht="27.75" customHeight="1">
      <c r="A1128" s="199">
        <v>1125</v>
      </c>
      <c r="B1128" s="359" t="s">
        <v>4098</v>
      </c>
      <c r="C1128" s="359" t="s">
        <v>4099</v>
      </c>
      <c r="D1128" s="360" t="s">
        <v>900</v>
      </c>
      <c r="E1128" s="362" t="s">
        <v>4100</v>
      </c>
      <c r="F1128" s="562"/>
      <c r="G1128" s="565">
        <v>425023.6</v>
      </c>
      <c r="H1128" s="363">
        <v>4896518.0999999996</v>
      </c>
      <c r="I1128" s="1" t="s">
        <v>4097</v>
      </c>
      <c r="J1128" s="1" t="s">
        <v>4108</v>
      </c>
      <c r="K1128" s="2" t="s">
        <v>4135</v>
      </c>
      <c r="M1128" s="190"/>
      <c r="Q1128" t="s">
        <v>4266</v>
      </c>
    </row>
    <row r="1129" spans="1:17" s="2" customFormat="1" ht="27.75" customHeight="1">
      <c r="A1129" s="199">
        <v>1126</v>
      </c>
      <c r="B1129" s="359" t="s">
        <v>4101</v>
      </c>
      <c r="C1129" s="359" t="s">
        <v>4102</v>
      </c>
      <c r="D1129" s="360" t="s">
        <v>900</v>
      </c>
      <c r="E1129" s="362" t="s">
        <v>4103</v>
      </c>
      <c r="F1129" s="561">
        <v>29700</v>
      </c>
      <c r="G1129" s="445"/>
      <c r="H1129" s="361">
        <v>4866818.0999999996</v>
      </c>
      <c r="I1129" s="1" t="s">
        <v>149</v>
      </c>
      <c r="J1129" s="1" t="s">
        <v>603</v>
      </c>
      <c r="M1129" s="190"/>
      <c r="Q1129" s="2" t="s">
        <v>4285</v>
      </c>
    </row>
    <row r="1130" spans="1:17" ht="27.75" customHeight="1">
      <c r="A1130" s="646">
        <v>1127</v>
      </c>
      <c r="B1130" s="652" t="s">
        <v>4101</v>
      </c>
      <c r="C1130" s="652" t="s">
        <v>4104</v>
      </c>
      <c r="D1130" s="653" t="s">
        <v>900</v>
      </c>
      <c r="E1130" s="654" t="s">
        <v>4105</v>
      </c>
      <c r="F1130" s="647">
        <v>29700</v>
      </c>
      <c r="G1130" s="641"/>
      <c r="H1130" s="655">
        <v>4837118.0999999996</v>
      </c>
      <c r="I1130" s="615" t="s">
        <v>3597</v>
      </c>
      <c r="J1130" s="615" t="s">
        <v>603</v>
      </c>
      <c r="Q1130" s="612" t="s">
        <v>4286</v>
      </c>
    </row>
    <row r="1131" spans="1:17" s="2" customFormat="1" ht="27.75" customHeight="1">
      <c r="A1131" s="199">
        <v>1128</v>
      </c>
      <c r="B1131" s="359" t="s">
        <v>4101</v>
      </c>
      <c r="C1131" s="359" t="s">
        <v>4106</v>
      </c>
      <c r="D1131" s="360" t="s">
        <v>900</v>
      </c>
      <c r="E1131" s="362" t="s">
        <v>4107</v>
      </c>
      <c r="F1131" s="561">
        <v>29700</v>
      </c>
      <c r="G1131" s="445"/>
      <c r="H1131" s="361">
        <v>4807418.0999999996</v>
      </c>
      <c r="I1131" s="1" t="s">
        <v>715</v>
      </c>
      <c r="J1131" s="1" t="s">
        <v>603</v>
      </c>
      <c r="M1131" s="190"/>
      <c r="Q1131" s="2" t="s">
        <v>4285</v>
      </c>
    </row>
    <row r="1132" spans="1:17" s="2" customFormat="1" ht="27.75" customHeight="1">
      <c r="A1132" s="199">
        <v>1129</v>
      </c>
      <c r="B1132" s="359" t="s">
        <v>4109</v>
      </c>
      <c r="C1132" s="359" t="s">
        <v>4110</v>
      </c>
      <c r="D1132" s="360" t="s">
        <v>900</v>
      </c>
      <c r="E1132" s="360" t="s">
        <v>4111</v>
      </c>
      <c r="F1132" s="561">
        <v>250000</v>
      </c>
      <c r="G1132" s="445"/>
      <c r="H1132" s="361">
        <v>4557418.0999999996</v>
      </c>
      <c r="I1132" s="1" t="s">
        <v>72</v>
      </c>
      <c r="J1132" s="1" t="s">
        <v>4112</v>
      </c>
      <c r="K1132" s="2" t="s">
        <v>4136</v>
      </c>
      <c r="M1132" s="190"/>
      <c r="Q1132" t="s">
        <v>4266</v>
      </c>
    </row>
    <row r="1133" spans="1:17" s="2" customFormat="1" ht="27.75" customHeight="1">
      <c r="A1133" s="199">
        <v>1130</v>
      </c>
      <c r="B1133" s="359" t="s">
        <v>4113</v>
      </c>
      <c r="C1133" s="359" t="s">
        <v>4114</v>
      </c>
      <c r="D1133" s="360" t="s">
        <v>900</v>
      </c>
      <c r="E1133" s="360" t="s">
        <v>4115</v>
      </c>
      <c r="F1133" s="566"/>
      <c r="G1133" s="567">
        <v>1</v>
      </c>
      <c r="H1133" s="361">
        <v>4557419.0999999996</v>
      </c>
      <c r="I1133" s="1" t="s">
        <v>4118</v>
      </c>
      <c r="J1133" s="1" t="s">
        <v>4119</v>
      </c>
      <c r="K1133" s="2" t="s">
        <v>4135</v>
      </c>
      <c r="M1133" s="190"/>
      <c r="Q1133" t="s">
        <v>4266</v>
      </c>
    </row>
    <row r="1134" spans="1:17" s="2" customFormat="1" ht="27.75" customHeight="1">
      <c r="A1134" s="199">
        <v>1131</v>
      </c>
      <c r="B1134" s="359" t="s">
        <v>4113</v>
      </c>
      <c r="C1134" s="359" t="s">
        <v>4116</v>
      </c>
      <c r="D1134" s="360" t="s">
        <v>900</v>
      </c>
      <c r="E1134" s="360" t="s">
        <v>4117</v>
      </c>
      <c r="F1134" s="562"/>
      <c r="G1134" s="563">
        <v>11000</v>
      </c>
      <c r="H1134" s="363">
        <v>4568419.0999999996</v>
      </c>
      <c r="I1134" s="1" t="s">
        <v>4118</v>
      </c>
      <c r="J1134" s="1" t="s">
        <v>4119</v>
      </c>
      <c r="K1134" s="2" t="s">
        <v>4135</v>
      </c>
      <c r="M1134" s="190"/>
      <c r="Q1134" t="s">
        <v>4266</v>
      </c>
    </row>
    <row r="1135" spans="1:17" s="2" customFormat="1" ht="27.75" customHeight="1">
      <c r="A1135" s="199">
        <v>1132</v>
      </c>
      <c r="B1135" s="364" t="s">
        <v>4120</v>
      </c>
      <c r="C1135" s="364" t="s">
        <v>4121</v>
      </c>
      <c r="D1135" s="365" t="s">
        <v>900</v>
      </c>
      <c r="E1135" s="366" t="s">
        <v>4122</v>
      </c>
      <c r="F1135" s="568">
        <v>29700</v>
      </c>
      <c r="G1135" s="568"/>
      <c r="H1135" s="367">
        <v>4538719.0999999996</v>
      </c>
      <c r="I1135" s="1" t="s">
        <v>149</v>
      </c>
      <c r="J1135" s="1" t="s">
        <v>603</v>
      </c>
      <c r="M1135" s="190"/>
      <c r="Q1135" s="2" t="s">
        <v>4285</v>
      </c>
    </row>
    <row r="1136" spans="1:17" ht="27.75" customHeight="1">
      <c r="A1136" s="646">
        <v>1133</v>
      </c>
      <c r="B1136" s="364" t="s">
        <v>4120</v>
      </c>
      <c r="C1136" s="364" t="s">
        <v>4123</v>
      </c>
      <c r="D1136" s="365" t="s">
        <v>900</v>
      </c>
      <c r="E1136" s="366" t="s">
        <v>4124</v>
      </c>
      <c r="F1136" s="568">
        <v>29700</v>
      </c>
      <c r="G1136" s="568"/>
      <c r="H1136" s="367">
        <v>4509019.0999999996</v>
      </c>
      <c r="I1136" s="615" t="s">
        <v>3597</v>
      </c>
      <c r="J1136" s="615" t="s">
        <v>603</v>
      </c>
      <c r="Q1136" s="612" t="s">
        <v>4286</v>
      </c>
    </row>
    <row r="1137" spans="1:17" s="2" customFormat="1" ht="27.75" customHeight="1">
      <c r="A1137" s="199">
        <v>1134</v>
      </c>
      <c r="B1137" s="364" t="s">
        <v>4120</v>
      </c>
      <c r="C1137" s="364" t="s">
        <v>4125</v>
      </c>
      <c r="D1137" s="365" t="s">
        <v>900</v>
      </c>
      <c r="E1137" s="366" t="s">
        <v>4126</v>
      </c>
      <c r="F1137" s="568">
        <v>29700</v>
      </c>
      <c r="G1137" s="568"/>
      <c r="H1137" s="367">
        <v>4479319.0999999996</v>
      </c>
      <c r="I1137" s="1" t="s">
        <v>715</v>
      </c>
      <c r="J1137" s="1" t="s">
        <v>603</v>
      </c>
      <c r="M1137" s="190"/>
      <c r="Q1137" s="2" t="s">
        <v>4285</v>
      </c>
    </row>
    <row r="1138" spans="1:17" s="2" customFormat="1" ht="27.75" customHeight="1">
      <c r="A1138" s="199">
        <v>1135</v>
      </c>
      <c r="B1138" s="368" t="s">
        <v>4127</v>
      </c>
      <c r="C1138" s="604" t="s">
        <v>4128</v>
      </c>
      <c r="D1138" s="605" t="s">
        <v>900</v>
      </c>
      <c r="E1138" s="606" t="s">
        <v>4129</v>
      </c>
      <c r="F1138" s="607">
        <v>1000000</v>
      </c>
      <c r="G1138" s="608"/>
      <c r="H1138" s="609">
        <v>3479319.1</v>
      </c>
      <c r="I1138" s="596" t="s">
        <v>2</v>
      </c>
      <c r="J1138" s="596" t="s">
        <v>4147</v>
      </c>
      <c r="M1138" s="190"/>
      <c r="Q1138" s="2" t="s">
        <v>4265</v>
      </c>
    </row>
    <row r="1139" spans="1:17" s="2" customFormat="1" ht="27.75" customHeight="1">
      <c r="A1139" s="199">
        <v>1136</v>
      </c>
      <c r="B1139" s="368" t="s">
        <v>4127</v>
      </c>
      <c r="C1139" s="604" t="s">
        <v>4130</v>
      </c>
      <c r="D1139" s="605" t="s">
        <v>900</v>
      </c>
      <c r="E1139" s="606" t="s">
        <v>4131</v>
      </c>
      <c r="F1139" s="607">
        <v>1000000</v>
      </c>
      <c r="G1139" s="608"/>
      <c r="H1139" s="609">
        <v>2479319.1</v>
      </c>
      <c r="I1139" s="596" t="s">
        <v>2</v>
      </c>
      <c r="J1139" s="596" t="s">
        <v>4147</v>
      </c>
      <c r="M1139" s="190"/>
      <c r="Q1139" s="2" t="s">
        <v>4265</v>
      </c>
    </row>
    <row r="1140" spans="1:17" s="2" customFormat="1" ht="27.75" customHeight="1">
      <c r="A1140" s="199">
        <v>1137</v>
      </c>
      <c r="B1140" s="368" t="s">
        <v>4127</v>
      </c>
      <c r="C1140" s="604" t="s">
        <v>4132</v>
      </c>
      <c r="D1140" s="605" t="s">
        <v>900</v>
      </c>
      <c r="E1140" s="606" t="s">
        <v>4133</v>
      </c>
      <c r="F1140" s="607">
        <v>1000000</v>
      </c>
      <c r="G1140" s="608"/>
      <c r="H1140" s="609">
        <v>1479319.1</v>
      </c>
      <c r="I1140" s="596" t="s">
        <v>2</v>
      </c>
      <c r="J1140" s="596" t="s">
        <v>4147</v>
      </c>
      <c r="M1140" s="190"/>
      <c r="Q1140" s="2" t="s">
        <v>4265</v>
      </c>
    </row>
    <row r="1141" spans="1:17" s="2" customFormat="1" ht="27.75" customHeight="1">
      <c r="A1141" s="199">
        <v>1138</v>
      </c>
      <c r="B1141" s="364" t="s">
        <v>4137</v>
      </c>
      <c r="C1141" s="364" t="s">
        <v>4138</v>
      </c>
      <c r="D1141" s="365" t="s">
        <v>900</v>
      </c>
      <c r="E1141" s="366" t="s">
        <v>4139</v>
      </c>
      <c r="F1141" s="568">
        <v>27900</v>
      </c>
      <c r="G1141" s="568"/>
      <c r="H1141" s="367">
        <v>1451419.1</v>
      </c>
      <c r="I1141" s="1" t="s">
        <v>149</v>
      </c>
      <c r="J1141" s="1" t="s">
        <v>603</v>
      </c>
      <c r="M1141" s="190"/>
      <c r="Q1141" s="2" t="s">
        <v>4285</v>
      </c>
    </row>
    <row r="1142" spans="1:17" ht="27.75" customHeight="1">
      <c r="A1142" s="646">
        <v>1139</v>
      </c>
      <c r="B1142" s="364" t="s">
        <v>4137</v>
      </c>
      <c r="C1142" s="364" t="s">
        <v>4140</v>
      </c>
      <c r="D1142" s="365" t="s">
        <v>900</v>
      </c>
      <c r="E1142" s="366" t="s">
        <v>4141</v>
      </c>
      <c r="F1142" s="568">
        <v>27900</v>
      </c>
      <c r="G1142" s="568"/>
      <c r="H1142" s="367">
        <v>1423519.1</v>
      </c>
      <c r="I1142" s="615" t="s">
        <v>3597</v>
      </c>
      <c r="J1142" s="615" t="s">
        <v>603</v>
      </c>
      <c r="Q1142" s="612" t="s">
        <v>4286</v>
      </c>
    </row>
    <row r="1143" spans="1:17" s="2" customFormat="1" ht="27.75" customHeight="1">
      <c r="A1143" s="199">
        <v>1140</v>
      </c>
      <c r="B1143" s="364" t="s">
        <v>4137</v>
      </c>
      <c r="C1143" s="364" t="s">
        <v>4142</v>
      </c>
      <c r="D1143" s="365" t="s">
        <v>900</v>
      </c>
      <c r="E1143" s="366" t="s">
        <v>4143</v>
      </c>
      <c r="F1143" s="568">
        <v>27900</v>
      </c>
      <c r="G1143" s="568"/>
      <c r="H1143" s="367">
        <v>1395619.1</v>
      </c>
      <c r="I1143" s="1" t="s">
        <v>715</v>
      </c>
      <c r="J1143" s="1" t="s">
        <v>603</v>
      </c>
      <c r="M1143" s="190"/>
      <c r="Q1143" s="2" t="s">
        <v>4285</v>
      </c>
    </row>
    <row r="1144" spans="1:17" s="2" customFormat="1" ht="27.75" customHeight="1">
      <c r="A1144" s="199">
        <v>1141</v>
      </c>
      <c r="B1144" s="368" t="s">
        <v>4144</v>
      </c>
      <c r="C1144" s="368" t="s">
        <v>4145</v>
      </c>
      <c r="D1144" s="369" t="s">
        <v>900</v>
      </c>
      <c r="E1144" s="370" t="s">
        <v>4146</v>
      </c>
      <c r="F1144" s="569">
        <v>1000000</v>
      </c>
      <c r="G1144" s="570"/>
      <c r="H1144" s="372">
        <v>395619.1</v>
      </c>
      <c r="I1144" s="1" t="s">
        <v>870</v>
      </c>
      <c r="J1144" s="1" t="s">
        <v>794</v>
      </c>
      <c r="M1144" s="190"/>
      <c r="Q1144" s="2" t="s">
        <v>4307</v>
      </c>
    </row>
    <row r="1145" spans="1:17" s="2" customFormat="1" ht="27.75" customHeight="1">
      <c r="A1145" s="199">
        <v>1142</v>
      </c>
      <c r="B1145" s="368" t="s">
        <v>4148</v>
      </c>
      <c r="C1145" s="368" t="s">
        <v>4149</v>
      </c>
      <c r="D1145" s="369" t="s">
        <v>900</v>
      </c>
      <c r="E1145" s="370" t="s">
        <v>4150</v>
      </c>
      <c r="F1145" s="569">
        <v>27900</v>
      </c>
      <c r="G1145" s="570"/>
      <c r="H1145" s="372">
        <v>367719.1</v>
      </c>
      <c r="I1145" s="1" t="s">
        <v>149</v>
      </c>
      <c r="J1145" s="1" t="s">
        <v>603</v>
      </c>
      <c r="M1145" s="190"/>
      <c r="Q1145" s="2" t="s">
        <v>4285</v>
      </c>
    </row>
    <row r="1146" spans="1:17" ht="27.75" customHeight="1">
      <c r="A1146" s="646">
        <v>1143</v>
      </c>
      <c r="B1146" s="368" t="s">
        <v>4148</v>
      </c>
      <c r="C1146" s="368" t="s">
        <v>4151</v>
      </c>
      <c r="D1146" s="369" t="s">
        <v>900</v>
      </c>
      <c r="E1146" s="370" t="s">
        <v>4152</v>
      </c>
      <c r="F1146" s="569">
        <v>27900</v>
      </c>
      <c r="G1146" s="570"/>
      <c r="H1146" s="372">
        <v>339819.1</v>
      </c>
      <c r="I1146" s="615" t="s">
        <v>3597</v>
      </c>
      <c r="J1146" s="615" t="s">
        <v>603</v>
      </c>
      <c r="Q1146" s="612" t="s">
        <v>4286</v>
      </c>
    </row>
    <row r="1147" spans="1:17" s="2" customFormat="1" ht="27.75" customHeight="1">
      <c r="A1147" s="199">
        <v>1144</v>
      </c>
      <c r="B1147" s="368" t="s">
        <v>4148</v>
      </c>
      <c r="C1147" s="368" t="s">
        <v>4153</v>
      </c>
      <c r="D1147" s="369" t="s">
        <v>900</v>
      </c>
      <c r="E1147" s="370" t="s">
        <v>4154</v>
      </c>
      <c r="F1147" s="569">
        <v>27900</v>
      </c>
      <c r="G1147" s="570"/>
      <c r="H1147" s="372">
        <v>311919.09999999998</v>
      </c>
      <c r="I1147" s="1" t="s">
        <v>715</v>
      </c>
      <c r="J1147" s="1" t="s">
        <v>603</v>
      </c>
      <c r="M1147" s="190"/>
      <c r="Q1147" s="2" t="s">
        <v>4285</v>
      </c>
    </row>
    <row r="1148" spans="1:17" s="2" customFormat="1" ht="27.75" customHeight="1">
      <c r="A1148" s="199">
        <v>1145</v>
      </c>
      <c r="B1148" s="364" t="s">
        <v>4155</v>
      </c>
      <c r="C1148" s="364" t="s">
        <v>4156</v>
      </c>
      <c r="D1148" s="365" t="s">
        <v>900</v>
      </c>
      <c r="E1148" s="366" t="s">
        <v>4157</v>
      </c>
      <c r="F1148" s="571"/>
      <c r="G1148" s="568">
        <v>60000</v>
      </c>
      <c r="H1148" s="367">
        <v>371919.1</v>
      </c>
      <c r="I1148" s="1" t="s">
        <v>4097</v>
      </c>
      <c r="J1148" s="1" t="s">
        <v>4108</v>
      </c>
      <c r="M1148" s="190"/>
      <c r="Q1148" t="s">
        <v>4266</v>
      </c>
    </row>
    <row r="1149" spans="1:17" s="2" customFormat="1" ht="27.75" customHeight="1">
      <c r="A1149" s="199">
        <v>1146</v>
      </c>
      <c r="B1149" s="368" t="s">
        <v>4158</v>
      </c>
      <c r="C1149" s="368" t="s">
        <v>4159</v>
      </c>
      <c r="D1149" s="369" t="s">
        <v>900</v>
      </c>
      <c r="E1149" s="370" t="s">
        <v>4160</v>
      </c>
      <c r="F1149" s="569">
        <v>31500</v>
      </c>
      <c r="G1149" s="570"/>
      <c r="H1149" s="372">
        <v>340419.1</v>
      </c>
      <c r="I1149" s="1" t="s">
        <v>149</v>
      </c>
      <c r="J1149" s="1" t="s">
        <v>603</v>
      </c>
      <c r="M1149" s="190"/>
      <c r="Q1149" s="2" t="s">
        <v>4285</v>
      </c>
    </row>
    <row r="1150" spans="1:17" ht="27.75" customHeight="1">
      <c r="A1150" s="646">
        <v>1147</v>
      </c>
      <c r="B1150" s="368" t="s">
        <v>4158</v>
      </c>
      <c r="C1150" s="368" t="s">
        <v>4161</v>
      </c>
      <c r="D1150" s="369" t="s">
        <v>900</v>
      </c>
      <c r="E1150" s="370" t="s">
        <v>4162</v>
      </c>
      <c r="F1150" s="569">
        <v>31500</v>
      </c>
      <c r="G1150" s="570"/>
      <c r="H1150" s="372">
        <v>308919.09999999998</v>
      </c>
      <c r="I1150" s="615" t="s">
        <v>3597</v>
      </c>
      <c r="J1150" s="615" t="s">
        <v>603</v>
      </c>
      <c r="Q1150" s="612" t="s">
        <v>4286</v>
      </c>
    </row>
    <row r="1151" spans="1:17" s="380" customFormat="1" ht="27.75" customHeight="1">
      <c r="A1151" s="373">
        <v>1148</v>
      </c>
      <c r="B1151" s="374" t="s">
        <v>4158</v>
      </c>
      <c r="C1151" s="374" t="s">
        <v>4163</v>
      </c>
      <c r="D1151" s="375" t="s">
        <v>900</v>
      </c>
      <c r="E1151" s="376" t="s">
        <v>4164</v>
      </c>
      <c r="F1151" s="572">
        <v>31500</v>
      </c>
      <c r="G1151" s="573"/>
      <c r="H1151" s="378">
        <v>277419.09999999998</v>
      </c>
      <c r="I1151" s="379"/>
      <c r="J1151" s="379"/>
      <c r="M1151" s="381"/>
      <c r="Q1151" s="2" t="s">
        <v>4285</v>
      </c>
    </row>
    <row r="1152" spans="1:17" s="380" customFormat="1" ht="27.75" customHeight="1">
      <c r="A1152" s="373">
        <v>1149</v>
      </c>
      <c r="B1152" s="374" t="s">
        <v>4158</v>
      </c>
      <c r="C1152" s="374" t="s">
        <v>4165</v>
      </c>
      <c r="D1152" s="375" t="s">
        <v>900</v>
      </c>
      <c r="E1152" s="376" t="s">
        <v>4164</v>
      </c>
      <c r="F1152" s="574"/>
      <c r="G1152" s="575">
        <v>31500</v>
      </c>
      <c r="H1152" s="377">
        <v>308919.09999999998</v>
      </c>
      <c r="I1152" s="379"/>
      <c r="J1152" s="379"/>
      <c r="M1152" s="381"/>
      <c r="Q1152" s="2" t="s">
        <v>4285</v>
      </c>
    </row>
    <row r="1153" spans="1:17" s="2" customFormat="1" ht="27.75" customHeight="1">
      <c r="A1153" s="199">
        <v>1150</v>
      </c>
      <c r="B1153" s="368" t="s">
        <v>4166</v>
      </c>
      <c r="C1153" s="368" t="s">
        <v>4167</v>
      </c>
      <c r="D1153" s="369" t="s">
        <v>900</v>
      </c>
      <c r="E1153" s="370" t="s">
        <v>4168</v>
      </c>
      <c r="F1153" s="569">
        <v>31500</v>
      </c>
      <c r="G1153" s="570"/>
      <c r="H1153" s="382">
        <v>277419.09999999998</v>
      </c>
      <c r="I1153" s="1" t="s">
        <v>715</v>
      </c>
      <c r="J1153" s="1" t="s">
        <v>603</v>
      </c>
      <c r="M1153" s="190"/>
      <c r="Q1153" s="2" t="s">
        <v>4285</v>
      </c>
    </row>
    <row r="1154" spans="1:17" s="2" customFormat="1" ht="27.75" customHeight="1">
      <c r="A1154" s="199">
        <v>1151</v>
      </c>
      <c r="B1154" s="368" t="s">
        <v>4169</v>
      </c>
      <c r="C1154" s="368" t="s">
        <v>4170</v>
      </c>
      <c r="D1154" s="369" t="s">
        <v>900</v>
      </c>
      <c r="E1154" s="370" t="s">
        <v>4171</v>
      </c>
      <c r="F1154" s="569">
        <v>29700</v>
      </c>
      <c r="G1154" s="570"/>
      <c r="H1154" s="372">
        <v>247719.1</v>
      </c>
      <c r="I1154" s="1" t="s">
        <v>149</v>
      </c>
      <c r="J1154" s="1" t="s">
        <v>603</v>
      </c>
      <c r="M1154" s="190"/>
      <c r="Q1154" s="2" t="s">
        <v>4285</v>
      </c>
    </row>
    <row r="1155" spans="1:17" ht="27.75" customHeight="1">
      <c r="A1155" s="646">
        <v>1152</v>
      </c>
      <c r="B1155" s="368" t="s">
        <v>4169</v>
      </c>
      <c r="C1155" s="368" t="s">
        <v>4172</v>
      </c>
      <c r="D1155" s="369" t="s">
        <v>900</v>
      </c>
      <c r="E1155" s="370" t="s">
        <v>4173</v>
      </c>
      <c r="F1155" s="569">
        <v>29700</v>
      </c>
      <c r="G1155" s="570"/>
      <c r="H1155" s="372">
        <v>218019.1</v>
      </c>
      <c r="I1155" s="615" t="s">
        <v>3597</v>
      </c>
      <c r="J1155" s="615" t="s">
        <v>603</v>
      </c>
      <c r="Q1155" s="612" t="s">
        <v>4286</v>
      </c>
    </row>
    <row r="1156" spans="1:17" s="380" customFormat="1" ht="27.75" customHeight="1">
      <c r="A1156" s="373">
        <v>1153</v>
      </c>
      <c r="B1156" s="374" t="s">
        <v>4169</v>
      </c>
      <c r="C1156" s="374" t="s">
        <v>4174</v>
      </c>
      <c r="D1156" s="375" t="s">
        <v>900</v>
      </c>
      <c r="E1156" s="376" t="s">
        <v>4175</v>
      </c>
      <c r="F1156" s="572">
        <v>29700</v>
      </c>
      <c r="G1156" s="573"/>
      <c r="H1156" s="378">
        <v>188319.1</v>
      </c>
      <c r="I1156" s="379"/>
      <c r="J1156" s="379"/>
      <c r="M1156" s="381"/>
      <c r="Q1156" s="2" t="s">
        <v>4285</v>
      </c>
    </row>
    <row r="1157" spans="1:17" s="380" customFormat="1" ht="27.75" customHeight="1">
      <c r="A1157" s="373">
        <v>1154</v>
      </c>
      <c r="B1157" s="374" t="s">
        <v>4169</v>
      </c>
      <c r="C1157" s="374" t="s">
        <v>4176</v>
      </c>
      <c r="D1157" s="375" t="s">
        <v>900</v>
      </c>
      <c r="E1157" s="376" t="s">
        <v>4175</v>
      </c>
      <c r="F1157" s="574"/>
      <c r="G1157" s="575">
        <v>29700</v>
      </c>
      <c r="H1157" s="377">
        <v>218019.1</v>
      </c>
      <c r="I1157" s="379"/>
      <c r="J1157" s="379"/>
      <c r="M1157" s="381"/>
      <c r="Q1157" s="2" t="s">
        <v>4285</v>
      </c>
    </row>
    <row r="1158" spans="1:17" s="2" customFormat="1" ht="27.75" customHeight="1">
      <c r="A1158" s="199">
        <v>1155</v>
      </c>
      <c r="B1158" s="368" t="s">
        <v>4177</v>
      </c>
      <c r="C1158" s="368" t="s">
        <v>4178</v>
      </c>
      <c r="D1158" s="369" t="s">
        <v>900</v>
      </c>
      <c r="E1158" s="369" t="s">
        <v>4179</v>
      </c>
      <c r="F1158" s="569">
        <v>29700</v>
      </c>
      <c r="G1158" s="576"/>
      <c r="H1158" s="372">
        <v>188319.1</v>
      </c>
      <c r="I1158" s="1" t="s">
        <v>715</v>
      </c>
      <c r="J1158" s="1" t="s">
        <v>603</v>
      </c>
      <c r="M1158" s="190"/>
      <c r="Q1158" s="2" t="s">
        <v>4285</v>
      </c>
    </row>
    <row r="1159" spans="1:17" s="2" customFormat="1" ht="27.75" customHeight="1">
      <c r="A1159" s="199">
        <v>1156</v>
      </c>
      <c r="B1159" s="368" t="s">
        <v>4180</v>
      </c>
      <c r="C1159" s="368" t="s">
        <v>4181</v>
      </c>
      <c r="D1159" s="369" t="s">
        <v>900</v>
      </c>
      <c r="E1159" s="370" t="s">
        <v>4182</v>
      </c>
      <c r="F1159" s="577"/>
      <c r="G1159" s="578">
        <v>200000</v>
      </c>
      <c r="H1159" s="372">
        <v>388319.1</v>
      </c>
      <c r="I1159" s="1" t="s">
        <v>4097</v>
      </c>
      <c r="J1159" s="1" t="s">
        <v>4108</v>
      </c>
      <c r="M1159" s="190"/>
      <c r="Q1159" t="s">
        <v>4266</v>
      </c>
    </row>
    <row r="1160" spans="1:17" s="2" customFormat="1" ht="27.75" customHeight="1">
      <c r="A1160" s="199">
        <v>1157</v>
      </c>
      <c r="B1160" s="368" t="s">
        <v>4180</v>
      </c>
      <c r="C1160" s="368" t="s">
        <v>4183</v>
      </c>
      <c r="D1160" s="369" t="s">
        <v>900</v>
      </c>
      <c r="E1160" s="370" t="s">
        <v>4184</v>
      </c>
      <c r="F1160" s="569">
        <v>200000</v>
      </c>
      <c r="G1160" s="570"/>
      <c r="H1160" s="372">
        <v>188319.1</v>
      </c>
      <c r="I1160" s="1" t="s">
        <v>4097</v>
      </c>
      <c r="J1160" s="1" t="s">
        <v>4185</v>
      </c>
      <c r="M1160" s="190"/>
      <c r="Q1160" t="s">
        <v>4266</v>
      </c>
    </row>
    <row r="1161" spans="1:17" s="2" customFormat="1" ht="27.75" customHeight="1">
      <c r="A1161" s="199">
        <v>1158</v>
      </c>
      <c r="B1161" s="368" t="s">
        <v>4186</v>
      </c>
      <c r="C1161" s="368" t="s">
        <v>4187</v>
      </c>
      <c r="D1161" s="369" t="s">
        <v>900</v>
      </c>
      <c r="E1161" s="370" t="s">
        <v>4188</v>
      </c>
      <c r="F1161" s="569">
        <v>29700</v>
      </c>
      <c r="G1161" s="570"/>
      <c r="H1161" s="382">
        <v>158619.1</v>
      </c>
      <c r="I1161" s="1" t="s">
        <v>149</v>
      </c>
      <c r="J1161" s="1" t="s">
        <v>603</v>
      </c>
      <c r="M1161" s="190"/>
      <c r="Q1161" s="2" t="s">
        <v>4285</v>
      </c>
    </row>
    <row r="1162" spans="1:17" ht="27.75" customHeight="1">
      <c r="A1162" s="646">
        <v>1159</v>
      </c>
      <c r="B1162" s="368" t="s">
        <v>4186</v>
      </c>
      <c r="C1162" s="368" t="s">
        <v>4189</v>
      </c>
      <c r="D1162" s="369" t="s">
        <v>900</v>
      </c>
      <c r="E1162" s="370" t="s">
        <v>4190</v>
      </c>
      <c r="F1162" s="569">
        <v>29700</v>
      </c>
      <c r="G1162" s="570"/>
      <c r="H1162" s="382">
        <v>128919.1</v>
      </c>
      <c r="I1162" s="615" t="s">
        <v>3597</v>
      </c>
      <c r="J1162" s="615" t="s">
        <v>603</v>
      </c>
      <c r="Q1162" s="612" t="s">
        <v>4286</v>
      </c>
    </row>
    <row r="1163" spans="1:17" s="2" customFormat="1" ht="27.75" customHeight="1">
      <c r="A1163" s="199">
        <v>1160</v>
      </c>
      <c r="B1163" s="364" t="s">
        <v>4191</v>
      </c>
      <c r="C1163" s="364" t="s">
        <v>4192</v>
      </c>
      <c r="D1163" s="365" t="s">
        <v>900</v>
      </c>
      <c r="E1163" s="366" t="s">
        <v>4182</v>
      </c>
      <c r="F1163" s="571"/>
      <c r="G1163" s="568">
        <v>200000</v>
      </c>
      <c r="H1163" s="367">
        <v>328919.09999999998</v>
      </c>
      <c r="I1163" s="1" t="s">
        <v>4097</v>
      </c>
      <c r="J1163" s="1" t="s">
        <v>4108</v>
      </c>
      <c r="M1163" s="190"/>
      <c r="Q1163" t="s">
        <v>4266</v>
      </c>
    </row>
    <row r="1164" spans="1:17" s="2" customFormat="1" ht="27.75" customHeight="1">
      <c r="A1164" s="199">
        <v>1161</v>
      </c>
      <c r="B1164" s="368" t="s">
        <v>4193</v>
      </c>
      <c r="C1164" s="368" t="s">
        <v>4194</v>
      </c>
      <c r="D1164" s="369" t="s">
        <v>900</v>
      </c>
      <c r="E1164" s="370" t="s">
        <v>4195</v>
      </c>
      <c r="F1164" s="579">
        <v>29700</v>
      </c>
      <c r="G1164" s="580"/>
      <c r="H1164" s="371">
        <v>299219.09999999998</v>
      </c>
      <c r="I1164" s="1" t="s">
        <v>149</v>
      </c>
      <c r="J1164" s="1" t="s">
        <v>603</v>
      </c>
      <c r="M1164" s="190"/>
      <c r="Q1164" s="2" t="s">
        <v>4285</v>
      </c>
    </row>
    <row r="1165" spans="1:17" s="2" customFormat="1" ht="27.75" customHeight="1">
      <c r="A1165" s="199">
        <v>1162</v>
      </c>
      <c r="B1165" s="368" t="s">
        <v>4196</v>
      </c>
      <c r="C1165" s="368" t="s">
        <v>4197</v>
      </c>
      <c r="D1165" s="369" t="s">
        <v>900</v>
      </c>
      <c r="E1165" s="370" t="s">
        <v>4198</v>
      </c>
      <c r="F1165" s="581"/>
      <c r="G1165" s="579">
        <v>157000</v>
      </c>
      <c r="H1165" s="371">
        <v>456219.1</v>
      </c>
      <c r="I1165" s="1" t="s">
        <v>4097</v>
      </c>
      <c r="J1165" s="1" t="s">
        <v>4108</v>
      </c>
      <c r="M1165" s="190"/>
      <c r="Q1165" t="s">
        <v>4266</v>
      </c>
    </row>
    <row r="1166" spans="1:17" s="2" customFormat="1" ht="27.75" customHeight="1">
      <c r="A1166" s="199">
        <v>1163</v>
      </c>
      <c r="B1166" s="368" t="s">
        <v>4199</v>
      </c>
      <c r="C1166" s="368" t="s">
        <v>4200</v>
      </c>
      <c r="D1166" s="369" t="s">
        <v>900</v>
      </c>
      <c r="E1166" s="370" t="s">
        <v>4201</v>
      </c>
      <c r="F1166" s="579">
        <v>29700</v>
      </c>
      <c r="G1166" s="580"/>
      <c r="H1166" s="371">
        <v>426519.1</v>
      </c>
      <c r="I1166" s="1" t="s">
        <v>149</v>
      </c>
      <c r="J1166" s="1" t="s">
        <v>603</v>
      </c>
      <c r="M1166" s="190"/>
      <c r="Q1166" s="2" t="s">
        <v>4285</v>
      </c>
    </row>
    <row r="1167" spans="1:17" s="2" customFormat="1" ht="27.75" customHeight="1">
      <c r="A1167" s="199">
        <v>1164</v>
      </c>
      <c r="B1167" s="364" t="s">
        <v>4202</v>
      </c>
      <c r="C1167" s="364" t="s">
        <v>4203</v>
      </c>
      <c r="D1167" s="365" t="s">
        <v>900</v>
      </c>
      <c r="E1167" s="366" t="s">
        <v>4204</v>
      </c>
      <c r="F1167" s="571"/>
      <c r="G1167" s="582">
        <v>800000</v>
      </c>
      <c r="H1167" s="384">
        <v>1226519.1000000001</v>
      </c>
      <c r="I1167" s="317" t="s">
        <v>4205</v>
      </c>
      <c r="J1167" s="317" t="s">
        <v>4206</v>
      </c>
      <c r="M1167" s="190"/>
      <c r="Q1167" s="2" t="s">
        <v>4266</v>
      </c>
    </row>
    <row r="1168" spans="1:17" s="2" customFormat="1" ht="27.75" customHeight="1">
      <c r="A1168" s="199">
        <v>1165</v>
      </c>
      <c r="B1168" s="368" t="s">
        <v>4207</v>
      </c>
      <c r="C1168" s="368" t="s">
        <v>4208</v>
      </c>
      <c r="D1168" s="369" t="s">
        <v>900</v>
      </c>
      <c r="E1168" s="370" t="s">
        <v>4209</v>
      </c>
      <c r="F1168" s="569">
        <v>29700</v>
      </c>
      <c r="G1168" s="570"/>
      <c r="H1168" s="383">
        <v>1196819.1000000001</v>
      </c>
      <c r="I1168" s="1" t="s">
        <v>149</v>
      </c>
      <c r="J1168" s="1" t="s">
        <v>603</v>
      </c>
      <c r="M1168" s="190"/>
      <c r="Q1168" s="2" t="s">
        <v>4285</v>
      </c>
    </row>
    <row r="1169" spans="1:17" s="2" customFormat="1" ht="27.75" customHeight="1">
      <c r="A1169" s="199">
        <v>1166</v>
      </c>
      <c r="B1169" s="393" t="s">
        <v>4219</v>
      </c>
      <c r="C1169" s="393" t="s">
        <v>4220</v>
      </c>
      <c r="D1169" s="394" t="s">
        <v>900</v>
      </c>
      <c r="E1169" s="395" t="s">
        <v>4221</v>
      </c>
      <c r="F1169" s="583">
        <v>800000</v>
      </c>
      <c r="G1169" s="584"/>
      <c r="H1169" s="396">
        <v>396819.1</v>
      </c>
      <c r="I1169" s="1" t="s">
        <v>4225</v>
      </c>
      <c r="J1169" s="1" t="s">
        <v>794</v>
      </c>
      <c r="M1169" s="190"/>
      <c r="Q1169" s="2" t="s">
        <v>4318</v>
      </c>
    </row>
    <row r="1170" spans="1:17" ht="27.75" customHeight="1">
      <c r="A1170" s="646">
        <v>1167</v>
      </c>
      <c r="B1170" s="368" t="s">
        <v>4222</v>
      </c>
      <c r="C1170" s="368" t="s">
        <v>4223</v>
      </c>
      <c r="D1170" s="369" t="s">
        <v>900</v>
      </c>
      <c r="E1170" s="370" t="s">
        <v>4224</v>
      </c>
      <c r="F1170" s="683">
        <v>121500</v>
      </c>
      <c r="G1170" s="684"/>
      <c r="H1170" s="372">
        <v>275319.09999999998</v>
      </c>
      <c r="I1170" s="615" t="s">
        <v>4226</v>
      </c>
      <c r="J1170" s="615" t="s">
        <v>4227</v>
      </c>
      <c r="O1170" s="612" t="s">
        <v>4261</v>
      </c>
      <c r="Q1170" s="612" t="s">
        <v>1031</v>
      </c>
    </row>
    <row r="1171" spans="1:17" s="2" customFormat="1" ht="27.75" customHeight="1">
      <c r="A1171" s="199">
        <v>1168</v>
      </c>
      <c r="B1171" s="393" t="s">
        <v>4228</v>
      </c>
      <c r="C1171" s="393" t="s">
        <v>4229</v>
      </c>
      <c r="D1171" s="393" t="s">
        <v>900</v>
      </c>
      <c r="E1171" s="397" t="s">
        <v>4230</v>
      </c>
      <c r="F1171" s="583">
        <v>29700</v>
      </c>
      <c r="G1171" s="585"/>
      <c r="H1171" s="400">
        <v>245619.1</v>
      </c>
      <c r="I1171" s="317" t="s">
        <v>149</v>
      </c>
      <c r="J1171" s="317" t="s">
        <v>603</v>
      </c>
      <c r="M1171" s="190"/>
      <c r="Q1171" s="2" t="s">
        <v>4285</v>
      </c>
    </row>
    <row r="1172" spans="1:17" s="2" customFormat="1" ht="27.75" customHeight="1">
      <c r="A1172" s="199">
        <v>1169</v>
      </c>
      <c r="B1172" s="398" t="s">
        <v>4231</v>
      </c>
      <c r="C1172" s="398" t="s">
        <v>4232</v>
      </c>
      <c r="D1172" s="398" t="s">
        <v>900</v>
      </c>
      <c r="E1172" s="399" t="s">
        <v>4233</v>
      </c>
      <c r="F1172" s="586">
        <v>28700</v>
      </c>
      <c r="G1172" s="416"/>
      <c r="H1172" s="401">
        <v>216919.1</v>
      </c>
      <c r="I1172" s="1" t="s">
        <v>149</v>
      </c>
      <c r="J1172" s="1" t="s">
        <v>603</v>
      </c>
      <c r="M1172" s="190"/>
      <c r="Q1172" s="2" t="s">
        <v>4285</v>
      </c>
    </row>
    <row r="1173" spans="1:17" s="2" customFormat="1" ht="27.75" customHeight="1">
      <c r="A1173" s="199">
        <v>1170</v>
      </c>
      <c r="B1173" s="398" t="s">
        <v>4234</v>
      </c>
      <c r="C1173" s="398" t="s">
        <v>4235</v>
      </c>
      <c r="D1173" s="398" t="s">
        <v>900</v>
      </c>
      <c r="E1173" s="399" t="s">
        <v>4236</v>
      </c>
      <c r="F1173" s="587">
        <v>29700</v>
      </c>
      <c r="G1173" s="587"/>
      <c r="H1173" s="402">
        <v>187219.1</v>
      </c>
      <c r="I1173" s="1" t="s">
        <v>149</v>
      </c>
      <c r="J1173" s="1" t="s">
        <v>603</v>
      </c>
      <c r="M1173" s="190"/>
      <c r="Q1173" s="2" t="s">
        <v>4285</v>
      </c>
    </row>
    <row r="1174" spans="1:17" s="2" customFormat="1" ht="27.75" customHeight="1">
      <c r="A1174" s="199">
        <v>1171</v>
      </c>
      <c r="B1174" s="398" t="s">
        <v>4237</v>
      </c>
      <c r="C1174" s="398" t="s">
        <v>4238</v>
      </c>
      <c r="D1174" s="398" t="s">
        <v>900</v>
      </c>
      <c r="E1174" s="399" t="s">
        <v>4239</v>
      </c>
      <c r="F1174" s="588"/>
      <c r="G1174" s="589">
        <v>537000</v>
      </c>
      <c r="H1174" s="404">
        <v>724219.1</v>
      </c>
      <c r="I1174" s="317" t="s">
        <v>708</v>
      </c>
      <c r="J1174" s="317" t="s">
        <v>4242</v>
      </c>
      <c r="K1174" s="2" t="s">
        <v>830</v>
      </c>
      <c r="M1174" s="190"/>
      <c r="Q1174" t="s">
        <v>4266</v>
      </c>
    </row>
    <row r="1175" spans="1:17" s="2" customFormat="1" ht="27.75" customHeight="1">
      <c r="A1175" s="199">
        <v>1172</v>
      </c>
      <c r="B1175" s="398" t="s">
        <v>4237</v>
      </c>
      <c r="C1175" s="398" t="s">
        <v>4240</v>
      </c>
      <c r="D1175" s="398" t="s">
        <v>900</v>
      </c>
      <c r="E1175" s="403" t="s">
        <v>4241</v>
      </c>
      <c r="F1175" s="590">
        <v>537000</v>
      </c>
      <c r="G1175" s="591"/>
      <c r="H1175" s="401">
        <v>187219.1</v>
      </c>
      <c r="I1175" s="1" t="s">
        <v>708</v>
      </c>
      <c r="J1175" s="1" t="s">
        <v>4243</v>
      </c>
      <c r="K1175" s="2" t="s">
        <v>830</v>
      </c>
      <c r="M1175" s="190"/>
      <c r="Q1175" t="s">
        <v>4266</v>
      </c>
    </row>
    <row r="1176" spans="1:17" s="2" customFormat="1" ht="27.75" customHeight="1">
      <c r="A1176" s="199">
        <v>1173</v>
      </c>
      <c r="B1176" s="398" t="s">
        <v>4244</v>
      </c>
      <c r="C1176" s="398" t="s">
        <v>4245</v>
      </c>
      <c r="D1176" s="398" t="s">
        <v>900</v>
      </c>
      <c r="E1176" s="403" t="s">
        <v>4246</v>
      </c>
      <c r="F1176" s="592"/>
      <c r="G1176" s="590">
        <v>537000</v>
      </c>
      <c r="H1176" s="401">
        <v>724219.1</v>
      </c>
      <c r="I1176" s="1" t="s">
        <v>708</v>
      </c>
      <c r="J1176" s="1" t="s">
        <v>4242</v>
      </c>
      <c r="M1176" s="190"/>
      <c r="Q1176" t="s">
        <v>4266</v>
      </c>
    </row>
    <row r="1177" spans="1:17" s="2" customFormat="1" ht="27.75" customHeight="1">
      <c r="A1177" s="199">
        <v>1174</v>
      </c>
      <c r="B1177" s="398" t="s">
        <v>4247</v>
      </c>
      <c r="C1177" s="398" t="s">
        <v>4248</v>
      </c>
      <c r="D1177" s="398" t="s">
        <v>900</v>
      </c>
      <c r="E1177" s="403" t="s">
        <v>4249</v>
      </c>
      <c r="F1177" s="590">
        <v>29700</v>
      </c>
      <c r="G1177" s="590"/>
      <c r="H1177" s="401">
        <v>694519.1</v>
      </c>
      <c r="I1177" s="1" t="s">
        <v>149</v>
      </c>
      <c r="J1177" s="1" t="s">
        <v>603</v>
      </c>
      <c r="M1177" s="190"/>
      <c r="Q1177" s="2" t="s">
        <v>4285</v>
      </c>
    </row>
    <row r="1178" spans="1:17" s="2" customFormat="1" ht="27.75" customHeight="1">
      <c r="A1178" s="199">
        <v>1175</v>
      </c>
      <c r="B1178" s="398" t="s">
        <v>4250</v>
      </c>
      <c r="C1178" s="398" t="s">
        <v>4251</v>
      </c>
      <c r="D1178" s="398" t="s">
        <v>900</v>
      </c>
      <c r="E1178" s="403" t="s">
        <v>4252</v>
      </c>
      <c r="F1178" s="592"/>
      <c r="G1178" s="590">
        <v>1000000</v>
      </c>
      <c r="H1178" s="405">
        <v>1694519.1</v>
      </c>
      <c r="I1178" s="1" t="s">
        <v>4253</v>
      </c>
      <c r="J1178" s="1" t="s">
        <v>4119</v>
      </c>
      <c r="M1178" s="190"/>
      <c r="Q1178" t="s">
        <v>4266</v>
      </c>
    </row>
    <row r="1179" spans="1:17" s="2" customFormat="1" ht="27.75" customHeight="1">
      <c r="A1179" s="199">
        <v>1176</v>
      </c>
      <c r="B1179" s="398" t="s">
        <v>4254</v>
      </c>
      <c r="C1179" s="398" t="s">
        <v>4255</v>
      </c>
      <c r="D1179" s="398" t="s">
        <v>900</v>
      </c>
      <c r="E1179" s="399" t="s">
        <v>4256</v>
      </c>
      <c r="F1179" s="593"/>
      <c r="G1179" s="589">
        <v>837000</v>
      </c>
      <c r="H1179" s="404">
        <v>2531519.1</v>
      </c>
      <c r="I1179" s="317" t="s">
        <v>3617</v>
      </c>
      <c r="J1179" s="317" t="s">
        <v>4257</v>
      </c>
      <c r="M1179" s="190"/>
      <c r="Q1179" t="s">
        <v>4266</v>
      </c>
    </row>
    <row r="1180" spans="1:17" s="2" customFormat="1" ht="27.75" customHeight="1">
      <c r="A1180" s="199">
        <v>1177</v>
      </c>
      <c r="B1180" s="398" t="s">
        <v>4258</v>
      </c>
      <c r="C1180" s="398" t="s">
        <v>4259</v>
      </c>
      <c r="D1180" s="398" t="s">
        <v>900</v>
      </c>
      <c r="E1180" s="399" t="s">
        <v>4260</v>
      </c>
      <c r="F1180" s="586">
        <v>29700</v>
      </c>
      <c r="G1180" s="416"/>
      <c r="H1180" s="401">
        <v>2501819.1</v>
      </c>
      <c r="I1180" s="1" t="s">
        <v>149</v>
      </c>
      <c r="J1180" s="1" t="s">
        <v>603</v>
      </c>
      <c r="M1180" s="190"/>
      <c r="Q1180" s="2" t="s">
        <v>4285</v>
      </c>
    </row>
    <row r="1181" spans="1:17" s="2" customFormat="1" ht="27.75" customHeight="1">
      <c r="A1181" s="199">
        <v>1178</v>
      </c>
      <c r="B1181" s="398" t="s">
        <v>4262</v>
      </c>
      <c r="C1181" s="398" t="s">
        <v>4263</v>
      </c>
      <c r="D1181" s="398" t="s">
        <v>900</v>
      </c>
      <c r="E1181" s="399" t="s">
        <v>4264</v>
      </c>
      <c r="F1181" s="587">
        <v>29700</v>
      </c>
      <c r="G1181" s="594"/>
      <c r="H1181" s="406">
        <v>2472119.1</v>
      </c>
      <c r="I1181" s="1" t="s">
        <v>149</v>
      </c>
      <c r="J1181" s="1" t="s">
        <v>603</v>
      </c>
      <c r="M1181" s="190"/>
      <c r="Q1181" s="2" t="s">
        <v>4285</v>
      </c>
    </row>
    <row r="1182" spans="1:17" s="2" customFormat="1" ht="27.75" customHeight="1">
      <c r="A1182" s="199">
        <v>1179</v>
      </c>
      <c r="B1182" s="398" t="s">
        <v>4330</v>
      </c>
      <c r="C1182" s="398" t="s">
        <v>4331</v>
      </c>
      <c r="D1182" s="398" t="s">
        <v>900</v>
      </c>
      <c r="E1182" s="399" t="s">
        <v>4332</v>
      </c>
      <c r="F1182" s="611">
        <v>29700</v>
      </c>
      <c r="H1182" s="406">
        <v>2442419.1</v>
      </c>
      <c r="I1182" s="1" t="s">
        <v>149</v>
      </c>
      <c r="J1182" s="2" t="s">
        <v>603</v>
      </c>
      <c r="M1182" s="190"/>
      <c r="Q1182" s="2" t="s">
        <v>4285</v>
      </c>
    </row>
    <row r="1183" spans="1:17" ht="27.75" customHeight="1">
      <c r="A1183" s="646">
        <v>1180</v>
      </c>
      <c r="B1183" s="398" t="s">
        <v>4330</v>
      </c>
      <c r="C1183" s="398" t="s">
        <v>4333</v>
      </c>
      <c r="D1183" s="398" t="s">
        <v>900</v>
      </c>
      <c r="E1183" s="399" t="s">
        <v>4334</v>
      </c>
      <c r="F1183" s="611">
        <v>55864</v>
      </c>
      <c r="H1183" s="406">
        <v>2386555.1</v>
      </c>
      <c r="I1183" s="612" t="s">
        <v>4343</v>
      </c>
      <c r="J1183" s="612" t="s">
        <v>4344</v>
      </c>
      <c r="Q1183" s="612" t="s">
        <v>4261</v>
      </c>
    </row>
    <row r="1184" spans="1:17" s="2" customFormat="1" ht="27.75" customHeight="1">
      <c r="A1184" s="199">
        <v>1181</v>
      </c>
      <c r="B1184" s="398" t="s">
        <v>4335</v>
      </c>
      <c r="C1184" s="398" t="s">
        <v>4336</v>
      </c>
      <c r="D1184" s="398" t="s">
        <v>900</v>
      </c>
      <c r="E1184" s="399" t="s">
        <v>4337</v>
      </c>
      <c r="F1184" s="611">
        <v>837000</v>
      </c>
      <c r="H1184" s="406">
        <v>1549555.1</v>
      </c>
      <c r="I1184" s="2" t="s">
        <v>708</v>
      </c>
      <c r="J1184" s="2" t="s">
        <v>4350</v>
      </c>
      <c r="M1184" s="190"/>
      <c r="Q1184" s="2" t="s">
        <v>4266</v>
      </c>
    </row>
    <row r="1185" spans="1:17" s="2" customFormat="1" ht="27.75" customHeight="1">
      <c r="A1185" s="199">
        <v>1182</v>
      </c>
      <c r="B1185" s="398" t="s">
        <v>4335</v>
      </c>
      <c r="C1185" s="398" t="s">
        <v>4338</v>
      </c>
      <c r="D1185" s="398" t="s">
        <v>900</v>
      </c>
      <c r="E1185" s="399" t="s">
        <v>4339</v>
      </c>
      <c r="F1185" s="610"/>
      <c r="G1185" s="611">
        <v>837000</v>
      </c>
      <c r="H1185" s="406">
        <v>2386555.1</v>
      </c>
      <c r="I1185" s="2" t="s">
        <v>708</v>
      </c>
      <c r="J1185" s="2" t="s">
        <v>4257</v>
      </c>
      <c r="M1185" s="190"/>
      <c r="Q1185" s="2" t="s">
        <v>4266</v>
      </c>
    </row>
    <row r="1186" spans="1:17" s="2" customFormat="1" ht="27.75" customHeight="1">
      <c r="A1186" s="199">
        <v>1183</v>
      </c>
      <c r="B1186" s="398" t="s">
        <v>4340</v>
      </c>
      <c r="C1186" s="398" t="s">
        <v>4341</v>
      </c>
      <c r="D1186" s="398" t="s">
        <v>900</v>
      </c>
      <c r="E1186" s="399" t="s">
        <v>4342</v>
      </c>
      <c r="F1186" s="611">
        <v>837000</v>
      </c>
      <c r="H1186" s="406">
        <v>1549555.1</v>
      </c>
      <c r="I1186" s="2" t="s">
        <v>708</v>
      </c>
      <c r="J1186" s="2" t="s">
        <v>4350</v>
      </c>
      <c r="M1186" s="190"/>
      <c r="Q1186" s="2" t="s">
        <v>4266</v>
      </c>
    </row>
    <row r="1187" spans="1:17" s="2" customFormat="1" ht="27.75" customHeight="1">
      <c r="A1187" s="199">
        <v>1184</v>
      </c>
      <c r="B1187" s="398" t="s">
        <v>4345</v>
      </c>
      <c r="C1187" s="398" t="s">
        <v>4346</v>
      </c>
      <c r="D1187" s="398" t="s">
        <v>900</v>
      </c>
      <c r="E1187" s="399" t="s">
        <v>4347</v>
      </c>
      <c r="F1187" s="610"/>
      <c r="G1187" s="611">
        <v>29700</v>
      </c>
      <c r="H1187" s="406">
        <v>1519855.1</v>
      </c>
      <c r="I1187" s="2" t="s">
        <v>149</v>
      </c>
      <c r="J1187" s="2" t="s">
        <v>603</v>
      </c>
      <c r="M1187" s="190"/>
      <c r="Q1187" s="2" t="s">
        <v>4285</v>
      </c>
    </row>
    <row r="1188" spans="1:17" s="2" customFormat="1" ht="27.75" customHeight="1">
      <c r="A1188" s="199">
        <v>1185</v>
      </c>
      <c r="B1188" s="398" t="s">
        <v>4345</v>
      </c>
      <c r="C1188" s="398" t="s">
        <v>4348</v>
      </c>
      <c r="D1188" s="398" t="s">
        <v>900</v>
      </c>
      <c r="E1188" s="399" t="s">
        <v>4349</v>
      </c>
      <c r="F1188" s="610"/>
      <c r="G1188" s="611">
        <v>837000</v>
      </c>
      <c r="H1188" s="406">
        <v>682855.1</v>
      </c>
      <c r="I1188" s="2" t="s">
        <v>708</v>
      </c>
      <c r="J1188" s="2" t="s">
        <v>4243</v>
      </c>
      <c r="M1188" s="190"/>
      <c r="Q1188" s="2" t="s">
        <v>4266</v>
      </c>
    </row>
    <row r="1189" spans="1:17" s="2" customFormat="1" ht="27.75" customHeight="1">
      <c r="A1189" s="199">
        <v>1186</v>
      </c>
      <c r="B1189" s="398" t="s">
        <v>4351</v>
      </c>
      <c r="C1189" s="398" t="s">
        <v>4352</v>
      </c>
      <c r="D1189" s="398" t="s">
        <v>900</v>
      </c>
      <c r="E1189" s="399" t="s">
        <v>4353</v>
      </c>
      <c r="F1189" s="611">
        <v>29700</v>
      </c>
      <c r="H1189" s="406">
        <v>653155.1</v>
      </c>
      <c r="I1189" s="2" t="s">
        <v>149</v>
      </c>
      <c r="J1189" s="2" t="s">
        <v>603</v>
      </c>
      <c r="M1189" s="190"/>
      <c r="Q1189" s="2" t="s">
        <v>4285</v>
      </c>
    </row>
    <row r="1190" spans="1:17" s="2" customFormat="1" ht="27.75" customHeight="1">
      <c r="A1190" s="199">
        <v>1187</v>
      </c>
      <c r="B1190" s="398" t="s">
        <v>4354</v>
      </c>
      <c r="C1190" s="398" t="s">
        <v>4355</v>
      </c>
      <c r="D1190" s="398" t="s">
        <v>900</v>
      </c>
      <c r="E1190" s="399" t="s">
        <v>4356</v>
      </c>
      <c r="F1190" s="610"/>
      <c r="G1190" s="611">
        <v>730000</v>
      </c>
      <c r="H1190" s="406">
        <v>1383155.1</v>
      </c>
      <c r="I1190" s="2" t="s">
        <v>4253</v>
      </c>
      <c r="J1190" s="2" t="s">
        <v>4119</v>
      </c>
      <c r="M1190" s="190"/>
      <c r="Q1190" s="2" t="s">
        <v>4266</v>
      </c>
    </row>
    <row r="1191" spans="1:17" s="2" customFormat="1" ht="27.75" customHeight="1">
      <c r="A1191" s="199">
        <v>1188</v>
      </c>
      <c r="B1191" s="398" t="s">
        <v>4357</v>
      </c>
      <c r="C1191" s="398" t="s">
        <v>4358</v>
      </c>
      <c r="D1191" s="398" t="s">
        <v>900</v>
      </c>
      <c r="E1191" s="399" t="s">
        <v>4359</v>
      </c>
      <c r="F1191" s="611">
        <v>29700</v>
      </c>
      <c r="H1191" s="406">
        <v>1353455.1</v>
      </c>
      <c r="I1191" s="2" t="s">
        <v>149</v>
      </c>
      <c r="J1191" s="2" t="s">
        <v>603</v>
      </c>
      <c r="M1191" s="190"/>
      <c r="Q1191" s="2" t="s">
        <v>4285</v>
      </c>
    </row>
    <row r="1192" spans="1:17" s="2" customFormat="1" ht="27.75" customHeight="1">
      <c r="A1192" s="199">
        <v>1189</v>
      </c>
      <c r="B1192" s="398" t="s">
        <v>4357</v>
      </c>
      <c r="C1192" s="398" t="s">
        <v>4360</v>
      </c>
      <c r="D1192" s="398" t="s">
        <v>900</v>
      </c>
      <c r="E1192" s="399" t="s">
        <v>4361</v>
      </c>
      <c r="F1192" s="611">
        <v>11000</v>
      </c>
      <c r="H1192" s="406">
        <v>1342455.1</v>
      </c>
      <c r="I1192" s="2" t="s">
        <v>4118</v>
      </c>
      <c r="J1192" s="2" t="s">
        <v>4362</v>
      </c>
      <c r="M1192" s="190"/>
      <c r="Q1192" s="2" t="s">
        <v>4266</v>
      </c>
    </row>
    <row r="1193" spans="1:17" s="2" customFormat="1" ht="27.75" customHeight="1">
      <c r="A1193" s="199">
        <v>1190</v>
      </c>
      <c r="B1193" s="398" t="s">
        <v>4363</v>
      </c>
      <c r="C1193" s="398" t="s">
        <v>4364</v>
      </c>
      <c r="D1193" s="398" t="s">
        <v>900</v>
      </c>
      <c r="E1193" s="399" t="s">
        <v>4365</v>
      </c>
      <c r="F1193" s="611">
        <v>29700</v>
      </c>
      <c r="H1193" s="406">
        <v>1312755.1000000001</v>
      </c>
      <c r="I1193" s="2" t="s">
        <v>149</v>
      </c>
      <c r="J1193" s="2" t="s">
        <v>603</v>
      </c>
      <c r="M1193" s="190"/>
      <c r="Q1193" s="2" t="s">
        <v>4285</v>
      </c>
    </row>
    <row r="1194" spans="1:17" s="2" customFormat="1" ht="27.75" customHeight="1">
      <c r="A1194" s="199">
        <v>1191</v>
      </c>
      <c r="B1194" s="398" t="s">
        <v>4366</v>
      </c>
      <c r="C1194" s="398" t="s">
        <v>4367</v>
      </c>
      <c r="D1194" s="398" t="s">
        <v>900</v>
      </c>
      <c r="E1194" s="399" t="s">
        <v>4368</v>
      </c>
      <c r="F1194" s="611">
        <v>500000</v>
      </c>
      <c r="H1194" s="406">
        <v>812755.1</v>
      </c>
      <c r="I1194" s="2" t="s">
        <v>4225</v>
      </c>
      <c r="J1194" s="2" t="s">
        <v>794</v>
      </c>
      <c r="M1194" s="190"/>
      <c r="Q1194" s="2" t="s">
        <v>4318</v>
      </c>
    </row>
    <row r="1195" spans="1:17" s="2" customFormat="1" ht="27.75" customHeight="1">
      <c r="A1195" s="199">
        <v>1192</v>
      </c>
      <c r="B1195" s="398" t="s">
        <v>4366</v>
      </c>
      <c r="C1195" s="398" t="s">
        <v>4367</v>
      </c>
      <c r="D1195" s="398" t="s">
        <v>900</v>
      </c>
      <c r="E1195" s="399" t="s">
        <v>4369</v>
      </c>
      <c r="F1195" s="611">
        <v>300000</v>
      </c>
      <c r="H1195" s="406">
        <v>512755.1</v>
      </c>
      <c r="I1195" s="2" t="s">
        <v>3173</v>
      </c>
      <c r="J1195" s="2" t="s">
        <v>794</v>
      </c>
      <c r="M1195" s="190"/>
      <c r="Q1195" s="2" t="s">
        <v>4310</v>
      </c>
    </row>
    <row r="1196" spans="1:17" s="2" customFormat="1" ht="27.75" customHeight="1">
      <c r="A1196" s="199">
        <v>1193</v>
      </c>
      <c r="B1196" s="398" t="s">
        <v>4366</v>
      </c>
      <c r="C1196" s="398" t="s">
        <v>4370</v>
      </c>
      <c r="D1196" s="398" t="s">
        <v>900</v>
      </c>
      <c r="E1196" s="399" t="s">
        <v>4371</v>
      </c>
      <c r="F1196" s="611">
        <v>300000</v>
      </c>
      <c r="H1196" s="406">
        <v>212755.1</v>
      </c>
      <c r="I1196" s="2" t="s">
        <v>870</v>
      </c>
      <c r="J1196" s="2" t="s">
        <v>794</v>
      </c>
      <c r="M1196" s="190"/>
      <c r="Q1196" s="2" t="s">
        <v>4307</v>
      </c>
    </row>
    <row r="1197" spans="1:17" s="2" customFormat="1" ht="27.75" customHeight="1">
      <c r="A1197" s="199">
        <v>1194</v>
      </c>
      <c r="B1197" s="398" t="s">
        <v>4372</v>
      </c>
      <c r="C1197" s="398" t="s">
        <v>4373</v>
      </c>
      <c r="D1197" s="398" t="s">
        <v>900</v>
      </c>
      <c r="E1197" s="399" t="s">
        <v>4374</v>
      </c>
      <c r="F1197" s="611">
        <v>35700</v>
      </c>
      <c r="H1197" s="406">
        <v>177055.1</v>
      </c>
      <c r="I1197" s="2" t="s">
        <v>149</v>
      </c>
      <c r="J1197" s="2" t="s">
        <v>603</v>
      </c>
      <c r="M1197" s="190"/>
      <c r="Q1197" s="2" t="s">
        <v>4285</v>
      </c>
    </row>
    <row r="1198" spans="1:17" s="2" customFormat="1" ht="27.75" customHeight="1">
      <c r="A1198" s="199">
        <v>1195</v>
      </c>
      <c r="B1198" s="398" t="s">
        <v>4375</v>
      </c>
      <c r="C1198" s="398" t="s">
        <v>4376</v>
      </c>
      <c r="D1198" s="398" t="s">
        <v>900</v>
      </c>
      <c r="E1198" s="399" t="s">
        <v>4377</v>
      </c>
      <c r="F1198" s="610"/>
      <c r="G1198" s="611">
        <v>147000</v>
      </c>
      <c r="H1198" s="406">
        <v>324055.09999999998</v>
      </c>
      <c r="I1198" s="2" t="s">
        <v>63</v>
      </c>
      <c r="J1198" s="2" t="s">
        <v>4378</v>
      </c>
      <c r="M1198" s="190"/>
      <c r="Q1198" s="2" t="s">
        <v>4266</v>
      </c>
    </row>
    <row r="1199" spans="1:17" s="2" customFormat="1" ht="27.75" customHeight="1">
      <c r="A1199" s="199">
        <v>1196</v>
      </c>
      <c r="B1199" s="398" t="s">
        <v>4379</v>
      </c>
      <c r="C1199" s="398" t="s">
        <v>4380</v>
      </c>
      <c r="D1199" s="398" t="s">
        <v>900</v>
      </c>
      <c r="E1199" s="399" t="s">
        <v>4381</v>
      </c>
      <c r="F1199" s="610"/>
      <c r="G1199" s="611">
        <v>1530000</v>
      </c>
      <c r="H1199" s="406">
        <v>1854055.1</v>
      </c>
      <c r="I1199" s="2" t="s">
        <v>63</v>
      </c>
      <c r="J1199" s="2" t="s">
        <v>4378</v>
      </c>
      <c r="M1199" s="190"/>
      <c r="Q1199" s="2" t="s">
        <v>4266</v>
      </c>
    </row>
    <row r="1200" spans="1:17" s="2" customFormat="1" ht="27.75" customHeight="1">
      <c r="A1200" s="199">
        <v>1197</v>
      </c>
      <c r="B1200" s="398" t="s">
        <v>4382</v>
      </c>
      <c r="C1200" s="398" t="s">
        <v>4383</v>
      </c>
      <c r="D1200" s="398" t="s">
        <v>900</v>
      </c>
      <c r="E1200" s="399" t="s">
        <v>4384</v>
      </c>
      <c r="F1200" s="611">
        <v>500000</v>
      </c>
      <c r="H1200" s="406">
        <v>1354055.1</v>
      </c>
      <c r="I1200" s="2" t="s">
        <v>4225</v>
      </c>
      <c r="J1200" s="2" t="s">
        <v>794</v>
      </c>
      <c r="M1200" s="190"/>
      <c r="Q1200" s="2" t="s">
        <v>4318</v>
      </c>
    </row>
    <row r="1201" spans="1:17" s="2" customFormat="1" ht="27.75" customHeight="1">
      <c r="A1201" s="199">
        <v>1198</v>
      </c>
      <c r="B1201" s="398" t="s">
        <v>4382</v>
      </c>
      <c r="C1201" s="398" t="s">
        <v>4385</v>
      </c>
      <c r="D1201" s="398" t="s">
        <v>900</v>
      </c>
      <c r="E1201" s="399" t="s">
        <v>4386</v>
      </c>
      <c r="F1201" s="611">
        <v>500000</v>
      </c>
      <c r="H1201" s="406">
        <v>854055.1</v>
      </c>
      <c r="I1201" s="2" t="s">
        <v>4225</v>
      </c>
      <c r="J1201" s="2" t="s">
        <v>794</v>
      </c>
      <c r="M1201" s="190"/>
      <c r="Q1201" s="2" t="s">
        <v>4318</v>
      </c>
    </row>
    <row r="1202" spans="1:17" s="2" customFormat="1" ht="27.75" customHeight="1">
      <c r="A1202" s="199">
        <v>1199</v>
      </c>
      <c r="B1202" s="398" t="s">
        <v>4382</v>
      </c>
      <c r="C1202" s="398" t="s">
        <v>4387</v>
      </c>
      <c r="D1202" s="398" t="s">
        <v>900</v>
      </c>
      <c r="E1202" s="399" t="s">
        <v>4388</v>
      </c>
      <c r="F1202" s="611">
        <v>500000</v>
      </c>
      <c r="H1202" s="406">
        <v>354055.1</v>
      </c>
      <c r="I1202" s="2" t="s">
        <v>4225</v>
      </c>
      <c r="J1202" s="2" t="s">
        <v>794</v>
      </c>
      <c r="M1202" s="190"/>
      <c r="Q1202" s="2" t="s">
        <v>4318</v>
      </c>
    </row>
    <row r="1203" spans="1:17" s="2" customFormat="1" ht="27.75" customHeight="1">
      <c r="A1203" s="199">
        <v>1200</v>
      </c>
      <c r="B1203" s="398" t="s">
        <v>4389</v>
      </c>
      <c r="C1203" s="398" t="s">
        <v>4390</v>
      </c>
      <c r="D1203" s="398" t="s">
        <v>900</v>
      </c>
      <c r="E1203" s="399" t="s">
        <v>4391</v>
      </c>
      <c r="F1203" s="611">
        <v>30000</v>
      </c>
      <c r="H1203" s="406">
        <v>324055.09999999998</v>
      </c>
      <c r="I1203" s="2" t="s">
        <v>149</v>
      </c>
      <c r="J1203" s="2" t="s">
        <v>603</v>
      </c>
      <c r="M1203" s="190"/>
      <c r="Q1203" s="2" t="s">
        <v>4285</v>
      </c>
    </row>
    <row r="1204" spans="1:17" s="2" customFormat="1" ht="27.75" customHeight="1">
      <c r="A1204" s="199">
        <v>1201</v>
      </c>
      <c r="B1204" s="398" t="s">
        <v>4392</v>
      </c>
      <c r="C1204" s="398" t="s">
        <v>4393</v>
      </c>
      <c r="D1204" s="398" t="s">
        <v>900</v>
      </c>
      <c r="E1204" s="399" t="s">
        <v>4394</v>
      </c>
      <c r="F1204" s="611">
        <v>30000</v>
      </c>
      <c r="H1204" s="406">
        <v>294055.09999999998</v>
      </c>
      <c r="I1204" s="2" t="s">
        <v>149</v>
      </c>
      <c r="J1204" s="2" t="s">
        <v>603</v>
      </c>
      <c r="M1204" s="190"/>
      <c r="Q1204" s="2" t="s">
        <v>4285</v>
      </c>
    </row>
    <row r="1205" spans="1:17" s="2" customFormat="1" ht="27.75" customHeight="1">
      <c r="A1205" s="199">
        <v>1202</v>
      </c>
      <c r="B1205" s="398" t="s">
        <v>4395</v>
      </c>
      <c r="C1205" s="398" t="s">
        <v>4396</v>
      </c>
      <c r="D1205" s="398" t="s">
        <v>900</v>
      </c>
      <c r="E1205" s="399" t="s">
        <v>4397</v>
      </c>
      <c r="F1205" s="611">
        <v>150000</v>
      </c>
      <c r="H1205" s="406">
        <v>144055.1</v>
      </c>
      <c r="I1205" s="2" t="s">
        <v>3173</v>
      </c>
      <c r="J1205" s="2" t="s">
        <v>794</v>
      </c>
      <c r="M1205" s="190"/>
      <c r="Q1205" s="2" t="s">
        <v>4398</v>
      </c>
    </row>
    <row r="1206" spans="1:17" s="2" customFormat="1" ht="27.75" customHeight="1">
      <c r="A1206" s="199">
        <v>1203</v>
      </c>
      <c r="B1206" s="398" t="s">
        <v>4399</v>
      </c>
      <c r="C1206" s="398" t="s">
        <v>4400</v>
      </c>
      <c r="D1206" s="398" t="s">
        <v>900</v>
      </c>
      <c r="E1206" s="399" t="s">
        <v>4401</v>
      </c>
      <c r="F1206" s="611">
        <v>30000</v>
      </c>
      <c r="H1206" s="406">
        <v>114055.1</v>
      </c>
      <c r="I1206" s="2" t="s">
        <v>149</v>
      </c>
      <c r="J1206" s="2" t="s">
        <v>603</v>
      </c>
      <c r="M1206" s="190"/>
      <c r="Q1206" s="2" t="s">
        <v>4285</v>
      </c>
    </row>
    <row r="1207" spans="1:17" s="2" customFormat="1" ht="27.75" customHeight="1">
      <c r="A1207" s="199">
        <v>1204</v>
      </c>
      <c r="B1207" s="398" t="s">
        <v>4402</v>
      </c>
      <c r="C1207" s="398" t="s">
        <v>4403</v>
      </c>
      <c r="D1207" s="398" t="s">
        <v>900</v>
      </c>
      <c r="E1207" s="399" t="s">
        <v>4404</v>
      </c>
      <c r="F1207" s="610"/>
      <c r="G1207" s="611">
        <v>10000</v>
      </c>
      <c r="H1207" s="406">
        <v>124055.1</v>
      </c>
      <c r="I1207" s="2" t="s">
        <v>4405</v>
      </c>
      <c r="J1207" s="2" t="s">
        <v>4406</v>
      </c>
      <c r="M1207" s="190"/>
      <c r="Q1207" s="2" t="s">
        <v>4266</v>
      </c>
    </row>
    <row r="1208" spans="1:17" s="2" customFormat="1" ht="27.75" customHeight="1">
      <c r="A1208" s="199">
        <v>1205</v>
      </c>
      <c r="B1208" s="398" t="s">
        <v>4407</v>
      </c>
      <c r="C1208" s="398" t="s">
        <v>4408</v>
      </c>
      <c r="D1208" s="398" t="s">
        <v>900</v>
      </c>
      <c r="E1208" s="399" t="s">
        <v>4409</v>
      </c>
      <c r="F1208" s="610"/>
      <c r="G1208" s="611">
        <v>10</v>
      </c>
      <c r="H1208" s="406">
        <v>124065.1</v>
      </c>
      <c r="I1208" s="2" t="s">
        <v>4405</v>
      </c>
      <c r="J1208" s="2" t="s">
        <v>4406</v>
      </c>
      <c r="M1208" s="190"/>
      <c r="Q1208" s="2" t="s">
        <v>4266</v>
      </c>
    </row>
    <row r="1209" spans="1:17" s="2" customFormat="1" ht="27.75" customHeight="1">
      <c r="A1209" s="199">
        <v>1206</v>
      </c>
      <c r="B1209" s="398" t="s">
        <v>4407</v>
      </c>
      <c r="C1209" s="398" t="s">
        <v>4410</v>
      </c>
      <c r="D1209" s="398" t="s">
        <v>900</v>
      </c>
      <c r="E1209" s="399" t="s">
        <v>4411</v>
      </c>
      <c r="F1209" s="610"/>
      <c r="G1209" s="611">
        <v>200000</v>
      </c>
      <c r="H1209" s="406">
        <v>324065.09999999998</v>
      </c>
      <c r="I1209" s="2" t="s">
        <v>4405</v>
      </c>
      <c r="J1209" s="2" t="s">
        <v>4406</v>
      </c>
      <c r="M1209" s="190"/>
      <c r="Q1209" s="2" t="s">
        <v>4266</v>
      </c>
    </row>
    <row r="1210" spans="1:17" s="2" customFormat="1" ht="27.75" customHeight="1">
      <c r="A1210" s="199">
        <v>1207</v>
      </c>
      <c r="B1210" s="398" t="s">
        <v>4412</v>
      </c>
      <c r="C1210" s="398" t="s">
        <v>4413</v>
      </c>
      <c r="D1210" s="398" t="s">
        <v>900</v>
      </c>
      <c r="E1210" s="399" t="s">
        <v>4414</v>
      </c>
      <c r="F1210" s="610"/>
      <c r="G1210" s="611">
        <v>490000</v>
      </c>
      <c r="H1210" s="406">
        <v>814065.1</v>
      </c>
      <c r="I1210" s="2" t="s">
        <v>4405</v>
      </c>
      <c r="J1210" s="2" t="s">
        <v>4406</v>
      </c>
      <c r="M1210" s="190"/>
      <c r="Q1210" s="2" t="s">
        <v>4266</v>
      </c>
    </row>
    <row r="1211" spans="1:17" s="2" customFormat="1" ht="27.75" customHeight="1">
      <c r="A1211" s="199">
        <v>1208</v>
      </c>
      <c r="B1211" s="398" t="s">
        <v>4415</v>
      </c>
      <c r="C1211" s="398" t="s">
        <v>4416</v>
      </c>
      <c r="D1211" s="398" t="s">
        <v>900</v>
      </c>
      <c r="E1211" s="399" t="s">
        <v>4417</v>
      </c>
      <c r="F1211" s="611">
        <v>800000</v>
      </c>
      <c r="H1211" s="406">
        <v>14065.1</v>
      </c>
      <c r="I1211" s="2" t="s">
        <v>4225</v>
      </c>
      <c r="J1211" s="2" t="s">
        <v>794</v>
      </c>
      <c r="M1211" s="190"/>
      <c r="Q1211" s="2" t="s">
        <v>4398</v>
      </c>
    </row>
    <row r="1212" spans="1:17" s="2" customFormat="1" ht="27.75" customHeight="1">
      <c r="A1212" s="199">
        <v>1209</v>
      </c>
      <c r="B1212" s="398" t="s">
        <v>4419</v>
      </c>
      <c r="C1212" s="398" t="s">
        <v>4420</v>
      </c>
      <c r="D1212" s="398" t="s">
        <v>900</v>
      </c>
      <c r="E1212" s="399" t="s">
        <v>4421</v>
      </c>
      <c r="F1212" s="610"/>
      <c r="G1212" s="611">
        <v>50000</v>
      </c>
      <c r="H1212" s="406">
        <v>64065.1</v>
      </c>
      <c r="I1212" s="2" t="s">
        <v>4225</v>
      </c>
      <c r="J1212" s="2" t="s">
        <v>794</v>
      </c>
      <c r="M1212" s="190"/>
      <c r="Q1212" s="2" t="s">
        <v>4398</v>
      </c>
    </row>
    <row r="1213" spans="1:17" s="2" customFormat="1" ht="27.75" customHeight="1">
      <c r="A1213" s="199">
        <v>1210</v>
      </c>
      <c r="B1213" s="398" t="s">
        <v>4419</v>
      </c>
      <c r="C1213" s="398" t="s">
        <v>4422</v>
      </c>
      <c r="D1213" s="398" t="s">
        <v>900</v>
      </c>
      <c r="E1213" s="399" t="s">
        <v>4423</v>
      </c>
      <c r="F1213" s="611">
        <v>30000</v>
      </c>
      <c r="H1213" s="406">
        <v>34065.1</v>
      </c>
      <c r="I1213" s="2" t="s">
        <v>149</v>
      </c>
      <c r="J1213" s="2" t="s">
        <v>603</v>
      </c>
      <c r="M1213" s="190"/>
      <c r="Q1213" s="2" t="s">
        <v>4285</v>
      </c>
    </row>
    <row r="1214" spans="1:17" s="2" customFormat="1" ht="27.75" customHeight="1">
      <c r="A1214" s="199">
        <v>1211</v>
      </c>
      <c r="B1214" s="398" t="s">
        <v>4424</v>
      </c>
      <c r="C1214" s="398" t="s">
        <v>4425</v>
      </c>
      <c r="D1214" s="398" t="s">
        <v>900</v>
      </c>
      <c r="E1214" s="399" t="s">
        <v>4426</v>
      </c>
      <c r="F1214" s="611">
        <v>30000</v>
      </c>
      <c r="H1214" s="406">
        <v>4065.1</v>
      </c>
      <c r="I1214" s="2" t="s">
        <v>149</v>
      </c>
      <c r="J1214" s="2" t="s">
        <v>603</v>
      </c>
      <c r="M1214" s="190"/>
      <c r="Q1214" s="2" t="s">
        <v>4285</v>
      </c>
    </row>
    <row r="1215" spans="1:17" ht="27.75" customHeight="1">
      <c r="A1215" s="646">
        <v>1212</v>
      </c>
      <c r="B1215" s="398" t="s">
        <v>4571</v>
      </c>
      <c r="C1215" s="398" t="s">
        <v>4572</v>
      </c>
      <c r="D1215" s="398" t="s">
        <v>900</v>
      </c>
      <c r="E1215" s="399" t="s">
        <v>4573</v>
      </c>
      <c r="F1215" s="610"/>
      <c r="G1215" s="611">
        <v>100000</v>
      </c>
      <c r="H1215" s="406">
        <v>104065.1</v>
      </c>
      <c r="I1215" s="612" t="s">
        <v>870</v>
      </c>
      <c r="J1215" s="612" t="s">
        <v>794</v>
      </c>
      <c r="Q1215" s="612" t="s">
        <v>4398</v>
      </c>
    </row>
    <row r="1216" spans="1:17" ht="27.75" customHeight="1">
      <c r="A1216" s="646">
        <v>1213</v>
      </c>
      <c r="B1216" s="398" t="s">
        <v>4571</v>
      </c>
      <c r="C1216" s="398" t="s">
        <v>4574</v>
      </c>
      <c r="D1216" s="398" t="s">
        <v>900</v>
      </c>
      <c r="E1216" s="399" t="s">
        <v>4575</v>
      </c>
      <c r="F1216" s="611">
        <v>30000</v>
      </c>
      <c r="H1216" s="406">
        <v>74065.100000000006</v>
      </c>
      <c r="I1216" s="612" t="s">
        <v>149</v>
      </c>
      <c r="J1216" s="612" t="s">
        <v>603</v>
      </c>
      <c r="Q1216" s="612" t="s">
        <v>4285</v>
      </c>
    </row>
    <row r="1217" spans="1:11" ht="27.75" customHeight="1">
      <c r="A1217" s="646">
        <v>1214</v>
      </c>
      <c r="B1217" s="398" t="s">
        <v>4576</v>
      </c>
      <c r="C1217" s="398" t="s">
        <v>4577</v>
      </c>
      <c r="D1217" s="398" t="s">
        <v>900</v>
      </c>
      <c r="E1217" s="399" t="s">
        <v>4578</v>
      </c>
      <c r="F1217" s="610"/>
      <c r="G1217" s="611">
        <v>500000</v>
      </c>
      <c r="H1217" s="406">
        <v>574065.1</v>
      </c>
      <c r="I1217" s="612" t="s">
        <v>4405</v>
      </c>
      <c r="J1217" s="612" t="s">
        <v>4406</v>
      </c>
    </row>
    <row r="1218" spans="1:11" ht="27.75" customHeight="1">
      <c r="A1218" s="646">
        <v>1215</v>
      </c>
      <c r="B1218" s="398" t="s">
        <v>4576</v>
      </c>
      <c r="C1218" s="398" t="s">
        <v>4579</v>
      </c>
      <c r="D1218" s="398" t="s">
        <v>900</v>
      </c>
      <c r="E1218" s="399" t="s">
        <v>4580</v>
      </c>
      <c r="F1218" s="610"/>
      <c r="G1218" s="611">
        <v>454000</v>
      </c>
      <c r="H1218" s="406">
        <v>1028065.1</v>
      </c>
      <c r="I1218" s="612" t="s">
        <v>4405</v>
      </c>
      <c r="J1218" s="612" t="s">
        <v>4406</v>
      </c>
    </row>
    <row r="1219" spans="1:11" ht="27.75" customHeight="1">
      <c r="A1219" s="646">
        <v>1216</v>
      </c>
      <c r="B1219" s="398" t="s">
        <v>4581</v>
      </c>
      <c r="C1219" s="398" t="s">
        <v>4582</v>
      </c>
      <c r="D1219" s="398" t="s">
        <v>900</v>
      </c>
      <c r="E1219" s="399" t="s">
        <v>4583</v>
      </c>
      <c r="F1219" s="611">
        <v>900000</v>
      </c>
      <c r="H1219" s="406">
        <v>128065.1</v>
      </c>
      <c r="I1219" s="612" t="s">
        <v>3173</v>
      </c>
      <c r="J1219" s="612" t="s">
        <v>4584</v>
      </c>
      <c r="K1219" s="612" t="s">
        <v>4585</v>
      </c>
    </row>
    <row r="1220" spans="1:11" ht="27.75" customHeight="1">
      <c r="A1220" s="646">
        <v>1217</v>
      </c>
    </row>
    <row r="1221" spans="1:11" ht="27.75" customHeight="1">
      <c r="A1221" s="646">
        <v>1218</v>
      </c>
    </row>
    <row r="1222" spans="1:11" ht="27.75" customHeight="1">
      <c r="A1222" s="646">
        <v>1219</v>
      </c>
    </row>
    <row r="1223" spans="1:11" ht="27.75" customHeight="1">
      <c r="A1223" s="646">
        <v>1220</v>
      </c>
    </row>
    <row r="1224" spans="1:11" ht="27.75" customHeight="1">
      <c r="A1224" s="646">
        <v>1221</v>
      </c>
    </row>
    <row r="1225" spans="1:11" ht="27.75" customHeight="1">
      <c r="A1225" s="646">
        <v>1222</v>
      </c>
    </row>
    <row r="1226" spans="1:11" ht="27.75" customHeight="1">
      <c r="A1226" s="646">
        <v>1223</v>
      </c>
    </row>
    <row r="1227" spans="1:11" ht="27.75" customHeight="1">
      <c r="A1227" s="646">
        <v>1224</v>
      </c>
    </row>
    <row r="1228" spans="1:11" ht="27.75" customHeight="1">
      <c r="A1228" s="646">
        <v>1225</v>
      </c>
    </row>
    <row r="1229" spans="1:11" ht="27.75" customHeight="1">
      <c r="A1229" s="646">
        <v>1226</v>
      </c>
    </row>
    <row r="1230" spans="1:11" ht="27.75" customHeight="1">
      <c r="A1230" s="646">
        <v>1227</v>
      </c>
    </row>
    <row r="1231" spans="1:11" ht="27.75" customHeight="1">
      <c r="A1231" s="646">
        <v>1228</v>
      </c>
    </row>
    <row r="1232" spans="1:11" ht="27.75" customHeight="1">
      <c r="A1232" s="646">
        <v>1229</v>
      </c>
    </row>
    <row r="1233" spans="1:1" ht="27.75" customHeight="1">
      <c r="A1233" s="646">
        <v>1230</v>
      </c>
    </row>
    <row r="1234" spans="1:1" ht="27.75" customHeight="1">
      <c r="A1234" s="646">
        <v>1231</v>
      </c>
    </row>
    <row r="1235" spans="1:1" ht="27.75" customHeight="1">
      <c r="A1235" s="646">
        <v>1232</v>
      </c>
    </row>
    <row r="1236" spans="1:1" ht="27.75" customHeight="1">
      <c r="A1236" s="646">
        <v>1233</v>
      </c>
    </row>
    <row r="1237" spans="1:1" ht="27.75" customHeight="1">
      <c r="A1237" s="646">
        <v>1234</v>
      </c>
    </row>
    <row r="1238" spans="1:1" ht="27.75" customHeight="1">
      <c r="A1238" s="646">
        <v>1235</v>
      </c>
    </row>
    <row r="1239" spans="1:1" ht="27.75" customHeight="1">
      <c r="A1239" s="646">
        <v>1236</v>
      </c>
    </row>
    <row r="1240" spans="1:1" ht="27.75" customHeight="1">
      <c r="A1240" s="646">
        <v>1237</v>
      </c>
    </row>
    <row r="1241" spans="1:1" ht="27.75" customHeight="1">
      <c r="A1241" s="646">
        <v>1238</v>
      </c>
    </row>
    <row r="1242" spans="1:1" ht="27.75" customHeight="1">
      <c r="A1242" s="646">
        <v>1239</v>
      </c>
    </row>
    <row r="1243" spans="1:1" ht="27.75" customHeight="1">
      <c r="A1243" s="646">
        <v>1240</v>
      </c>
    </row>
    <row r="1244" spans="1:1" ht="27.75" customHeight="1">
      <c r="A1244" s="646">
        <v>1241</v>
      </c>
    </row>
    <row r="1245" spans="1:1" ht="27.75" customHeight="1">
      <c r="A1245" s="646">
        <v>1242</v>
      </c>
    </row>
    <row r="1246" spans="1:1" ht="27.75" customHeight="1">
      <c r="A1246" s="646">
        <v>1243</v>
      </c>
    </row>
    <row r="1247" spans="1:1" ht="27.75" customHeight="1">
      <c r="A1247" s="646">
        <v>1244</v>
      </c>
    </row>
    <row r="1248" spans="1:1" ht="27.75" customHeight="1">
      <c r="A1248" s="646">
        <v>1245</v>
      </c>
    </row>
    <row r="1249" spans="1:1" ht="27.75" customHeight="1">
      <c r="A1249" s="646">
        <v>1246</v>
      </c>
    </row>
    <row r="1250" spans="1:1" ht="27.75" customHeight="1">
      <c r="A1250" s="646">
        <v>1247</v>
      </c>
    </row>
    <row r="1251" spans="1:1" ht="27.75" customHeight="1">
      <c r="A1251" s="646">
        <v>1248</v>
      </c>
    </row>
    <row r="1252" spans="1:1" ht="27.75" customHeight="1">
      <c r="A1252" s="646">
        <v>1249</v>
      </c>
    </row>
    <row r="1253" spans="1:1" ht="27.75" customHeight="1">
      <c r="A1253" s="646">
        <v>1250</v>
      </c>
    </row>
    <row r="1254" spans="1:1" ht="27.75" customHeight="1">
      <c r="A1254" s="646">
        <v>1251</v>
      </c>
    </row>
    <row r="1255" spans="1:1" ht="27.75" customHeight="1">
      <c r="A1255" s="646">
        <v>1252</v>
      </c>
    </row>
    <row r="1256" spans="1:1" ht="27.75" customHeight="1">
      <c r="A1256" s="646">
        <v>1253</v>
      </c>
    </row>
    <row r="1257" spans="1:1" ht="27.75" customHeight="1">
      <c r="A1257" s="646">
        <v>1254</v>
      </c>
    </row>
    <row r="1258" spans="1:1" ht="27.75" customHeight="1">
      <c r="A1258" s="646">
        <v>1255</v>
      </c>
    </row>
    <row r="1259" spans="1:1" ht="27.75" customHeight="1">
      <c r="A1259" s="646">
        <v>1256</v>
      </c>
    </row>
    <row r="1260" spans="1:1" ht="27.75" customHeight="1">
      <c r="A1260" s="646">
        <v>1257</v>
      </c>
    </row>
    <row r="1261" spans="1:1" ht="27.75" customHeight="1">
      <c r="A1261" s="646">
        <v>1258</v>
      </c>
    </row>
    <row r="1262" spans="1:1" ht="27.75" customHeight="1">
      <c r="A1262" s="646">
        <v>1259</v>
      </c>
    </row>
    <row r="1263" spans="1:1" ht="27.75" customHeight="1">
      <c r="A1263" s="646">
        <v>1260</v>
      </c>
    </row>
    <row r="1264" spans="1:1" ht="27.75" customHeight="1">
      <c r="A1264" s="646">
        <v>1261</v>
      </c>
    </row>
    <row r="1265" spans="1:1" ht="27.75" customHeight="1">
      <c r="A1265" s="646">
        <v>1262</v>
      </c>
    </row>
    <row r="1266" spans="1:1" ht="27.75" customHeight="1">
      <c r="A1266" s="646">
        <v>1263</v>
      </c>
    </row>
    <row r="1267" spans="1:1" ht="27.75" customHeight="1">
      <c r="A1267" s="646">
        <v>1264</v>
      </c>
    </row>
    <row r="1268" spans="1:1" ht="27.75" customHeight="1">
      <c r="A1268" s="646">
        <v>1265</v>
      </c>
    </row>
  </sheetData>
  <autoFilter ref="A3:Q1268"/>
  <mergeCells count="2">
    <mergeCell ref="C1:G1"/>
    <mergeCell ref="C2:G2"/>
  </mergeCells>
  <pageMargins left="0.43307086614173229" right="0.15748031496062992" top="0.81" bottom="0.31496062992125984" header="0.15748031496062992" footer="0.31496062992125984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0"/>
  <sheetViews>
    <sheetView topLeftCell="A839" workbookViewId="0">
      <selection activeCell="E848" sqref="E848"/>
    </sheetView>
  </sheetViews>
  <sheetFormatPr defaultColWidth="9.33203125" defaultRowHeight="25.5" customHeight="1"/>
  <cols>
    <col min="1" max="1" width="8.33203125" style="35" customWidth="1"/>
    <col min="2" max="2" width="12.6640625" style="102" customWidth="1"/>
    <col min="3" max="3" width="18.6640625" style="35" customWidth="1"/>
    <col min="4" max="4" width="9.33203125" style="35"/>
    <col min="5" max="5" width="42.83203125" style="35" customWidth="1"/>
    <col min="6" max="6" width="11" style="153" bestFit="1" customWidth="1"/>
    <col min="7" max="7" width="13.83203125" style="153" customWidth="1"/>
    <col min="8" max="8" width="17.1640625" style="156" customWidth="1"/>
    <col min="9" max="9" width="21.83203125" style="35" customWidth="1"/>
    <col min="10" max="10" width="23.1640625" style="35" customWidth="1"/>
    <col min="11" max="16384" width="9.33203125" style="35"/>
  </cols>
  <sheetData>
    <row r="1" spans="1:11" ht="25.5" customHeight="1">
      <c r="A1" s="688" t="s">
        <v>2196</v>
      </c>
      <c r="B1" s="688"/>
      <c r="C1" s="688"/>
      <c r="D1" s="688"/>
      <c r="E1" s="688"/>
      <c r="F1" s="688"/>
      <c r="G1" s="688"/>
      <c r="H1" s="689"/>
      <c r="I1" s="688"/>
      <c r="J1" s="34"/>
    </row>
    <row r="2" spans="1:11" ht="25.5" customHeight="1">
      <c r="A2" s="690" t="s">
        <v>2197</v>
      </c>
      <c r="B2" s="690"/>
      <c r="C2" s="690"/>
      <c r="D2" s="690"/>
      <c r="E2" s="690"/>
      <c r="F2" s="690"/>
      <c r="G2" s="690"/>
      <c r="H2" s="691"/>
      <c r="I2" s="690"/>
      <c r="J2" s="34"/>
    </row>
    <row r="3" spans="1:11" ht="48.75" customHeight="1">
      <c r="A3" s="36"/>
      <c r="B3" s="37"/>
      <c r="C3" s="36"/>
      <c r="D3" s="36"/>
      <c r="E3" s="36"/>
      <c r="F3" s="150"/>
      <c r="G3" s="150"/>
      <c r="H3" s="154"/>
      <c r="I3" s="36"/>
      <c r="J3" s="36"/>
    </row>
    <row r="4" spans="1:11" ht="25.5" customHeight="1">
      <c r="A4" s="38" t="s">
        <v>280</v>
      </c>
      <c r="B4" s="39" t="s">
        <v>281</v>
      </c>
      <c r="C4" s="38" t="s">
        <v>282</v>
      </c>
      <c r="D4" s="38" t="s">
        <v>283</v>
      </c>
      <c r="E4" s="38" t="s">
        <v>284</v>
      </c>
      <c r="F4" s="134" t="s">
        <v>285</v>
      </c>
      <c r="G4" s="134" t="s">
        <v>286</v>
      </c>
      <c r="H4" s="155" t="s">
        <v>287</v>
      </c>
      <c r="I4" s="34" t="s">
        <v>0</v>
      </c>
      <c r="J4" s="34" t="s">
        <v>1</v>
      </c>
      <c r="K4" s="34"/>
    </row>
    <row r="5" spans="1:11" ht="25.5" customHeight="1">
      <c r="A5" s="40">
        <v>1</v>
      </c>
      <c r="B5" s="41" t="s">
        <v>2198</v>
      </c>
      <c r="C5" s="38" t="s">
        <v>2195</v>
      </c>
      <c r="D5" s="42"/>
      <c r="E5" s="38" t="s">
        <v>288</v>
      </c>
      <c r="F5" s="134" t="s">
        <v>777</v>
      </c>
      <c r="G5" s="135">
        <v>200000</v>
      </c>
      <c r="H5" s="43">
        <v>200000</v>
      </c>
      <c r="I5" s="34" t="s">
        <v>2</v>
      </c>
      <c r="J5" s="34" t="s">
        <v>3</v>
      </c>
      <c r="K5" s="34" t="s">
        <v>794</v>
      </c>
    </row>
    <row r="6" spans="1:11" ht="25.5" customHeight="1">
      <c r="A6" s="40">
        <v>2</v>
      </c>
      <c r="B6" s="41" t="s">
        <v>2199</v>
      </c>
      <c r="C6" s="42" t="s">
        <v>2199</v>
      </c>
      <c r="D6" s="42"/>
      <c r="E6" s="42" t="s">
        <v>847</v>
      </c>
      <c r="F6" s="134" t="s">
        <v>159</v>
      </c>
      <c r="G6" s="135">
        <v>10000</v>
      </c>
      <c r="H6" s="43">
        <v>210000</v>
      </c>
      <c r="I6" s="34"/>
      <c r="J6" s="34"/>
      <c r="K6" s="34"/>
    </row>
    <row r="7" spans="1:11" ht="25.5" customHeight="1">
      <c r="A7" s="40">
        <v>3</v>
      </c>
      <c r="B7" s="41" t="s">
        <v>2200</v>
      </c>
      <c r="C7" s="42" t="s">
        <v>2200</v>
      </c>
      <c r="D7" s="42"/>
      <c r="E7" s="38" t="s">
        <v>289</v>
      </c>
      <c r="F7" s="135">
        <v>125</v>
      </c>
      <c r="G7" s="134" t="s">
        <v>159</v>
      </c>
      <c r="H7" s="43">
        <v>209875</v>
      </c>
      <c r="I7" s="34"/>
      <c r="J7" s="34" t="s">
        <v>752</v>
      </c>
      <c r="K7" s="34" t="s">
        <v>826</v>
      </c>
    </row>
    <row r="8" spans="1:11" ht="25.5" customHeight="1">
      <c r="A8" s="40">
        <v>4</v>
      </c>
      <c r="B8" s="41" t="s">
        <v>2200</v>
      </c>
      <c r="C8" s="42" t="s">
        <v>2200</v>
      </c>
      <c r="D8" s="44"/>
      <c r="E8" s="38" t="s">
        <v>290</v>
      </c>
      <c r="F8" s="135">
        <v>11.25</v>
      </c>
      <c r="G8" s="134" t="s">
        <v>159</v>
      </c>
      <c r="H8" s="43">
        <v>209863.75</v>
      </c>
      <c r="I8" s="34"/>
      <c r="J8" s="34" t="s">
        <v>753</v>
      </c>
      <c r="K8" s="34" t="s">
        <v>827</v>
      </c>
    </row>
    <row r="9" spans="1:11" ht="25.5" customHeight="1">
      <c r="A9" s="40">
        <v>5</v>
      </c>
      <c r="B9" s="41" t="s">
        <v>2200</v>
      </c>
      <c r="C9" s="42" t="s">
        <v>2200</v>
      </c>
      <c r="D9" s="44"/>
      <c r="E9" s="38" t="s">
        <v>291</v>
      </c>
      <c r="F9" s="135">
        <v>11.25</v>
      </c>
      <c r="G9" s="134" t="s">
        <v>159</v>
      </c>
      <c r="H9" s="43">
        <v>209852.5</v>
      </c>
      <c r="I9" s="34"/>
      <c r="J9" s="34" t="s">
        <v>753</v>
      </c>
      <c r="K9" s="34" t="s">
        <v>830</v>
      </c>
    </row>
    <row r="10" spans="1:11" ht="25.5" customHeight="1">
      <c r="A10" s="40">
        <v>6</v>
      </c>
      <c r="B10" s="41" t="s">
        <v>2201</v>
      </c>
      <c r="C10" s="42" t="s">
        <v>2201</v>
      </c>
      <c r="D10" s="42"/>
      <c r="E10" s="38" t="s">
        <v>755</v>
      </c>
      <c r="F10" s="134" t="s">
        <v>159</v>
      </c>
      <c r="G10" s="135">
        <v>300000</v>
      </c>
      <c r="H10" s="43">
        <v>509852.5</v>
      </c>
      <c r="I10" s="34" t="s">
        <v>368</v>
      </c>
      <c r="J10" s="34" t="s">
        <v>794</v>
      </c>
      <c r="K10" s="34" t="s">
        <v>794</v>
      </c>
    </row>
    <row r="11" spans="1:11" ht="25.5" customHeight="1">
      <c r="A11" s="40">
        <v>7</v>
      </c>
      <c r="B11" s="41" t="s">
        <v>2202</v>
      </c>
      <c r="C11" s="42" t="s">
        <v>2202</v>
      </c>
      <c r="D11" s="40">
        <v>891</v>
      </c>
      <c r="E11" s="38" t="s">
        <v>292</v>
      </c>
      <c r="F11" s="135">
        <v>500000</v>
      </c>
      <c r="G11" s="134" t="s">
        <v>159</v>
      </c>
      <c r="H11" s="43">
        <v>9852.5</v>
      </c>
      <c r="I11" s="34" t="s">
        <v>2</v>
      </c>
      <c r="J11" s="34" t="s">
        <v>337</v>
      </c>
      <c r="K11" s="34" t="s">
        <v>794</v>
      </c>
    </row>
    <row r="12" spans="1:11" ht="25.5" customHeight="1">
      <c r="A12" s="40">
        <v>8</v>
      </c>
      <c r="B12" s="41" t="s">
        <v>2203</v>
      </c>
      <c r="C12" s="42" t="s">
        <v>2203</v>
      </c>
      <c r="D12" s="42"/>
      <c r="E12" s="42" t="s">
        <v>2204</v>
      </c>
      <c r="F12" s="134" t="s">
        <v>159</v>
      </c>
      <c r="G12" s="135">
        <v>10</v>
      </c>
      <c r="H12" s="43">
        <v>9862.5</v>
      </c>
      <c r="I12" s="34" t="s">
        <v>86</v>
      </c>
      <c r="J12" s="34" t="s">
        <v>367</v>
      </c>
      <c r="K12" s="34"/>
    </row>
    <row r="13" spans="1:11" ht="25.5" customHeight="1">
      <c r="A13" s="40">
        <v>9</v>
      </c>
      <c r="B13" s="41" t="s">
        <v>2205</v>
      </c>
      <c r="C13" s="42" t="s">
        <v>2205</v>
      </c>
      <c r="D13" s="42"/>
      <c r="E13" s="42" t="s">
        <v>2206</v>
      </c>
      <c r="F13" s="134" t="s">
        <v>159</v>
      </c>
      <c r="G13" s="134">
        <v>1100000</v>
      </c>
      <c r="H13" s="45" t="s">
        <v>2207</v>
      </c>
      <c r="I13" s="34" t="s">
        <v>4</v>
      </c>
      <c r="J13" s="34" t="s">
        <v>5</v>
      </c>
      <c r="K13" s="34"/>
    </row>
    <row r="14" spans="1:11" ht="25.5" customHeight="1">
      <c r="A14" s="40">
        <v>10</v>
      </c>
      <c r="B14" s="41" t="s">
        <v>2205</v>
      </c>
      <c r="C14" s="42" t="s">
        <v>2205</v>
      </c>
      <c r="D14" s="42"/>
      <c r="E14" s="42" t="s">
        <v>2208</v>
      </c>
      <c r="F14" s="134" t="s">
        <v>159</v>
      </c>
      <c r="G14" s="135">
        <v>25000</v>
      </c>
      <c r="H14" s="45" t="s">
        <v>2209</v>
      </c>
      <c r="I14" s="34" t="s">
        <v>360</v>
      </c>
      <c r="J14" s="34" t="s">
        <v>5</v>
      </c>
      <c r="K14" s="34"/>
    </row>
    <row r="15" spans="1:11" ht="25.5" customHeight="1">
      <c r="A15" s="40">
        <v>11</v>
      </c>
      <c r="B15" s="41" t="s">
        <v>2205</v>
      </c>
      <c r="C15" s="42" t="s">
        <v>2205</v>
      </c>
      <c r="D15" s="42"/>
      <c r="E15" s="42" t="s">
        <v>2210</v>
      </c>
      <c r="F15" s="134" t="s">
        <v>159</v>
      </c>
      <c r="G15" s="135">
        <v>15000</v>
      </c>
      <c r="H15" s="45" t="s">
        <v>2211</v>
      </c>
      <c r="I15" s="34" t="s">
        <v>360</v>
      </c>
      <c r="J15" s="34" t="s">
        <v>5</v>
      </c>
      <c r="K15" s="34"/>
    </row>
    <row r="16" spans="1:11" ht="25.5" customHeight="1">
      <c r="A16" s="46">
        <v>12</v>
      </c>
      <c r="B16" s="47" t="s">
        <v>2205</v>
      </c>
      <c r="C16" s="48" t="s">
        <v>2205</v>
      </c>
      <c r="D16" s="48"/>
      <c r="E16" s="48" t="s">
        <v>2212</v>
      </c>
      <c r="F16" s="136" t="s">
        <v>159</v>
      </c>
      <c r="G16" s="137">
        <v>50000</v>
      </c>
      <c r="H16" s="50" t="s">
        <v>2213</v>
      </c>
      <c r="I16" s="51" t="s">
        <v>6</v>
      </c>
      <c r="J16" s="51" t="s">
        <v>7</v>
      </c>
      <c r="K16" s="51"/>
    </row>
    <row r="17" spans="1:11" ht="25.5" customHeight="1">
      <c r="A17" s="46">
        <v>13</v>
      </c>
      <c r="B17" s="47" t="s">
        <v>2205</v>
      </c>
      <c r="C17" s="48" t="s">
        <v>2205</v>
      </c>
      <c r="D17" s="48"/>
      <c r="E17" s="48" t="s">
        <v>2214</v>
      </c>
      <c r="F17" s="136" t="s">
        <v>159</v>
      </c>
      <c r="G17" s="137">
        <v>100000</v>
      </c>
      <c r="H17" s="50" t="s">
        <v>2215</v>
      </c>
      <c r="I17" s="51" t="s">
        <v>6</v>
      </c>
      <c r="J17" s="51" t="s">
        <v>7</v>
      </c>
      <c r="K17" s="51"/>
    </row>
    <row r="18" spans="1:11" ht="25.5" customHeight="1">
      <c r="A18" s="40">
        <v>14</v>
      </c>
      <c r="B18" s="41" t="s">
        <v>2205</v>
      </c>
      <c r="C18" s="42" t="s">
        <v>2205</v>
      </c>
      <c r="D18" s="44"/>
      <c r="E18" s="42" t="s">
        <v>2216</v>
      </c>
      <c r="F18" s="134" t="s">
        <v>159</v>
      </c>
      <c r="G18" s="135">
        <v>10</v>
      </c>
      <c r="H18" s="45" t="s">
        <v>2217</v>
      </c>
      <c r="I18" s="34" t="s">
        <v>8</v>
      </c>
      <c r="J18" s="34" t="s">
        <v>367</v>
      </c>
      <c r="K18" s="34"/>
    </row>
    <row r="19" spans="1:11" ht="25.5" customHeight="1">
      <c r="A19" s="40">
        <v>15</v>
      </c>
      <c r="B19" s="41" t="s">
        <v>2205</v>
      </c>
      <c r="C19" s="42" t="s">
        <v>2205</v>
      </c>
      <c r="D19" s="44"/>
      <c r="E19" s="42" t="s">
        <v>2218</v>
      </c>
      <c r="F19" s="134" t="s">
        <v>159</v>
      </c>
      <c r="G19" s="135">
        <v>400000</v>
      </c>
      <c r="H19" s="45" t="s">
        <v>2219</v>
      </c>
      <c r="I19" s="34" t="s">
        <v>8</v>
      </c>
      <c r="J19" s="34" t="s">
        <v>367</v>
      </c>
      <c r="K19" s="34"/>
    </row>
    <row r="20" spans="1:11" s="69" customFormat="1" ht="25.5" customHeight="1">
      <c r="A20" s="46">
        <v>16</v>
      </c>
      <c r="B20" s="47" t="s">
        <v>2205</v>
      </c>
      <c r="C20" s="48" t="s">
        <v>2205</v>
      </c>
      <c r="D20" s="48"/>
      <c r="E20" s="48" t="s">
        <v>2220</v>
      </c>
      <c r="F20" s="136" t="s">
        <v>159</v>
      </c>
      <c r="G20" s="137">
        <v>300000</v>
      </c>
      <c r="H20" s="50" t="s">
        <v>2221</v>
      </c>
      <c r="I20" s="51" t="s">
        <v>9</v>
      </c>
      <c r="J20" s="51" t="s">
        <v>10</v>
      </c>
      <c r="K20" s="51"/>
    </row>
    <row r="21" spans="1:11" ht="25.5" customHeight="1">
      <c r="A21" s="40">
        <v>17</v>
      </c>
      <c r="B21" s="41" t="s">
        <v>2205</v>
      </c>
      <c r="C21" s="42" t="s">
        <v>2205</v>
      </c>
      <c r="D21" s="40">
        <v>892</v>
      </c>
      <c r="E21" s="42" t="s">
        <v>2222</v>
      </c>
      <c r="F21" s="134" t="s">
        <v>236</v>
      </c>
      <c r="G21" s="134" t="s">
        <v>159</v>
      </c>
      <c r="H21" s="52">
        <v>999872.5</v>
      </c>
      <c r="I21" s="34" t="s">
        <v>349</v>
      </c>
      <c r="J21" s="34" t="s">
        <v>350</v>
      </c>
      <c r="K21" s="34" t="s">
        <v>822</v>
      </c>
    </row>
    <row r="22" spans="1:11" s="69" customFormat="1" ht="25.5" customHeight="1">
      <c r="A22" s="46">
        <v>18</v>
      </c>
      <c r="B22" s="47" t="s">
        <v>2205</v>
      </c>
      <c r="C22" s="48" t="s">
        <v>2205</v>
      </c>
      <c r="D22" s="48"/>
      <c r="E22" s="48" t="s">
        <v>2223</v>
      </c>
      <c r="F22" s="136" t="s">
        <v>159</v>
      </c>
      <c r="G22" s="137">
        <v>350000</v>
      </c>
      <c r="H22" s="50" t="s">
        <v>2224</v>
      </c>
      <c r="I22" s="51" t="s">
        <v>11</v>
      </c>
      <c r="J22" s="51" t="s">
        <v>12</v>
      </c>
      <c r="K22" s="51"/>
    </row>
    <row r="23" spans="1:11" s="69" customFormat="1" ht="25.5" customHeight="1">
      <c r="A23" s="46">
        <v>19</v>
      </c>
      <c r="B23" s="47" t="s">
        <v>2205</v>
      </c>
      <c r="C23" s="48" t="s">
        <v>2205</v>
      </c>
      <c r="D23" s="48"/>
      <c r="E23" s="48" t="s">
        <v>2225</v>
      </c>
      <c r="F23" s="136" t="s">
        <v>159</v>
      </c>
      <c r="G23" s="137">
        <v>100000</v>
      </c>
      <c r="H23" s="50" t="s">
        <v>2226</v>
      </c>
      <c r="I23" s="51" t="s">
        <v>13</v>
      </c>
      <c r="J23" s="51" t="s">
        <v>14</v>
      </c>
      <c r="K23" s="51"/>
    </row>
    <row r="24" spans="1:11" ht="25.5" customHeight="1">
      <c r="A24" s="46">
        <v>20</v>
      </c>
      <c r="B24" s="47" t="s">
        <v>2205</v>
      </c>
      <c r="C24" s="48" t="s">
        <v>2205</v>
      </c>
      <c r="D24" s="48"/>
      <c r="E24" s="48" t="s">
        <v>2227</v>
      </c>
      <c r="F24" s="136" t="s">
        <v>159</v>
      </c>
      <c r="G24" s="136" t="s">
        <v>756</v>
      </c>
      <c r="H24" s="50" t="s">
        <v>2228</v>
      </c>
      <c r="I24" s="51" t="s">
        <v>16</v>
      </c>
      <c r="J24" s="51" t="s">
        <v>15</v>
      </c>
      <c r="K24" s="51"/>
    </row>
    <row r="25" spans="1:11" ht="25.5" customHeight="1">
      <c r="A25" s="40">
        <v>21</v>
      </c>
      <c r="B25" s="41" t="s">
        <v>2205</v>
      </c>
      <c r="C25" s="42" t="s">
        <v>2205</v>
      </c>
      <c r="D25" s="42"/>
      <c r="E25" s="42" t="s">
        <v>2229</v>
      </c>
      <c r="F25" s="134" t="s">
        <v>159</v>
      </c>
      <c r="G25" s="135">
        <v>150000</v>
      </c>
      <c r="H25" s="45" t="s">
        <v>2230</v>
      </c>
      <c r="I25" s="34" t="s">
        <v>17</v>
      </c>
      <c r="J25" s="34" t="s">
        <v>18</v>
      </c>
      <c r="K25" s="34"/>
    </row>
    <row r="26" spans="1:11" s="69" customFormat="1" ht="25.5" customHeight="1">
      <c r="A26" s="46">
        <v>22</v>
      </c>
      <c r="B26" s="47" t="s">
        <v>2205</v>
      </c>
      <c r="C26" s="48" t="s">
        <v>2205</v>
      </c>
      <c r="D26" s="48"/>
      <c r="E26" s="48" t="s">
        <v>2231</v>
      </c>
      <c r="F26" s="136" t="s">
        <v>159</v>
      </c>
      <c r="G26" s="137">
        <v>100000</v>
      </c>
      <c r="H26" s="50" t="s">
        <v>2232</v>
      </c>
      <c r="I26" s="51" t="s">
        <v>19</v>
      </c>
      <c r="J26" s="51" t="s">
        <v>20</v>
      </c>
      <c r="K26" s="51"/>
    </row>
    <row r="27" spans="1:11" ht="25.5" customHeight="1">
      <c r="A27" s="40">
        <v>23</v>
      </c>
      <c r="B27" s="41" t="s">
        <v>2233</v>
      </c>
      <c r="C27" s="42" t="s">
        <v>2233</v>
      </c>
      <c r="D27" s="40">
        <v>893</v>
      </c>
      <c r="E27" s="42" t="s">
        <v>2234</v>
      </c>
      <c r="F27" s="134" t="s">
        <v>236</v>
      </c>
      <c r="G27" s="134" t="s">
        <v>159</v>
      </c>
      <c r="H27" s="45" t="s">
        <v>2235</v>
      </c>
      <c r="I27" s="34" t="s">
        <v>351</v>
      </c>
      <c r="J27" s="34" t="s">
        <v>350</v>
      </c>
      <c r="K27" s="34" t="s">
        <v>794</v>
      </c>
    </row>
    <row r="28" spans="1:11" ht="25.5" customHeight="1">
      <c r="A28" s="40">
        <v>24</v>
      </c>
      <c r="B28" s="41" t="s">
        <v>2233</v>
      </c>
      <c r="C28" s="42" t="s">
        <v>2233</v>
      </c>
      <c r="D28" s="40">
        <v>894</v>
      </c>
      <c r="E28" s="38" t="s">
        <v>757</v>
      </c>
      <c r="F28" s="134" t="s">
        <v>236</v>
      </c>
      <c r="G28" s="134" t="s">
        <v>159</v>
      </c>
      <c r="H28" s="43">
        <v>799872.5</v>
      </c>
      <c r="I28" s="34" t="s">
        <v>352</v>
      </c>
      <c r="J28" s="34" t="s">
        <v>350</v>
      </c>
      <c r="K28" s="34"/>
    </row>
    <row r="29" spans="1:11" s="69" customFormat="1" ht="25.5" customHeight="1">
      <c r="A29" s="46">
        <v>25</v>
      </c>
      <c r="B29" s="47" t="s">
        <v>2233</v>
      </c>
      <c r="C29" s="48" t="s">
        <v>2233</v>
      </c>
      <c r="D29" s="48"/>
      <c r="E29" s="48" t="s">
        <v>2236</v>
      </c>
      <c r="F29" s="136" t="s">
        <v>159</v>
      </c>
      <c r="G29" s="137">
        <v>100000</v>
      </c>
      <c r="H29" s="49">
        <v>899872.5</v>
      </c>
      <c r="I29" s="51" t="s">
        <v>19</v>
      </c>
      <c r="J29" s="51" t="s">
        <v>20</v>
      </c>
      <c r="K29" s="51"/>
    </row>
    <row r="30" spans="1:11" ht="25.5" customHeight="1">
      <c r="A30" s="40">
        <v>26</v>
      </c>
      <c r="B30" s="41" t="s">
        <v>2237</v>
      </c>
      <c r="C30" s="42" t="s">
        <v>2237</v>
      </c>
      <c r="D30" s="42"/>
      <c r="E30" s="38" t="s">
        <v>288</v>
      </c>
      <c r="F30" s="134" t="s">
        <v>159</v>
      </c>
      <c r="G30" s="135">
        <v>300000</v>
      </c>
      <c r="H30" s="45" t="s">
        <v>2238</v>
      </c>
      <c r="I30" s="34" t="s">
        <v>2</v>
      </c>
      <c r="J30" s="34" t="s">
        <v>3</v>
      </c>
      <c r="K30" s="34"/>
    </row>
    <row r="31" spans="1:11" ht="25.5" customHeight="1">
      <c r="A31" s="40">
        <v>27</v>
      </c>
      <c r="B31" s="41" t="s">
        <v>2237</v>
      </c>
      <c r="C31" s="42" t="s">
        <v>2237</v>
      </c>
      <c r="D31" s="53">
        <v>895</v>
      </c>
      <c r="E31" s="42" t="s">
        <v>2239</v>
      </c>
      <c r="F31" s="134" t="s">
        <v>236</v>
      </c>
      <c r="G31" s="134" t="s">
        <v>159</v>
      </c>
      <c r="H31" s="43">
        <v>199872.5</v>
      </c>
      <c r="I31" s="34" t="s">
        <v>352</v>
      </c>
      <c r="J31" s="34" t="s">
        <v>350</v>
      </c>
      <c r="K31" s="34"/>
    </row>
    <row r="32" spans="1:11" ht="25.5" customHeight="1">
      <c r="A32" s="40">
        <v>28</v>
      </c>
      <c r="B32" s="41" t="s">
        <v>2240</v>
      </c>
      <c r="C32" s="42" t="s">
        <v>2240</v>
      </c>
      <c r="D32" s="44"/>
      <c r="E32" s="42" t="s">
        <v>2241</v>
      </c>
      <c r="F32" s="134" t="s">
        <v>159</v>
      </c>
      <c r="G32" s="135">
        <v>200000</v>
      </c>
      <c r="H32" s="43">
        <v>399872.5</v>
      </c>
      <c r="I32" s="34" t="s">
        <v>8</v>
      </c>
      <c r="J32" s="34" t="s">
        <v>367</v>
      </c>
      <c r="K32" s="34"/>
    </row>
    <row r="33" spans="1:11" s="69" customFormat="1" ht="25.5" customHeight="1">
      <c r="A33" s="46">
        <v>29</v>
      </c>
      <c r="B33" s="47" t="s">
        <v>2242</v>
      </c>
      <c r="C33" s="48" t="s">
        <v>2242</v>
      </c>
      <c r="D33" s="48"/>
      <c r="E33" s="48" t="s">
        <v>2243</v>
      </c>
      <c r="F33" s="136" t="s">
        <v>159</v>
      </c>
      <c r="G33" s="137">
        <v>500000</v>
      </c>
      <c r="H33" s="49">
        <v>899872.5</v>
      </c>
      <c r="I33" s="51" t="s">
        <v>21</v>
      </c>
      <c r="J33" s="51" t="s">
        <v>22</v>
      </c>
      <c r="K33" s="51"/>
    </row>
    <row r="34" spans="1:11" ht="25.5" customHeight="1">
      <c r="A34" s="40">
        <v>30</v>
      </c>
      <c r="B34" s="41" t="s">
        <v>2242</v>
      </c>
      <c r="C34" s="42" t="s">
        <v>2242</v>
      </c>
      <c r="D34" s="40">
        <v>896</v>
      </c>
      <c r="E34" s="38" t="s">
        <v>293</v>
      </c>
      <c r="F34" s="135">
        <v>500000</v>
      </c>
      <c r="G34" s="134" t="s">
        <v>159</v>
      </c>
      <c r="H34" s="43">
        <v>399872.5</v>
      </c>
      <c r="I34" s="34" t="s">
        <v>353</v>
      </c>
      <c r="J34" s="34" t="s">
        <v>354</v>
      </c>
      <c r="K34" s="34"/>
    </row>
    <row r="35" spans="1:11" ht="25.5" customHeight="1">
      <c r="A35" s="46">
        <v>31</v>
      </c>
      <c r="B35" s="47" t="s">
        <v>2242</v>
      </c>
      <c r="C35" s="48" t="s">
        <v>2242</v>
      </c>
      <c r="D35" s="48"/>
      <c r="E35" s="48" t="s">
        <v>2244</v>
      </c>
      <c r="F35" s="136" t="s">
        <v>159</v>
      </c>
      <c r="G35" s="137">
        <v>25000</v>
      </c>
      <c r="H35" s="49">
        <v>424872.5</v>
      </c>
      <c r="I35" s="51" t="s">
        <v>23</v>
      </c>
      <c r="J35" s="51" t="s">
        <v>24</v>
      </c>
      <c r="K35" s="51"/>
    </row>
    <row r="36" spans="1:11" ht="25.5" customHeight="1">
      <c r="A36" s="46">
        <v>32</v>
      </c>
      <c r="B36" s="47" t="s">
        <v>2242</v>
      </c>
      <c r="C36" s="48" t="s">
        <v>2242</v>
      </c>
      <c r="D36" s="48"/>
      <c r="E36" s="48" t="s">
        <v>2245</v>
      </c>
      <c r="F36" s="136" t="s">
        <v>159</v>
      </c>
      <c r="G36" s="137">
        <v>25000</v>
      </c>
      <c r="H36" s="49">
        <v>449872.5</v>
      </c>
      <c r="I36" s="51" t="s">
        <v>25</v>
      </c>
      <c r="J36" s="51" t="s">
        <v>24</v>
      </c>
      <c r="K36" s="51" t="s">
        <v>823</v>
      </c>
    </row>
    <row r="37" spans="1:11" ht="25.5" customHeight="1">
      <c r="A37" s="46">
        <v>33</v>
      </c>
      <c r="B37" s="47" t="s">
        <v>2242</v>
      </c>
      <c r="C37" s="48" t="s">
        <v>2242</v>
      </c>
      <c r="D37" s="48"/>
      <c r="E37" s="48" t="s">
        <v>2246</v>
      </c>
      <c r="F37" s="136" t="s">
        <v>159</v>
      </c>
      <c r="G37" s="137">
        <v>50000</v>
      </c>
      <c r="H37" s="49">
        <v>499872.5</v>
      </c>
      <c r="I37" s="51" t="s">
        <v>6</v>
      </c>
      <c r="J37" s="51" t="s">
        <v>24</v>
      </c>
      <c r="K37" s="51" t="s">
        <v>823</v>
      </c>
    </row>
    <row r="38" spans="1:11" ht="25.5" customHeight="1">
      <c r="A38" s="40">
        <v>34</v>
      </c>
      <c r="B38" s="41" t="s">
        <v>2242</v>
      </c>
      <c r="C38" s="42" t="s">
        <v>2242</v>
      </c>
      <c r="D38" s="42"/>
      <c r="E38" s="38" t="s">
        <v>294</v>
      </c>
      <c r="F38" s="134" t="s">
        <v>159</v>
      </c>
      <c r="G38" s="135">
        <v>200000</v>
      </c>
      <c r="H38" s="43">
        <v>699872.5</v>
      </c>
      <c r="I38" s="34" t="s">
        <v>26</v>
      </c>
      <c r="J38" s="34" t="s">
        <v>367</v>
      </c>
      <c r="K38" s="34"/>
    </row>
    <row r="39" spans="1:11" s="69" customFormat="1" ht="25.5" customHeight="1">
      <c r="A39" s="46">
        <v>35</v>
      </c>
      <c r="B39" s="47" t="s">
        <v>2247</v>
      </c>
      <c r="C39" s="48" t="s">
        <v>2247</v>
      </c>
      <c r="D39" s="48"/>
      <c r="E39" s="48" t="s">
        <v>2248</v>
      </c>
      <c r="F39" s="136" t="s">
        <v>159</v>
      </c>
      <c r="G39" s="137">
        <v>1</v>
      </c>
      <c r="H39" s="49">
        <v>699873.5</v>
      </c>
      <c r="I39" s="51" t="s">
        <v>27</v>
      </c>
      <c r="J39" s="51" t="s">
        <v>28</v>
      </c>
      <c r="K39" s="51" t="s">
        <v>823</v>
      </c>
    </row>
    <row r="40" spans="1:11" s="69" customFormat="1" ht="25.5" customHeight="1">
      <c r="A40" s="46">
        <v>36</v>
      </c>
      <c r="B40" s="47" t="s">
        <v>2247</v>
      </c>
      <c r="C40" s="48" t="s">
        <v>2247</v>
      </c>
      <c r="D40" s="48"/>
      <c r="E40" s="48" t="s">
        <v>2249</v>
      </c>
      <c r="F40" s="136" t="s">
        <v>159</v>
      </c>
      <c r="G40" s="137">
        <v>400000</v>
      </c>
      <c r="H40" s="50" t="s">
        <v>2250</v>
      </c>
      <c r="I40" s="51" t="s">
        <v>27</v>
      </c>
      <c r="J40" s="51" t="s">
        <v>28</v>
      </c>
      <c r="K40" s="51" t="s">
        <v>823</v>
      </c>
    </row>
    <row r="41" spans="1:11" ht="25.5" customHeight="1">
      <c r="A41" s="46">
        <v>37</v>
      </c>
      <c r="B41" s="47" t="s">
        <v>2247</v>
      </c>
      <c r="C41" s="48" t="s">
        <v>2247</v>
      </c>
      <c r="D41" s="48"/>
      <c r="E41" s="48" t="s">
        <v>2251</v>
      </c>
      <c r="F41" s="136" t="s">
        <v>159</v>
      </c>
      <c r="G41" s="137">
        <v>25000</v>
      </c>
      <c r="H41" s="50" t="s">
        <v>2252</v>
      </c>
      <c r="I41" s="51" t="s">
        <v>23</v>
      </c>
      <c r="J41" s="51" t="s">
        <v>29</v>
      </c>
      <c r="K41" s="51"/>
    </row>
    <row r="42" spans="1:11" ht="25.5" customHeight="1">
      <c r="A42" s="46">
        <v>38</v>
      </c>
      <c r="B42" s="47" t="s">
        <v>2247</v>
      </c>
      <c r="C42" s="48" t="s">
        <v>2247</v>
      </c>
      <c r="D42" s="48"/>
      <c r="E42" s="48" t="s">
        <v>2253</v>
      </c>
      <c r="F42" s="136" t="s">
        <v>159</v>
      </c>
      <c r="G42" s="137">
        <v>25000</v>
      </c>
      <c r="H42" s="50" t="s">
        <v>2254</v>
      </c>
      <c r="I42" s="51" t="s">
        <v>25</v>
      </c>
      <c r="J42" s="51" t="s">
        <v>29</v>
      </c>
      <c r="K42" s="51" t="s">
        <v>823</v>
      </c>
    </row>
    <row r="43" spans="1:11" ht="25.5" customHeight="1">
      <c r="A43" s="40">
        <v>39</v>
      </c>
      <c r="B43" s="41" t="s">
        <v>2255</v>
      </c>
      <c r="C43" s="42" t="s">
        <v>2256</v>
      </c>
      <c r="D43" s="42"/>
      <c r="E43" s="42" t="s">
        <v>2257</v>
      </c>
      <c r="F43" s="135">
        <v>500000</v>
      </c>
      <c r="G43" s="134" t="s">
        <v>159</v>
      </c>
      <c r="H43" s="43">
        <v>649873.5</v>
      </c>
      <c r="I43" s="34" t="s">
        <v>355</v>
      </c>
      <c r="J43" s="34" t="s">
        <v>350</v>
      </c>
      <c r="K43" s="34" t="s">
        <v>794</v>
      </c>
    </row>
    <row r="44" spans="1:11" s="69" customFormat="1" ht="25.5" customHeight="1">
      <c r="A44" s="46">
        <v>40</v>
      </c>
      <c r="B44" s="47" t="s">
        <v>2255</v>
      </c>
      <c r="C44" s="48" t="s">
        <v>2256</v>
      </c>
      <c r="D44" s="48"/>
      <c r="E44" s="48" t="s">
        <v>2258</v>
      </c>
      <c r="F44" s="136" t="s">
        <v>159</v>
      </c>
      <c r="G44" s="137">
        <v>350000</v>
      </c>
      <c r="H44" s="49">
        <v>999873.5</v>
      </c>
      <c r="I44" s="51" t="s">
        <v>776</v>
      </c>
      <c r="J44" s="51" t="s">
        <v>28</v>
      </c>
      <c r="K44" s="51"/>
    </row>
    <row r="45" spans="1:11" s="69" customFormat="1" ht="25.5" customHeight="1">
      <c r="A45" s="46">
        <v>41</v>
      </c>
      <c r="B45" s="47" t="s">
        <v>2255</v>
      </c>
      <c r="C45" s="48" t="s">
        <v>2256</v>
      </c>
      <c r="D45" s="48"/>
      <c r="E45" s="48" t="s">
        <v>2259</v>
      </c>
      <c r="F45" s="136" t="s">
        <v>159</v>
      </c>
      <c r="G45" s="137">
        <v>50000</v>
      </c>
      <c r="H45" s="50" t="s">
        <v>2260</v>
      </c>
      <c r="I45" s="51" t="s">
        <v>42</v>
      </c>
      <c r="J45" s="51" t="s">
        <v>30</v>
      </c>
      <c r="K45" s="51" t="s">
        <v>794</v>
      </c>
    </row>
    <row r="46" spans="1:11" s="69" customFormat="1" ht="25.5" customHeight="1">
      <c r="A46" s="46">
        <v>42</v>
      </c>
      <c r="B46" s="47" t="s">
        <v>2261</v>
      </c>
      <c r="C46" s="48" t="s">
        <v>2256</v>
      </c>
      <c r="D46" s="48"/>
      <c r="E46" s="54" t="s">
        <v>295</v>
      </c>
      <c r="F46" s="136" t="s">
        <v>159</v>
      </c>
      <c r="G46" s="137">
        <v>50000</v>
      </c>
      <c r="H46" s="50" t="s">
        <v>2250</v>
      </c>
      <c r="I46" s="51" t="s">
        <v>364</v>
      </c>
      <c r="J46" s="51" t="s">
        <v>31</v>
      </c>
      <c r="K46" s="51" t="s">
        <v>794</v>
      </c>
    </row>
    <row r="47" spans="1:11" ht="25.5" customHeight="1">
      <c r="A47" s="46">
        <v>43</v>
      </c>
      <c r="B47" s="47" t="s">
        <v>2256</v>
      </c>
      <c r="C47" s="48" t="s">
        <v>2256</v>
      </c>
      <c r="D47" s="48"/>
      <c r="E47" s="48" t="s">
        <v>2262</v>
      </c>
      <c r="F47" s="136" t="s">
        <v>159</v>
      </c>
      <c r="G47" s="137">
        <v>100000</v>
      </c>
      <c r="H47" s="50" t="s">
        <v>2263</v>
      </c>
      <c r="I47" s="51" t="s">
        <v>33</v>
      </c>
      <c r="J47" s="51" t="s">
        <v>32</v>
      </c>
      <c r="K47" s="51"/>
    </row>
    <row r="48" spans="1:11" ht="25.5" customHeight="1">
      <c r="A48" s="46">
        <v>44</v>
      </c>
      <c r="B48" s="47" t="s">
        <v>2256</v>
      </c>
      <c r="C48" s="48" t="s">
        <v>2256</v>
      </c>
      <c r="D48" s="48"/>
      <c r="E48" s="48" t="s">
        <v>2264</v>
      </c>
      <c r="F48" s="136" t="s">
        <v>159</v>
      </c>
      <c r="G48" s="137">
        <v>25000</v>
      </c>
      <c r="H48" s="50" t="s">
        <v>2265</v>
      </c>
      <c r="I48" s="51" t="s">
        <v>23</v>
      </c>
      <c r="J48" s="51" t="s">
        <v>29</v>
      </c>
      <c r="K48" s="51" t="s">
        <v>823</v>
      </c>
    </row>
    <row r="49" spans="1:11" ht="25.5" customHeight="1">
      <c r="A49" s="46">
        <v>45</v>
      </c>
      <c r="B49" s="47" t="s">
        <v>2256</v>
      </c>
      <c r="C49" s="48" t="s">
        <v>2256</v>
      </c>
      <c r="D49" s="48"/>
      <c r="E49" s="48" t="s">
        <v>2266</v>
      </c>
      <c r="F49" s="136" t="s">
        <v>159</v>
      </c>
      <c r="G49" s="137">
        <v>25000</v>
      </c>
      <c r="H49" s="50" t="s">
        <v>2267</v>
      </c>
      <c r="I49" s="51" t="s">
        <v>6</v>
      </c>
      <c r="J49" s="51" t="s">
        <v>29</v>
      </c>
      <c r="K49" s="51"/>
    </row>
    <row r="50" spans="1:11" ht="25.5" customHeight="1">
      <c r="A50" s="46">
        <v>46</v>
      </c>
      <c r="B50" s="47" t="s">
        <v>2256</v>
      </c>
      <c r="C50" s="48" t="s">
        <v>2256</v>
      </c>
      <c r="D50" s="48"/>
      <c r="E50" s="48" t="s">
        <v>2268</v>
      </c>
      <c r="F50" s="136" t="s">
        <v>159</v>
      </c>
      <c r="G50" s="137">
        <v>25000</v>
      </c>
      <c r="H50" s="50" t="s">
        <v>2269</v>
      </c>
      <c r="I50" s="51" t="s">
        <v>6</v>
      </c>
      <c r="J50" s="51" t="s">
        <v>29</v>
      </c>
      <c r="K50" s="51" t="s">
        <v>823</v>
      </c>
    </row>
    <row r="51" spans="1:11" ht="25.5" customHeight="1">
      <c r="A51" s="46">
        <v>47</v>
      </c>
      <c r="B51" s="47" t="s">
        <v>2256</v>
      </c>
      <c r="C51" s="48" t="s">
        <v>2256</v>
      </c>
      <c r="D51" s="48"/>
      <c r="E51" s="48" t="s">
        <v>2270</v>
      </c>
      <c r="F51" s="136" t="s">
        <v>159</v>
      </c>
      <c r="G51" s="137">
        <v>25000</v>
      </c>
      <c r="H51" s="50" t="s">
        <v>2271</v>
      </c>
      <c r="I51" s="51" t="s">
        <v>25</v>
      </c>
      <c r="J51" s="51" t="s">
        <v>29</v>
      </c>
      <c r="K51" s="51" t="s">
        <v>823</v>
      </c>
    </row>
    <row r="52" spans="1:11" ht="25.5" customHeight="1">
      <c r="A52" s="46">
        <v>48</v>
      </c>
      <c r="B52" s="47" t="s">
        <v>2256</v>
      </c>
      <c r="C52" s="48" t="s">
        <v>2256</v>
      </c>
      <c r="D52" s="48"/>
      <c r="E52" s="48" t="s">
        <v>2272</v>
      </c>
      <c r="F52" s="136" t="s">
        <v>159</v>
      </c>
      <c r="G52" s="137">
        <v>400000</v>
      </c>
      <c r="H52" s="50" t="s">
        <v>2273</v>
      </c>
      <c r="I52" s="51" t="s">
        <v>34</v>
      </c>
      <c r="J52" s="51" t="s">
        <v>35</v>
      </c>
      <c r="K52" s="51" t="s">
        <v>823</v>
      </c>
    </row>
    <row r="53" spans="1:11" ht="25.5" customHeight="1">
      <c r="A53" s="46">
        <v>49</v>
      </c>
      <c r="B53" s="47" t="s">
        <v>2256</v>
      </c>
      <c r="C53" s="48" t="s">
        <v>2256</v>
      </c>
      <c r="D53" s="48"/>
      <c r="E53" s="54" t="s">
        <v>296</v>
      </c>
      <c r="F53" s="137">
        <v>100000</v>
      </c>
      <c r="G53" s="136" t="s">
        <v>159</v>
      </c>
      <c r="H53" s="50" t="s">
        <v>2274</v>
      </c>
      <c r="I53" s="51" t="s">
        <v>33</v>
      </c>
      <c r="J53" s="51" t="s">
        <v>36</v>
      </c>
      <c r="K53" s="51"/>
    </row>
    <row r="54" spans="1:11" s="69" customFormat="1" ht="25.5" customHeight="1">
      <c r="A54" s="46">
        <v>50</v>
      </c>
      <c r="B54" s="47" t="s">
        <v>2275</v>
      </c>
      <c r="C54" s="48" t="s">
        <v>2275</v>
      </c>
      <c r="D54" s="48"/>
      <c r="E54" s="54" t="s">
        <v>297</v>
      </c>
      <c r="F54" s="136" t="s">
        <v>159</v>
      </c>
      <c r="G54" s="137">
        <v>50000</v>
      </c>
      <c r="H54" s="50" t="s">
        <v>2276</v>
      </c>
      <c r="I54" s="51" t="s">
        <v>364</v>
      </c>
      <c r="J54" s="51" t="s">
        <v>31</v>
      </c>
      <c r="K54" s="51"/>
    </row>
    <row r="55" spans="1:11" ht="25.5" customHeight="1">
      <c r="A55" s="40">
        <v>51</v>
      </c>
      <c r="B55" s="41" t="s">
        <v>2275</v>
      </c>
      <c r="C55" s="42" t="s">
        <v>2275</v>
      </c>
      <c r="D55" s="40">
        <v>897</v>
      </c>
      <c r="E55" s="38" t="s">
        <v>298</v>
      </c>
      <c r="F55" s="135">
        <v>500000</v>
      </c>
      <c r="G55" s="134" t="s">
        <v>159</v>
      </c>
      <c r="H55" s="45" t="s">
        <v>2254</v>
      </c>
      <c r="I55" s="34" t="s">
        <v>356</v>
      </c>
      <c r="J55" s="34" t="s">
        <v>354</v>
      </c>
      <c r="K55" s="34"/>
    </row>
    <row r="56" spans="1:11" ht="25.5" customHeight="1">
      <c r="A56" s="40">
        <v>52</v>
      </c>
      <c r="B56" s="41" t="s">
        <v>2275</v>
      </c>
      <c r="C56" s="42" t="s">
        <v>2275</v>
      </c>
      <c r="D56" s="42"/>
      <c r="E56" s="42" t="s">
        <v>2277</v>
      </c>
      <c r="F56" s="134" t="s">
        <v>159</v>
      </c>
      <c r="G56" s="135">
        <v>269000</v>
      </c>
      <c r="H56" s="45" t="s">
        <v>2278</v>
      </c>
      <c r="I56" s="34" t="s">
        <v>37</v>
      </c>
      <c r="J56" s="34" t="s">
        <v>5</v>
      </c>
      <c r="K56" s="34"/>
    </row>
    <row r="57" spans="1:11" ht="25.5" customHeight="1">
      <c r="A57" s="40">
        <v>53</v>
      </c>
      <c r="B57" s="41" t="s">
        <v>2275</v>
      </c>
      <c r="C57" s="42" t="s">
        <v>2275</v>
      </c>
      <c r="D57" s="44"/>
      <c r="E57" s="42" t="s">
        <v>2279</v>
      </c>
      <c r="F57" s="135">
        <v>7080</v>
      </c>
      <c r="G57" s="134" t="s">
        <v>159</v>
      </c>
      <c r="H57" s="45" t="s">
        <v>2280</v>
      </c>
      <c r="I57" s="34" t="s">
        <v>38</v>
      </c>
      <c r="J57" s="34" t="s">
        <v>39</v>
      </c>
      <c r="K57" s="34"/>
    </row>
    <row r="58" spans="1:11" ht="25.5" customHeight="1">
      <c r="A58" s="46">
        <v>54</v>
      </c>
      <c r="B58" s="47" t="s">
        <v>2275</v>
      </c>
      <c r="C58" s="48" t="s">
        <v>2275</v>
      </c>
      <c r="D58" s="48"/>
      <c r="E58" s="48" t="s">
        <v>2281</v>
      </c>
      <c r="F58" s="136" t="s">
        <v>159</v>
      </c>
      <c r="G58" s="137">
        <v>660000</v>
      </c>
      <c r="H58" s="50" t="s">
        <v>2282</v>
      </c>
      <c r="I58" s="51" t="s">
        <v>375</v>
      </c>
      <c r="J58" s="51" t="s">
        <v>40</v>
      </c>
      <c r="K58" s="51" t="s">
        <v>794</v>
      </c>
    </row>
    <row r="59" spans="1:11" ht="25.5" customHeight="1">
      <c r="A59" s="40">
        <v>55</v>
      </c>
      <c r="B59" s="41" t="s">
        <v>2275</v>
      </c>
      <c r="C59" s="42" t="s">
        <v>2275</v>
      </c>
      <c r="D59" s="42"/>
      <c r="E59" s="42" t="s">
        <v>2283</v>
      </c>
      <c r="F59" s="134" t="s">
        <v>159</v>
      </c>
      <c r="G59" s="135">
        <v>1</v>
      </c>
      <c r="H59" s="45" t="s">
        <v>2284</v>
      </c>
      <c r="I59" s="34" t="s">
        <v>33</v>
      </c>
      <c r="J59" s="34" t="s">
        <v>719</v>
      </c>
      <c r="K59" s="34"/>
    </row>
    <row r="60" spans="1:11" s="69" customFormat="1" ht="25.5" customHeight="1">
      <c r="A60" s="46">
        <v>56</v>
      </c>
      <c r="B60" s="47" t="s">
        <v>2285</v>
      </c>
      <c r="C60" s="48" t="s">
        <v>2285</v>
      </c>
      <c r="D60" s="48"/>
      <c r="E60" s="48" t="s">
        <v>2286</v>
      </c>
      <c r="F60" s="136" t="s">
        <v>159</v>
      </c>
      <c r="G60" s="137">
        <v>50000</v>
      </c>
      <c r="H60" s="50" t="s">
        <v>2287</v>
      </c>
      <c r="I60" s="51" t="s">
        <v>42</v>
      </c>
      <c r="J60" s="51" t="s">
        <v>41</v>
      </c>
      <c r="K60" s="51" t="s">
        <v>794</v>
      </c>
    </row>
    <row r="61" spans="1:11" s="69" customFormat="1" ht="25.5" customHeight="1">
      <c r="A61" s="46">
        <v>57</v>
      </c>
      <c r="B61" s="47" t="s">
        <v>2285</v>
      </c>
      <c r="C61" s="48" t="s">
        <v>2285</v>
      </c>
      <c r="D61" s="48"/>
      <c r="E61" s="48" t="s">
        <v>2288</v>
      </c>
      <c r="F61" s="136" t="s">
        <v>159</v>
      </c>
      <c r="G61" s="137">
        <v>10000</v>
      </c>
      <c r="H61" s="50" t="s">
        <v>2289</v>
      </c>
      <c r="I61" s="51" t="s">
        <v>52</v>
      </c>
      <c r="J61" s="51" t="s">
        <v>43</v>
      </c>
      <c r="K61" s="51"/>
    </row>
    <row r="62" spans="1:11" s="69" customFormat="1" ht="25.5" customHeight="1">
      <c r="A62" s="46">
        <v>58</v>
      </c>
      <c r="B62" s="47" t="s">
        <v>2285</v>
      </c>
      <c r="C62" s="48" t="s">
        <v>2285</v>
      </c>
      <c r="D62" s="48"/>
      <c r="E62" s="48" t="s">
        <v>2290</v>
      </c>
      <c r="F62" s="136" t="s">
        <v>159</v>
      </c>
      <c r="G62" s="137">
        <v>650000</v>
      </c>
      <c r="H62" s="50" t="s">
        <v>2291</v>
      </c>
      <c r="I62" s="51" t="s">
        <v>741</v>
      </c>
      <c r="J62" s="51" t="s">
        <v>41</v>
      </c>
      <c r="K62" s="51"/>
    </row>
    <row r="63" spans="1:11" ht="25.5" customHeight="1">
      <c r="A63" s="46">
        <v>59</v>
      </c>
      <c r="B63" s="47" t="s">
        <v>2292</v>
      </c>
      <c r="C63" s="48" t="s">
        <v>2292</v>
      </c>
      <c r="D63" s="48"/>
      <c r="E63" s="48" t="s">
        <v>2293</v>
      </c>
      <c r="F63" s="136" t="s">
        <v>159</v>
      </c>
      <c r="G63" s="137">
        <v>50000</v>
      </c>
      <c r="H63" s="50" t="s">
        <v>2294</v>
      </c>
      <c r="I63" s="51" t="s">
        <v>365</v>
      </c>
      <c r="J63" s="51" t="s">
        <v>44</v>
      </c>
      <c r="K63" s="51"/>
    </row>
    <row r="64" spans="1:11" ht="25.5" customHeight="1">
      <c r="A64" s="46">
        <v>60</v>
      </c>
      <c r="B64" s="47" t="s">
        <v>2295</v>
      </c>
      <c r="C64" s="48" t="s">
        <v>2295</v>
      </c>
      <c r="D64" s="48"/>
      <c r="E64" s="48" t="s">
        <v>2296</v>
      </c>
      <c r="F64" s="136" t="s">
        <v>159</v>
      </c>
      <c r="G64" s="137">
        <v>200000</v>
      </c>
      <c r="H64" s="50" t="s">
        <v>2297</v>
      </c>
      <c r="I64" s="51" t="s">
        <v>45</v>
      </c>
      <c r="J64" s="51" t="s">
        <v>46</v>
      </c>
      <c r="K64" s="51"/>
    </row>
    <row r="65" spans="1:11" s="69" customFormat="1" ht="25.5" customHeight="1">
      <c r="A65" s="46">
        <v>61</v>
      </c>
      <c r="B65" s="47" t="s">
        <v>2295</v>
      </c>
      <c r="C65" s="48" t="s">
        <v>2295</v>
      </c>
      <c r="D65" s="48"/>
      <c r="E65" s="48" t="s">
        <v>2298</v>
      </c>
      <c r="F65" s="136" t="s">
        <v>159</v>
      </c>
      <c r="G65" s="137">
        <v>200000</v>
      </c>
      <c r="H65" s="50" t="s">
        <v>2299</v>
      </c>
      <c r="I65" s="51" t="s">
        <v>16</v>
      </c>
      <c r="J65" s="51" t="s">
        <v>43</v>
      </c>
      <c r="K65" s="51"/>
    </row>
    <row r="66" spans="1:11" ht="25.5" customHeight="1">
      <c r="A66" s="40">
        <v>62</v>
      </c>
      <c r="B66" s="41" t="s">
        <v>2295</v>
      </c>
      <c r="C66" s="42" t="s">
        <v>2295</v>
      </c>
      <c r="D66" s="42"/>
      <c r="E66" s="42" t="s">
        <v>2300</v>
      </c>
      <c r="F66" s="138" t="s">
        <v>2301</v>
      </c>
      <c r="G66" s="134" t="s">
        <v>159</v>
      </c>
      <c r="H66" s="45" t="s">
        <v>2302</v>
      </c>
      <c r="I66" s="34" t="s">
        <v>351</v>
      </c>
      <c r="J66" s="34" t="s">
        <v>350</v>
      </c>
      <c r="K66" s="34" t="s">
        <v>794</v>
      </c>
    </row>
    <row r="67" spans="1:11" ht="25.5" customHeight="1">
      <c r="A67" s="40">
        <v>63</v>
      </c>
      <c r="B67" s="41" t="s">
        <v>2295</v>
      </c>
      <c r="C67" s="42" t="s">
        <v>2295</v>
      </c>
      <c r="D67" s="42"/>
      <c r="E67" s="42" t="s">
        <v>2303</v>
      </c>
      <c r="F67" s="138" t="s">
        <v>2301</v>
      </c>
      <c r="G67" s="134" t="s">
        <v>159</v>
      </c>
      <c r="H67" s="45" t="s">
        <v>2304</v>
      </c>
      <c r="I67" s="34" t="s">
        <v>349</v>
      </c>
      <c r="J67" s="34" t="s">
        <v>350</v>
      </c>
      <c r="K67" s="34" t="s">
        <v>823</v>
      </c>
    </row>
    <row r="68" spans="1:11" s="69" customFormat="1" ht="25.5" customHeight="1">
      <c r="A68" s="46">
        <v>64</v>
      </c>
      <c r="B68" s="47" t="s">
        <v>2295</v>
      </c>
      <c r="C68" s="48" t="s">
        <v>2295</v>
      </c>
      <c r="D68" s="48"/>
      <c r="E68" s="48" t="s">
        <v>2305</v>
      </c>
      <c r="F68" s="136" t="s">
        <v>159</v>
      </c>
      <c r="G68" s="137">
        <v>880000</v>
      </c>
      <c r="H68" s="50" t="s">
        <v>2306</v>
      </c>
      <c r="I68" s="51" t="s">
        <v>374</v>
      </c>
      <c r="J68" s="51" t="s">
        <v>47</v>
      </c>
      <c r="K68" s="51" t="s">
        <v>794</v>
      </c>
    </row>
    <row r="69" spans="1:11" s="69" customFormat="1" ht="25.5" customHeight="1">
      <c r="A69" s="46">
        <v>65</v>
      </c>
      <c r="B69" s="47" t="s">
        <v>2307</v>
      </c>
      <c r="C69" s="48" t="s">
        <v>2307</v>
      </c>
      <c r="D69" s="48"/>
      <c r="E69" s="48" t="s">
        <v>2308</v>
      </c>
      <c r="F69" s="136" t="s">
        <v>159</v>
      </c>
      <c r="G69" s="137">
        <v>10000</v>
      </c>
      <c r="H69" s="50" t="s">
        <v>2287</v>
      </c>
      <c r="I69" s="51" t="s">
        <v>360</v>
      </c>
      <c r="J69" s="51" t="s">
        <v>48</v>
      </c>
      <c r="K69" s="51"/>
    </row>
    <row r="70" spans="1:11" ht="25.5" customHeight="1">
      <c r="A70" s="46">
        <v>66</v>
      </c>
      <c r="B70" s="47" t="s">
        <v>2309</v>
      </c>
      <c r="C70" s="48" t="s">
        <v>2310</v>
      </c>
      <c r="D70" s="48"/>
      <c r="E70" s="48" t="s">
        <v>2311</v>
      </c>
      <c r="F70" s="136" t="s">
        <v>159</v>
      </c>
      <c r="G70" s="137">
        <v>200000</v>
      </c>
      <c r="H70" s="50" t="s">
        <v>2312</v>
      </c>
      <c r="I70" s="51" t="s">
        <v>49</v>
      </c>
      <c r="J70" s="51" t="s">
        <v>44</v>
      </c>
      <c r="K70" s="51"/>
    </row>
    <row r="71" spans="1:11" ht="25.5" customHeight="1">
      <c r="A71" s="46">
        <v>67</v>
      </c>
      <c r="B71" s="47" t="s">
        <v>2309</v>
      </c>
      <c r="C71" s="48" t="s">
        <v>2310</v>
      </c>
      <c r="D71" s="48"/>
      <c r="E71" s="48" t="s">
        <v>2313</v>
      </c>
      <c r="F71" s="136" t="s">
        <v>159</v>
      </c>
      <c r="G71" s="137">
        <v>50000</v>
      </c>
      <c r="H71" s="50" t="s">
        <v>2314</v>
      </c>
      <c r="I71" s="51" t="s">
        <v>49</v>
      </c>
      <c r="J71" s="51" t="s">
        <v>44</v>
      </c>
      <c r="K71" s="51"/>
    </row>
    <row r="72" spans="1:11" ht="25.5" customHeight="1">
      <c r="A72" s="40">
        <v>68</v>
      </c>
      <c r="B72" s="41" t="s">
        <v>2309</v>
      </c>
      <c r="C72" s="42" t="s">
        <v>2310</v>
      </c>
      <c r="D72" s="42"/>
      <c r="E72" s="42" t="s">
        <v>2315</v>
      </c>
      <c r="F72" s="138" t="s">
        <v>2301</v>
      </c>
      <c r="G72" s="134" t="s">
        <v>159</v>
      </c>
      <c r="H72" s="45" t="s">
        <v>2316</v>
      </c>
      <c r="I72" s="34" t="s">
        <v>352</v>
      </c>
      <c r="J72" s="34" t="s">
        <v>350</v>
      </c>
      <c r="K72" s="34" t="s">
        <v>823</v>
      </c>
    </row>
    <row r="73" spans="1:11" ht="25.5" customHeight="1">
      <c r="A73" s="40">
        <v>69</v>
      </c>
      <c r="B73" s="41" t="s">
        <v>2310</v>
      </c>
      <c r="C73" s="42" t="s">
        <v>2310</v>
      </c>
      <c r="D73" s="40">
        <v>899</v>
      </c>
      <c r="E73" s="38" t="s">
        <v>299</v>
      </c>
      <c r="F73" s="135">
        <v>500000</v>
      </c>
      <c r="G73" s="134" t="s">
        <v>159</v>
      </c>
      <c r="H73" s="43">
        <v>871794.5</v>
      </c>
      <c r="I73" s="34" t="s">
        <v>355</v>
      </c>
      <c r="J73" s="34" t="s">
        <v>350</v>
      </c>
      <c r="K73" s="34"/>
    </row>
    <row r="74" spans="1:11" s="69" customFormat="1" ht="25.5" customHeight="1">
      <c r="A74" s="46">
        <v>70</v>
      </c>
      <c r="B74" s="47" t="s">
        <v>2310</v>
      </c>
      <c r="C74" s="48" t="s">
        <v>2310</v>
      </c>
      <c r="D74" s="48"/>
      <c r="E74" s="54" t="s">
        <v>300</v>
      </c>
      <c r="F74" s="136" t="s">
        <v>159</v>
      </c>
      <c r="G74" s="137">
        <v>182250</v>
      </c>
      <c r="H74" s="50" t="s">
        <v>2317</v>
      </c>
      <c r="I74" s="51" t="s">
        <v>50</v>
      </c>
      <c r="J74" s="51" t="s">
        <v>51</v>
      </c>
      <c r="K74" s="51" t="s">
        <v>822</v>
      </c>
    </row>
    <row r="75" spans="1:11" s="69" customFormat="1" ht="25.5" customHeight="1">
      <c r="A75" s="46">
        <v>71</v>
      </c>
      <c r="B75" s="47" t="s">
        <v>2318</v>
      </c>
      <c r="C75" s="48" t="s">
        <v>2318</v>
      </c>
      <c r="D75" s="48"/>
      <c r="E75" s="48" t="s">
        <v>2319</v>
      </c>
      <c r="F75" s="136" t="s">
        <v>159</v>
      </c>
      <c r="G75" s="137">
        <v>100000</v>
      </c>
      <c r="H75" s="50" t="s">
        <v>2320</v>
      </c>
      <c r="I75" s="51" t="s">
        <v>52</v>
      </c>
      <c r="J75" s="51" t="s">
        <v>53</v>
      </c>
      <c r="K75" s="51" t="s">
        <v>794</v>
      </c>
    </row>
    <row r="76" spans="1:11" ht="25.5" customHeight="1">
      <c r="A76" s="40">
        <v>72</v>
      </c>
      <c r="B76" s="41" t="s">
        <v>2321</v>
      </c>
      <c r="C76" s="42" t="s">
        <v>2321</v>
      </c>
      <c r="D76" s="42"/>
      <c r="E76" s="42" t="s">
        <v>2322</v>
      </c>
      <c r="F76" s="138" t="s">
        <v>2301</v>
      </c>
      <c r="G76" s="134" t="s">
        <v>159</v>
      </c>
      <c r="H76" s="43">
        <v>154044.5</v>
      </c>
      <c r="I76" s="34" t="s">
        <v>352</v>
      </c>
      <c r="J76" s="34" t="s">
        <v>350</v>
      </c>
      <c r="K76" s="34"/>
    </row>
    <row r="77" spans="1:11" ht="25.5" customHeight="1">
      <c r="A77" s="46">
        <v>73</v>
      </c>
      <c r="B77" s="47" t="s">
        <v>2321</v>
      </c>
      <c r="C77" s="48" t="s">
        <v>2321</v>
      </c>
      <c r="D77" s="48"/>
      <c r="E77" s="48" t="s">
        <v>2323</v>
      </c>
      <c r="F77" s="136" t="s">
        <v>159</v>
      </c>
      <c r="G77" s="137">
        <v>20000</v>
      </c>
      <c r="H77" s="49">
        <v>174044.5</v>
      </c>
      <c r="I77" s="51" t="s">
        <v>366</v>
      </c>
      <c r="J77" s="51" t="s">
        <v>54</v>
      </c>
      <c r="K77" s="51"/>
    </row>
    <row r="78" spans="1:11" ht="25.5" customHeight="1">
      <c r="A78" s="46">
        <v>74</v>
      </c>
      <c r="B78" s="47" t="s">
        <v>2321</v>
      </c>
      <c r="C78" s="48" t="s">
        <v>2321</v>
      </c>
      <c r="D78" s="48"/>
      <c r="E78" s="48" t="s">
        <v>2324</v>
      </c>
      <c r="F78" s="136" t="s">
        <v>159</v>
      </c>
      <c r="G78" s="137">
        <v>15000</v>
      </c>
      <c r="H78" s="49">
        <v>189044.5</v>
      </c>
      <c r="I78" s="51" t="s">
        <v>366</v>
      </c>
      <c r="J78" s="51" t="s">
        <v>54</v>
      </c>
      <c r="K78" s="51"/>
    </row>
    <row r="79" spans="1:11" ht="25.5" customHeight="1">
      <c r="A79" s="46">
        <v>75</v>
      </c>
      <c r="B79" s="47" t="s">
        <v>2321</v>
      </c>
      <c r="C79" s="48" t="s">
        <v>2321</v>
      </c>
      <c r="D79" s="48"/>
      <c r="E79" s="48" t="s">
        <v>2325</v>
      </c>
      <c r="F79" s="136" t="s">
        <v>159</v>
      </c>
      <c r="G79" s="137">
        <v>15000</v>
      </c>
      <c r="H79" s="49">
        <v>204044.5</v>
      </c>
      <c r="I79" s="51" t="s">
        <v>366</v>
      </c>
      <c r="J79" s="51" t="s">
        <v>54</v>
      </c>
      <c r="K79" s="51"/>
    </row>
    <row r="80" spans="1:11" ht="25.5" customHeight="1">
      <c r="A80" s="46">
        <v>76</v>
      </c>
      <c r="B80" s="47" t="s">
        <v>2321</v>
      </c>
      <c r="C80" s="48" t="s">
        <v>2321</v>
      </c>
      <c r="D80" s="48"/>
      <c r="E80" s="48" t="s">
        <v>2326</v>
      </c>
      <c r="F80" s="136" t="s">
        <v>159</v>
      </c>
      <c r="G80" s="137">
        <v>15000</v>
      </c>
      <c r="H80" s="49">
        <v>219044.5</v>
      </c>
      <c r="I80" s="51" t="s">
        <v>366</v>
      </c>
      <c r="J80" s="51" t="s">
        <v>54</v>
      </c>
      <c r="K80" s="51"/>
    </row>
    <row r="81" spans="1:11" ht="25.5" customHeight="1">
      <c r="A81" s="46">
        <v>77</v>
      </c>
      <c r="B81" s="47" t="s">
        <v>2321</v>
      </c>
      <c r="C81" s="48" t="s">
        <v>2321</v>
      </c>
      <c r="D81" s="48"/>
      <c r="E81" s="48" t="s">
        <v>2327</v>
      </c>
      <c r="F81" s="136" t="s">
        <v>159</v>
      </c>
      <c r="G81" s="137">
        <v>10000</v>
      </c>
      <c r="H81" s="49">
        <v>229044.5</v>
      </c>
      <c r="I81" s="51" t="s">
        <v>366</v>
      </c>
      <c r="J81" s="51" t="s">
        <v>54</v>
      </c>
      <c r="K81" s="51"/>
    </row>
    <row r="82" spans="1:11" ht="25.5" customHeight="1">
      <c r="A82" s="46">
        <v>78</v>
      </c>
      <c r="B82" s="47" t="s">
        <v>2328</v>
      </c>
      <c r="C82" s="48" t="s">
        <v>2328</v>
      </c>
      <c r="D82" s="48"/>
      <c r="E82" s="48" t="s">
        <v>2329</v>
      </c>
      <c r="F82" s="136" t="s">
        <v>159</v>
      </c>
      <c r="G82" s="137">
        <v>10000</v>
      </c>
      <c r="H82" s="49">
        <v>239044.5</v>
      </c>
      <c r="I82" s="51" t="s">
        <v>366</v>
      </c>
      <c r="J82" s="51" t="s">
        <v>54</v>
      </c>
      <c r="K82" s="51"/>
    </row>
    <row r="83" spans="1:11" ht="25.5" customHeight="1">
      <c r="A83" s="46">
        <v>79</v>
      </c>
      <c r="B83" s="47" t="s">
        <v>2328</v>
      </c>
      <c r="C83" s="48" t="s">
        <v>2328</v>
      </c>
      <c r="D83" s="48"/>
      <c r="E83" s="48" t="s">
        <v>2330</v>
      </c>
      <c r="F83" s="136" t="s">
        <v>159</v>
      </c>
      <c r="G83" s="137">
        <v>5000</v>
      </c>
      <c r="H83" s="49">
        <v>244044.5</v>
      </c>
      <c r="I83" s="51" t="s">
        <v>366</v>
      </c>
      <c r="J83" s="51" t="s">
        <v>54</v>
      </c>
      <c r="K83" s="51"/>
    </row>
    <row r="84" spans="1:11" s="69" customFormat="1" ht="25.5" customHeight="1">
      <c r="A84" s="46">
        <v>80</v>
      </c>
      <c r="B84" s="47" t="s">
        <v>2328</v>
      </c>
      <c r="C84" s="48" t="s">
        <v>2328</v>
      </c>
      <c r="D84" s="48"/>
      <c r="E84" s="48" t="s">
        <v>2331</v>
      </c>
      <c r="F84" s="136" t="s">
        <v>159</v>
      </c>
      <c r="G84" s="137">
        <v>25000</v>
      </c>
      <c r="H84" s="49">
        <v>269044.5</v>
      </c>
      <c r="I84" s="51" t="s">
        <v>86</v>
      </c>
      <c r="J84" s="51" t="s">
        <v>55</v>
      </c>
      <c r="K84" s="51"/>
    </row>
    <row r="85" spans="1:11" s="69" customFormat="1" ht="25.5" customHeight="1">
      <c r="A85" s="46">
        <v>81</v>
      </c>
      <c r="B85" s="47" t="s">
        <v>2328</v>
      </c>
      <c r="C85" s="48" t="s">
        <v>2328</v>
      </c>
      <c r="D85" s="48"/>
      <c r="E85" s="48" t="s">
        <v>2332</v>
      </c>
      <c r="F85" s="136" t="s">
        <v>159</v>
      </c>
      <c r="G85" s="137">
        <v>25000</v>
      </c>
      <c r="H85" s="49">
        <v>294044.5</v>
      </c>
      <c r="I85" s="51" t="s">
        <v>86</v>
      </c>
      <c r="J85" s="51" t="s">
        <v>55</v>
      </c>
      <c r="K85" s="51" t="s">
        <v>845</v>
      </c>
    </row>
    <row r="86" spans="1:11" ht="25.5" customHeight="1">
      <c r="A86" s="40">
        <v>82</v>
      </c>
      <c r="B86" s="41" t="s">
        <v>2333</v>
      </c>
      <c r="C86" s="42" t="s">
        <v>2333</v>
      </c>
      <c r="D86" s="42"/>
      <c r="E86" s="42" t="s">
        <v>2334</v>
      </c>
      <c r="F86" s="134" t="s">
        <v>159</v>
      </c>
      <c r="G86" s="135">
        <v>500000</v>
      </c>
      <c r="H86" s="43">
        <v>794044.5</v>
      </c>
      <c r="I86" s="34" t="s">
        <v>56</v>
      </c>
      <c r="J86" s="34" t="s">
        <v>57</v>
      </c>
      <c r="K86" s="34"/>
    </row>
    <row r="87" spans="1:11" s="69" customFormat="1" ht="25.5" customHeight="1">
      <c r="A87" s="46">
        <v>83</v>
      </c>
      <c r="B87" s="47" t="s">
        <v>2335</v>
      </c>
      <c r="C87" s="48" t="s">
        <v>2335</v>
      </c>
      <c r="D87" s="48"/>
      <c r="E87" s="54" t="s">
        <v>301</v>
      </c>
      <c r="F87" s="136" t="s">
        <v>159</v>
      </c>
      <c r="G87" s="137">
        <v>100000</v>
      </c>
      <c r="H87" s="49">
        <v>894044.5</v>
      </c>
      <c r="I87" s="51" t="s">
        <v>58</v>
      </c>
      <c r="J87" s="51" t="s">
        <v>59</v>
      </c>
      <c r="K87" s="51"/>
    </row>
    <row r="88" spans="1:11" s="69" customFormat="1" ht="25.5" customHeight="1">
      <c r="A88" s="46">
        <v>84</v>
      </c>
      <c r="B88" s="47" t="s">
        <v>2335</v>
      </c>
      <c r="C88" s="48" t="s">
        <v>2335</v>
      </c>
      <c r="D88" s="48"/>
      <c r="E88" s="48" t="s">
        <v>2336</v>
      </c>
      <c r="F88" s="136" t="s">
        <v>159</v>
      </c>
      <c r="G88" s="137">
        <v>2000</v>
      </c>
      <c r="H88" s="49">
        <v>896044.5</v>
      </c>
      <c r="I88" s="51" t="s">
        <v>417</v>
      </c>
      <c r="J88" s="51" t="s">
        <v>60</v>
      </c>
      <c r="K88" s="51"/>
    </row>
    <row r="89" spans="1:11" ht="25.5" customHeight="1">
      <c r="A89" s="40">
        <v>85</v>
      </c>
      <c r="B89" s="41" t="s">
        <v>2335</v>
      </c>
      <c r="C89" s="42" t="s">
        <v>2335</v>
      </c>
      <c r="D89" s="42"/>
      <c r="E89" s="42" t="s">
        <v>2337</v>
      </c>
      <c r="F89" s="135">
        <v>250000</v>
      </c>
      <c r="G89" s="134" t="s">
        <v>159</v>
      </c>
      <c r="H89" s="43">
        <v>646044.5</v>
      </c>
      <c r="I89" s="34" t="s">
        <v>351</v>
      </c>
      <c r="J89" s="34" t="s">
        <v>350</v>
      </c>
      <c r="K89" s="34" t="s">
        <v>794</v>
      </c>
    </row>
    <row r="90" spans="1:11" ht="25.5" customHeight="1">
      <c r="A90" s="40">
        <v>86</v>
      </c>
      <c r="B90" s="41" t="s">
        <v>2335</v>
      </c>
      <c r="C90" s="42" t="s">
        <v>2335</v>
      </c>
      <c r="D90" s="42"/>
      <c r="E90" s="42" t="s">
        <v>2338</v>
      </c>
      <c r="F90" s="135">
        <v>250000</v>
      </c>
      <c r="G90" s="134" t="s">
        <v>159</v>
      </c>
      <c r="H90" s="43">
        <v>396044.5</v>
      </c>
      <c r="I90" s="34" t="s">
        <v>349</v>
      </c>
      <c r="J90" s="34" t="s">
        <v>350</v>
      </c>
      <c r="K90" s="34" t="s">
        <v>823</v>
      </c>
    </row>
    <row r="91" spans="1:11" s="69" customFormat="1" ht="25.5" customHeight="1">
      <c r="A91" s="46">
        <v>87</v>
      </c>
      <c r="B91" s="47" t="s">
        <v>2339</v>
      </c>
      <c r="C91" s="48" t="s">
        <v>2339</v>
      </c>
      <c r="D91" s="48"/>
      <c r="E91" s="48" t="s">
        <v>2340</v>
      </c>
      <c r="F91" s="136" t="s">
        <v>159</v>
      </c>
      <c r="G91" s="137">
        <v>2000</v>
      </c>
      <c r="H91" s="49">
        <v>398044.5</v>
      </c>
      <c r="I91" s="51" t="s">
        <v>357</v>
      </c>
      <c r="J91" s="51" t="s">
        <v>61</v>
      </c>
      <c r="K91" s="51"/>
    </row>
    <row r="92" spans="1:11" s="69" customFormat="1" ht="25.5" customHeight="1">
      <c r="A92" s="46">
        <v>88</v>
      </c>
      <c r="B92" s="47" t="s">
        <v>2341</v>
      </c>
      <c r="C92" s="48" t="s">
        <v>2341</v>
      </c>
      <c r="D92" s="48"/>
      <c r="E92" s="48" t="s">
        <v>2342</v>
      </c>
      <c r="F92" s="136" t="s">
        <v>159</v>
      </c>
      <c r="G92" s="137">
        <v>100000</v>
      </c>
      <c r="H92" s="49">
        <v>498044.5</v>
      </c>
      <c r="I92" s="51" t="s">
        <v>52</v>
      </c>
      <c r="J92" s="51" t="s">
        <v>43</v>
      </c>
      <c r="K92" s="51"/>
    </row>
    <row r="93" spans="1:11" ht="25.5" customHeight="1">
      <c r="A93" s="40">
        <v>89</v>
      </c>
      <c r="B93" s="41" t="s">
        <v>2341</v>
      </c>
      <c r="C93" s="42" t="s">
        <v>2341</v>
      </c>
      <c r="D93" s="42"/>
      <c r="E93" s="42" t="s">
        <v>2343</v>
      </c>
      <c r="F93" s="135">
        <v>300000</v>
      </c>
      <c r="G93" s="134" t="s">
        <v>159</v>
      </c>
      <c r="H93" s="43">
        <v>198044.5</v>
      </c>
      <c r="I93" s="34" t="s">
        <v>411</v>
      </c>
      <c r="J93" s="34" t="s">
        <v>62</v>
      </c>
      <c r="K93" s="34" t="s">
        <v>794</v>
      </c>
    </row>
    <row r="94" spans="1:11" ht="25.5" customHeight="1">
      <c r="A94" s="46">
        <v>90</v>
      </c>
      <c r="B94" s="47" t="s">
        <v>2344</v>
      </c>
      <c r="C94" s="48" t="s">
        <v>2344</v>
      </c>
      <c r="D94" s="48"/>
      <c r="E94" s="48" t="s">
        <v>2345</v>
      </c>
      <c r="F94" s="136" t="s">
        <v>159</v>
      </c>
      <c r="G94" s="137">
        <v>1000</v>
      </c>
      <c r="H94" s="49">
        <v>199044.5</v>
      </c>
      <c r="I94" s="51" t="s">
        <v>63</v>
      </c>
      <c r="J94" s="51" t="s">
        <v>54</v>
      </c>
      <c r="K94" s="51"/>
    </row>
    <row r="95" spans="1:11" ht="25.5" customHeight="1">
      <c r="A95" s="46">
        <v>91</v>
      </c>
      <c r="B95" s="47" t="s">
        <v>2344</v>
      </c>
      <c r="C95" s="48" t="s">
        <v>2344</v>
      </c>
      <c r="D95" s="48"/>
      <c r="E95" s="48" t="s">
        <v>2346</v>
      </c>
      <c r="F95" s="136" t="s">
        <v>159</v>
      </c>
      <c r="G95" s="137">
        <v>299000</v>
      </c>
      <c r="H95" s="49">
        <v>498044.5</v>
      </c>
      <c r="I95" s="51" t="s">
        <v>63</v>
      </c>
      <c r="J95" s="51" t="s">
        <v>54</v>
      </c>
      <c r="K95" s="51"/>
    </row>
    <row r="96" spans="1:11" ht="25.5" customHeight="1">
      <c r="A96" s="46">
        <v>92</v>
      </c>
      <c r="B96" s="47" t="s">
        <v>2347</v>
      </c>
      <c r="C96" s="48" t="s">
        <v>2347</v>
      </c>
      <c r="D96" s="48"/>
      <c r="E96" s="48" t="s">
        <v>2348</v>
      </c>
      <c r="F96" s="136" t="s">
        <v>159</v>
      </c>
      <c r="G96" s="137">
        <v>25000</v>
      </c>
      <c r="H96" s="49">
        <v>523044.5</v>
      </c>
      <c r="I96" s="51" t="s">
        <v>86</v>
      </c>
      <c r="J96" s="51" t="s">
        <v>64</v>
      </c>
      <c r="K96" s="51"/>
    </row>
    <row r="97" spans="1:11" ht="25.5" customHeight="1">
      <c r="A97" s="46">
        <v>93</v>
      </c>
      <c r="B97" s="47" t="s">
        <v>2347</v>
      </c>
      <c r="C97" s="48" t="s">
        <v>2347</v>
      </c>
      <c r="D97" s="48"/>
      <c r="E97" s="48" t="s">
        <v>2349</v>
      </c>
      <c r="F97" s="136" t="s">
        <v>159</v>
      </c>
      <c r="G97" s="137">
        <v>24000</v>
      </c>
      <c r="H97" s="49">
        <v>547044.5</v>
      </c>
      <c r="I97" s="51" t="s">
        <v>86</v>
      </c>
      <c r="J97" s="51" t="s">
        <v>64</v>
      </c>
      <c r="K97" s="51"/>
    </row>
    <row r="98" spans="1:11" ht="25.5" customHeight="1">
      <c r="A98" s="40">
        <v>94</v>
      </c>
      <c r="B98" s="41" t="s">
        <v>2347</v>
      </c>
      <c r="C98" s="42" t="s">
        <v>2347</v>
      </c>
      <c r="D98" s="42"/>
      <c r="E98" s="42" t="s">
        <v>2350</v>
      </c>
      <c r="F98" s="135">
        <v>500000</v>
      </c>
      <c r="G98" s="134" t="s">
        <v>159</v>
      </c>
      <c r="H98" s="43">
        <v>47044.5</v>
      </c>
      <c r="I98" s="34" t="s">
        <v>352</v>
      </c>
      <c r="J98" s="34" t="s">
        <v>350</v>
      </c>
      <c r="K98" s="34"/>
    </row>
    <row r="99" spans="1:11" ht="25.5" customHeight="1">
      <c r="A99" s="46">
        <v>95</v>
      </c>
      <c r="B99" s="47" t="s">
        <v>2351</v>
      </c>
      <c r="C99" s="48" t="s">
        <v>2352</v>
      </c>
      <c r="D99" s="48"/>
      <c r="E99" s="48" t="s">
        <v>2353</v>
      </c>
      <c r="F99" s="136" t="s">
        <v>159</v>
      </c>
      <c r="G99" s="137">
        <v>35000</v>
      </c>
      <c r="H99" s="49">
        <v>82044.5</v>
      </c>
      <c r="I99" s="51" t="s">
        <v>6</v>
      </c>
      <c r="J99" s="51" t="s">
        <v>24</v>
      </c>
      <c r="K99" s="51"/>
    </row>
    <row r="100" spans="1:11" s="69" customFormat="1" ht="25.5" customHeight="1">
      <c r="A100" s="46">
        <v>96</v>
      </c>
      <c r="B100" s="47" t="s">
        <v>2354</v>
      </c>
      <c r="C100" s="48" t="s">
        <v>2352</v>
      </c>
      <c r="D100" s="48"/>
      <c r="E100" s="48" t="s">
        <v>2355</v>
      </c>
      <c r="F100" s="136" t="s">
        <v>159</v>
      </c>
      <c r="G100" s="137">
        <v>500</v>
      </c>
      <c r="H100" s="49">
        <v>82544.5</v>
      </c>
      <c r="I100" s="51" t="s">
        <v>361</v>
      </c>
      <c r="J100" s="51" t="s">
        <v>65</v>
      </c>
      <c r="K100" s="51" t="s">
        <v>823</v>
      </c>
    </row>
    <row r="101" spans="1:11" s="69" customFormat="1" ht="25.5" customHeight="1">
      <c r="A101" s="46">
        <v>97</v>
      </c>
      <c r="B101" s="47" t="s">
        <v>2354</v>
      </c>
      <c r="C101" s="48" t="s">
        <v>2352</v>
      </c>
      <c r="D101" s="48"/>
      <c r="E101" s="48" t="s">
        <v>2356</v>
      </c>
      <c r="F101" s="136" t="s">
        <v>159</v>
      </c>
      <c r="G101" s="137">
        <v>25000</v>
      </c>
      <c r="H101" s="49">
        <v>107544.5</v>
      </c>
      <c r="I101" s="51" t="s">
        <v>361</v>
      </c>
      <c r="J101" s="51" t="s">
        <v>65</v>
      </c>
      <c r="K101" s="51" t="s">
        <v>810</v>
      </c>
    </row>
    <row r="102" spans="1:11" s="69" customFormat="1" ht="25.5" customHeight="1">
      <c r="A102" s="46">
        <v>98</v>
      </c>
      <c r="B102" s="47" t="s">
        <v>2354</v>
      </c>
      <c r="C102" s="48" t="s">
        <v>2352</v>
      </c>
      <c r="D102" s="48"/>
      <c r="E102" s="48" t="s">
        <v>2357</v>
      </c>
      <c r="F102" s="136" t="s">
        <v>159</v>
      </c>
      <c r="G102" s="137">
        <v>24500</v>
      </c>
      <c r="H102" s="49">
        <v>132044.5</v>
      </c>
      <c r="I102" s="51" t="s">
        <v>361</v>
      </c>
      <c r="J102" s="51" t="s">
        <v>65</v>
      </c>
      <c r="K102" s="51" t="s">
        <v>810</v>
      </c>
    </row>
    <row r="103" spans="1:11" s="69" customFormat="1" ht="25.5" customHeight="1">
      <c r="A103" s="46">
        <v>99</v>
      </c>
      <c r="B103" s="47" t="s">
        <v>2352</v>
      </c>
      <c r="C103" s="48" t="s">
        <v>2352</v>
      </c>
      <c r="D103" s="48"/>
      <c r="E103" s="48" t="s">
        <v>2358</v>
      </c>
      <c r="F103" s="136" t="s">
        <v>159</v>
      </c>
      <c r="G103" s="137">
        <v>50000</v>
      </c>
      <c r="H103" s="49">
        <v>182044.5</v>
      </c>
      <c r="I103" s="51" t="s">
        <v>66</v>
      </c>
      <c r="J103" s="51" t="s">
        <v>47</v>
      </c>
      <c r="K103" s="51" t="s">
        <v>794</v>
      </c>
    </row>
    <row r="104" spans="1:11" s="69" customFormat="1" ht="25.5" customHeight="1">
      <c r="A104" s="46">
        <v>100</v>
      </c>
      <c r="B104" s="47" t="s">
        <v>2352</v>
      </c>
      <c r="C104" s="48" t="s">
        <v>2352</v>
      </c>
      <c r="D104" s="48"/>
      <c r="E104" s="48" t="s">
        <v>2359</v>
      </c>
      <c r="F104" s="136" t="s">
        <v>159</v>
      </c>
      <c r="G104" s="137">
        <v>175000</v>
      </c>
      <c r="H104" s="49">
        <v>357044.5</v>
      </c>
      <c r="I104" s="51" t="s">
        <v>68</v>
      </c>
      <c r="J104" s="51" t="s">
        <v>67</v>
      </c>
      <c r="K104" s="51" t="s">
        <v>823</v>
      </c>
    </row>
    <row r="105" spans="1:11" s="69" customFormat="1" ht="25.5" customHeight="1">
      <c r="A105" s="46">
        <v>101</v>
      </c>
      <c r="B105" s="47" t="s">
        <v>2352</v>
      </c>
      <c r="C105" s="48" t="s">
        <v>2352</v>
      </c>
      <c r="D105" s="48"/>
      <c r="E105" s="48" t="s">
        <v>2360</v>
      </c>
      <c r="F105" s="136" t="s">
        <v>159</v>
      </c>
      <c r="G105" s="137">
        <v>300000</v>
      </c>
      <c r="H105" s="49">
        <v>657044.5</v>
      </c>
      <c r="I105" s="51" t="s">
        <v>69</v>
      </c>
      <c r="J105" s="51" t="s">
        <v>70</v>
      </c>
      <c r="K105" s="51" t="s">
        <v>794</v>
      </c>
    </row>
    <row r="106" spans="1:11" s="69" customFormat="1" ht="25.5" customHeight="1">
      <c r="A106" s="46">
        <v>102</v>
      </c>
      <c r="B106" s="47" t="s">
        <v>2352</v>
      </c>
      <c r="C106" s="48" t="s">
        <v>2352</v>
      </c>
      <c r="D106" s="48"/>
      <c r="E106" s="54" t="s">
        <v>302</v>
      </c>
      <c r="F106" s="137">
        <v>300000</v>
      </c>
      <c r="G106" s="136" t="s">
        <v>159</v>
      </c>
      <c r="H106" s="49">
        <v>357044.5</v>
      </c>
      <c r="I106" s="51" t="s">
        <v>69</v>
      </c>
      <c r="J106" s="51" t="s">
        <v>71</v>
      </c>
      <c r="K106" s="51" t="s">
        <v>794</v>
      </c>
    </row>
    <row r="107" spans="1:11" ht="25.5" customHeight="1">
      <c r="A107" s="46">
        <v>103</v>
      </c>
      <c r="B107" s="47" t="s">
        <v>2361</v>
      </c>
      <c r="C107" s="48" t="s">
        <v>2361</v>
      </c>
      <c r="D107" s="48"/>
      <c r="E107" s="48" t="s">
        <v>2362</v>
      </c>
      <c r="F107" s="136" t="s">
        <v>159</v>
      </c>
      <c r="G107" s="137">
        <v>250000</v>
      </c>
      <c r="H107" s="49">
        <v>607044.5</v>
      </c>
      <c r="I107" s="51" t="s">
        <v>72</v>
      </c>
      <c r="J107" s="51" t="s">
        <v>73</v>
      </c>
      <c r="K107" s="51" t="s">
        <v>823</v>
      </c>
    </row>
    <row r="108" spans="1:11" s="69" customFormat="1" ht="25.5" customHeight="1">
      <c r="A108" s="46">
        <v>104</v>
      </c>
      <c r="B108" s="47" t="s">
        <v>2361</v>
      </c>
      <c r="C108" s="48" t="s">
        <v>2361</v>
      </c>
      <c r="D108" s="48"/>
      <c r="E108" s="48" t="s">
        <v>2363</v>
      </c>
      <c r="F108" s="136" t="s">
        <v>159</v>
      </c>
      <c r="G108" s="137">
        <v>100000</v>
      </c>
      <c r="H108" s="49">
        <v>707044.5</v>
      </c>
      <c r="I108" s="51" t="s">
        <v>74</v>
      </c>
      <c r="J108" s="51" t="s">
        <v>65</v>
      </c>
      <c r="K108" s="51" t="s">
        <v>810</v>
      </c>
    </row>
    <row r="109" spans="1:11" s="69" customFormat="1" ht="25.5" customHeight="1">
      <c r="A109" s="46">
        <v>105</v>
      </c>
      <c r="B109" s="47" t="s">
        <v>2361</v>
      </c>
      <c r="C109" s="48" t="s">
        <v>2361</v>
      </c>
      <c r="D109" s="48"/>
      <c r="E109" s="48" t="s">
        <v>2364</v>
      </c>
      <c r="F109" s="136" t="s">
        <v>159</v>
      </c>
      <c r="G109" s="137">
        <v>800000</v>
      </c>
      <c r="H109" s="50" t="s">
        <v>2365</v>
      </c>
      <c r="I109" s="51" t="s">
        <v>75</v>
      </c>
      <c r="J109" s="51" t="s">
        <v>76</v>
      </c>
      <c r="K109" s="51"/>
    </row>
    <row r="110" spans="1:11" s="69" customFormat="1" ht="25.5" customHeight="1">
      <c r="A110" s="46">
        <v>106</v>
      </c>
      <c r="B110" s="47" t="s">
        <v>2361</v>
      </c>
      <c r="C110" s="48" t="s">
        <v>2361</v>
      </c>
      <c r="D110" s="48"/>
      <c r="E110" s="48" t="s">
        <v>2366</v>
      </c>
      <c r="F110" s="136" t="s">
        <v>159</v>
      </c>
      <c r="G110" s="137">
        <v>500000</v>
      </c>
      <c r="H110" s="50" t="s">
        <v>2367</v>
      </c>
      <c r="I110" s="51" t="s">
        <v>77</v>
      </c>
      <c r="J110" s="51" t="s">
        <v>79</v>
      </c>
      <c r="K110" s="51"/>
    </row>
    <row r="111" spans="1:11" s="69" customFormat="1" ht="25.5" customHeight="1">
      <c r="A111" s="46">
        <v>107</v>
      </c>
      <c r="B111" s="47" t="s">
        <v>2361</v>
      </c>
      <c r="C111" s="48" t="s">
        <v>2361</v>
      </c>
      <c r="D111" s="48"/>
      <c r="E111" s="48" t="s">
        <v>2368</v>
      </c>
      <c r="F111" s="136" t="s">
        <v>159</v>
      </c>
      <c r="G111" s="137">
        <v>300000</v>
      </c>
      <c r="H111" s="50" t="s">
        <v>2369</v>
      </c>
      <c r="I111" s="51" t="s">
        <v>78</v>
      </c>
      <c r="J111" s="51" t="s">
        <v>80</v>
      </c>
      <c r="K111" s="51"/>
    </row>
    <row r="112" spans="1:11" s="69" customFormat="1" ht="25.5" customHeight="1">
      <c r="A112" s="46">
        <v>108</v>
      </c>
      <c r="B112" s="47" t="s">
        <v>2370</v>
      </c>
      <c r="C112" s="48" t="s">
        <v>2370</v>
      </c>
      <c r="D112" s="48"/>
      <c r="E112" s="48" t="s">
        <v>2371</v>
      </c>
      <c r="F112" s="136" t="s">
        <v>159</v>
      </c>
      <c r="G112" s="137">
        <v>250000</v>
      </c>
      <c r="H112" s="50" t="s">
        <v>2372</v>
      </c>
      <c r="I112" s="51" t="s">
        <v>82</v>
      </c>
      <c r="J112" s="51" t="s">
        <v>81</v>
      </c>
      <c r="K112" s="51"/>
    </row>
    <row r="113" spans="1:11" s="69" customFormat="1" ht="25.5" customHeight="1">
      <c r="A113" s="46">
        <v>109</v>
      </c>
      <c r="B113" s="47" t="s">
        <v>2370</v>
      </c>
      <c r="C113" s="48" t="s">
        <v>2370</v>
      </c>
      <c r="D113" s="48"/>
      <c r="E113" s="48" t="s">
        <v>2373</v>
      </c>
      <c r="F113" s="136" t="s">
        <v>159</v>
      </c>
      <c r="G113" s="137">
        <v>164000</v>
      </c>
      <c r="H113" s="50" t="s">
        <v>2374</v>
      </c>
      <c r="I113" s="51" t="s">
        <v>83</v>
      </c>
      <c r="J113" s="51" t="s">
        <v>754</v>
      </c>
      <c r="K113" s="51" t="s">
        <v>823</v>
      </c>
    </row>
    <row r="114" spans="1:11" s="69" customFormat="1" ht="25.5" customHeight="1">
      <c r="A114" s="46">
        <v>110</v>
      </c>
      <c r="B114" s="47" t="s">
        <v>2370</v>
      </c>
      <c r="C114" s="48" t="s">
        <v>2370</v>
      </c>
      <c r="D114" s="48"/>
      <c r="E114" s="48" t="s">
        <v>2375</v>
      </c>
      <c r="F114" s="136" t="s">
        <v>159</v>
      </c>
      <c r="G114" s="137">
        <v>10000</v>
      </c>
      <c r="H114" s="50" t="s">
        <v>2376</v>
      </c>
      <c r="I114" s="51" t="s">
        <v>362</v>
      </c>
      <c r="J114" s="51" t="s">
        <v>84</v>
      </c>
      <c r="K114" s="51" t="s">
        <v>823</v>
      </c>
    </row>
    <row r="115" spans="1:11" s="69" customFormat="1" ht="25.5" customHeight="1">
      <c r="A115" s="46">
        <v>111</v>
      </c>
      <c r="B115" s="47" t="s">
        <v>2370</v>
      </c>
      <c r="C115" s="48" t="s">
        <v>2370</v>
      </c>
      <c r="D115" s="48"/>
      <c r="E115" s="54" t="s">
        <v>303</v>
      </c>
      <c r="F115" s="136" t="s">
        <v>159</v>
      </c>
      <c r="G115" s="137">
        <v>175000</v>
      </c>
      <c r="H115" s="50" t="s">
        <v>2377</v>
      </c>
      <c r="I115" s="51" t="s">
        <v>50</v>
      </c>
      <c r="J115" s="51" t="s">
        <v>85</v>
      </c>
      <c r="K115" s="51" t="s">
        <v>794</v>
      </c>
    </row>
    <row r="116" spans="1:11" s="69" customFormat="1" ht="25.5" customHeight="1">
      <c r="A116" s="46">
        <v>112</v>
      </c>
      <c r="B116" s="47" t="s">
        <v>2370</v>
      </c>
      <c r="C116" s="48" t="s">
        <v>2370</v>
      </c>
      <c r="D116" s="48"/>
      <c r="E116" s="54" t="s">
        <v>294</v>
      </c>
      <c r="F116" s="136" t="s">
        <v>159</v>
      </c>
      <c r="G116" s="137">
        <v>150000</v>
      </c>
      <c r="H116" s="50" t="s">
        <v>2378</v>
      </c>
      <c r="I116" s="51" t="s">
        <v>86</v>
      </c>
      <c r="J116" s="51" t="s">
        <v>87</v>
      </c>
      <c r="K116" s="51"/>
    </row>
    <row r="117" spans="1:11" s="69" customFormat="1" ht="25.5" customHeight="1">
      <c r="A117" s="46">
        <v>113</v>
      </c>
      <c r="B117" s="47" t="s">
        <v>2370</v>
      </c>
      <c r="C117" s="48" t="s">
        <v>2370</v>
      </c>
      <c r="D117" s="48"/>
      <c r="E117" s="48" t="s">
        <v>2379</v>
      </c>
      <c r="F117" s="136" t="s">
        <v>159</v>
      </c>
      <c r="G117" s="137">
        <v>371000</v>
      </c>
      <c r="H117" s="50" t="s">
        <v>2380</v>
      </c>
      <c r="I117" s="51" t="s">
        <v>89</v>
      </c>
      <c r="J117" s="51" t="s">
        <v>88</v>
      </c>
      <c r="K117" s="51"/>
    </row>
    <row r="118" spans="1:11" s="69" customFormat="1" ht="25.5" customHeight="1">
      <c r="A118" s="46">
        <v>114</v>
      </c>
      <c r="B118" s="47" t="s">
        <v>2370</v>
      </c>
      <c r="C118" s="48" t="s">
        <v>2370</v>
      </c>
      <c r="D118" s="48"/>
      <c r="E118" s="48" t="s">
        <v>2381</v>
      </c>
      <c r="F118" s="136" t="s">
        <v>159</v>
      </c>
      <c r="G118" s="137">
        <v>20000</v>
      </c>
      <c r="H118" s="50" t="s">
        <v>2382</v>
      </c>
      <c r="I118" s="51" t="s">
        <v>360</v>
      </c>
      <c r="J118" s="51" t="s">
        <v>90</v>
      </c>
      <c r="K118" s="51" t="s">
        <v>810</v>
      </c>
    </row>
    <row r="119" spans="1:11" s="69" customFormat="1" ht="25.5" customHeight="1">
      <c r="A119" s="46">
        <v>115</v>
      </c>
      <c r="B119" s="47" t="s">
        <v>2370</v>
      </c>
      <c r="C119" s="48" t="s">
        <v>2370</v>
      </c>
      <c r="D119" s="48"/>
      <c r="E119" s="48" t="s">
        <v>2383</v>
      </c>
      <c r="F119" s="136" t="s">
        <v>159</v>
      </c>
      <c r="G119" s="137">
        <v>30000</v>
      </c>
      <c r="H119" s="50" t="s">
        <v>2384</v>
      </c>
      <c r="I119" s="51" t="s">
        <v>360</v>
      </c>
      <c r="J119" s="51" t="s">
        <v>91</v>
      </c>
      <c r="K119" s="51"/>
    </row>
    <row r="120" spans="1:11" ht="25.5" customHeight="1">
      <c r="A120" s="40">
        <v>116</v>
      </c>
      <c r="B120" s="41" t="s">
        <v>2385</v>
      </c>
      <c r="C120" s="42" t="s">
        <v>2385</v>
      </c>
      <c r="D120" s="42"/>
      <c r="E120" s="42" t="s">
        <v>2386</v>
      </c>
      <c r="F120" s="138" t="s">
        <v>2301</v>
      </c>
      <c r="G120" s="134" t="s">
        <v>159</v>
      </c>
      <c r="H120" s="45" t="s">
        <v>2387</v>
      </c>
      <c r="I120" s="34" t="s">
        <v>349</v>
      </c>
      <c r="J120" s="34" t="s">
        <v>350</v>
      </c>
      <c r="K120" s="34" t="s">
        <v>794</v>
      </c>
    </row>
    <row r="121" spans="1:11" ht="25.5" customHeight="1">
      <c r="A121" s="40">
        <v>117</v>
      </c>
      <c r="B121" s="41" t="s">
        <v>2385</v>
      </c>
      <c r="C121" s="42" t="s">
        <v>2385</v>
      </c>
      <c r="D121" s="42"/>
      <c r="E121" s="42" t="s">
        <v>2388</v>
      </c>
      <c r="F121" s="138" t="s">
        <v>2301</v>
      </c>
      <c r="G121" s="134" t="s">
        <v>159</v>
      </c>
      <c r="H121" s="45" t="s">
        <v>2389</v>
      </c>
      <c r="I121" s="34" t="s">
        <v>351</v>
      </c>
      <c r="J121" s="34" t="s">
        <v>350</v>
      </c>
      <c r="K121" s="34" t="s">
        <v>794</v>
      </c>
    </row>
    <row r="122" spans="1:11" ht="25.5" customHeight="1">
      <c r="A122" s="40">
        <v>118</v>
      </c>
      <c r="B122" s="41" t="s">
        <v>2385</v>
      </c>
      <c r="C122" s="42" t="s">
        <v>2385</v>
      </c>
      <c r="D122" s="42"/>
      <c r="E122" s="42" t="s">
        <v>2390</v>
      </c>
      <c r="F122" s="138" t="s">
        <v>2301</v>
      </c>
      <c r="G122" s="134" t="s">
        <v>159</v>
      </c>
      <c r="H122" s="43">
        <v>477044.5</v>
      </c>
      <c r="I122" s="34" t="s">
        <v>352</v>
      </c>
      <c r="J122" s="34" t="s">
        <v>350</v>
      </c>
      <c r="K122" s="34" t="s">
        <v>794</v>
      </c>
    </row>
    <row r="123" spans="1:11" s="69" customFormat="1" ht="25.5" customHeight="1">
      <c r="A123" s="46">
        <v>119</v>
      </c>
      <c r="B123" s="47" t="s">
        <v>2385</v>
      </c>
      <c r="C123" s="48" t="s">
        <v>2385</v>
      </c>
      <c r="D123" s="48"/>
      <c r="E123" s="48" t="s">
        <v>2391</v>
      </c>
      <c r="F123" s="136" t="s">
        <v>159</v>
      </c>
      <c r="G123" s="137">
        <v>230000</v>
      </c>
      <c r="H123" s="49">
        <v>707044.5</v>
      </c>
      <c r="I123" s="51" t="s">
        <v>358</v>
      </c>
      <c r="J123" s="51" t="s">
        <v>92</v>
      </c>
      <c r="K123" s="51"/>
    </row>
    <row r="124" spans="1:11" s="69" customFormat="1" ht="25.5" customHeight="1">
      <c r="A124" s="46">
        <v>120</v>
      </c>
      <c r="B124" s="47" t="s">
        <v>2392</v>
      </c>
      <c r="C124" s="48" t="s">
        <v>2392</v>
      </c>
      <c r="D124" s="48"/>
      <c r="E124" s="48" t="s">
        <v>2393</v>
      </c>
      <c r="F124" s="136" t="s">
        <v>159</v>
      </c>
      <c r="G124" s="137">
        <v>25000</v>
      </c>
      <c r="H124" s="49">
        <v>732044.5</v>
      </c>
      <c r="I124" s="51" t="s">
        <v>93</v>
      </c>
      <c r="J124" s="51" t="s">
        <v>94</v>
      </c>
      <c r="K124" s="51"/>
    </row>
    <row r="125" spans="1:11" ht="25.5" customHeight="1">
      <c r="A125" s="46">
        <v>121</v>
      </c>
      <c r="B125" s="47" t="s">
        <v>2392</v>
      </c>
      <c r="C125" s="48" t="s">
        <v>2392</v>
      </c>
      <c r="D125" s="48"/>
      <c r="E125" s="48" t="s">
        <v>2394</v>
      </c>
      <c r="F125" s="136" t="s">
        <v>159</v>
      </c>
      <c r="G125" s="137">
        <v>51000</v>
      </c>
      <c r="H125" s="49">
        <v>783044.5</v>
      </c>
      <c r="I125" s="51" t="s">
        <v>359</v>
      </c>
      <c r="J125" s="51" t="s">
        <v>95</v>
      </c>
      <c r="K125" s="51" t="s">
        <v>794</v>
      </c>
    </row>
    <row r="126" spans="1:11" s="69" customFormat="1" ht="25.5" customHeight="1">
      <c r="A126" s="46">
        <v>122</v>
      </c>
      <c r="B126" s="47" t="s">
        <v>2392</v>
      </c>
      <c r="C126" s="48" t="s">
        <v>2392</v>
      </c>
      <c r="D126" s="48"/>
      <c r="E126" s="48" t="s">
        <v>2395</v>
      </c>
      <c r="F126" s="136" t="s">
        <v>159</v>
      </c>
      <c r="G126" s="137">
        <v>10000</v>
      </c>
      <c r="H126" s="49">
        <v>793044.5</v>
      </c>
      <c r="I126" s="51" t="s">
        <v>124</v>
      </c>
      <c r="J126" s="51" t="s">
        <v>96</v>
      </c>
      <c r="K126" s="51" t="s">
        <v>794</v>
      </c>
    </row>
    <row r="127" spans="1:11" s="69" customFormat="1" ht="25.5" customHeight="1">
      <c r="A127" s="46">
        <v>123</v>
      </c>
      <c r="B127" s="47" t="s">
        <v>2396</v>
      </c>
      <c r="C127" s="48" t="s">
        <v>2396</v>
      </c>
      <c r="D127" s="48"/>
      <c r="E127" s="48" t="s">
        <v>2397</v>
      </c>
      <c r="F127" s="136" t="s">
        <v>159</v>
      </c>
      <c r="G127" s="137">
        <v>21000</v>
      </c>
      <c r="H127" s="122">
        <v>814044.5</v>
      </c>
      <c r="I127" s="51" t="s">
        <v>369</v>
      </c>
      <c r="J127" s="51" t="s">
        <v>97</v>
      </c>
      <c r="K127" s="51"/>
    </row>
    <row r="128" spans="1:11" s="69" customFormat="1" ht="25.5" customHeight="1">
      <c r="A128" s="46">
        <v>124</v>
      </c>
      <c r="B128" s="47" t="s">
        <v>2396</v>
      </c>
      <c r="C128" s="48" t="s">
        <v>2396</v>
      </c>
      <c r="D128" s="48"/>
      <c r="E128" s="54" t="s">
        <v>896</v>
      </c>
      <c r="F128" s="136" t="s">
        <v>159</v>
      </c>
      <c r="G128" s="137">
        <v>794000</v>
      </c>
      <c r="H128" s="50" t="s">
        <v>2398</v>
      </c>
      <c r="I128" s="51" t="s">
        <v>377</v>
      </c>
      <c r="J128" s="51" t="s">
        <v>98</v>
      </c>
      <c r="K128" s="51"/>
    </row>
    <row r="129" spans="1:11" ht="25.5" customHeight="1">
      <c r="A129" s="40">
        <v>125</v>
      </c>
      <c r="B129" s="41" t="s">
        <v>2396</v>
      </c>
      <c r="C129" s="42" t="s">
        <v>2396</v>
      </c>
      <c r="D129" s="42"/>
      <c r="E129" s="42" t="s">
        <v>2399</v>
      </c>
      <c r="F129" s="134" t="s">
        <v>159</v>
      </c>
      <c r="G129" s="135">
        <v>600000</v>
      </c>
      <c r="H129" s="45" t="s">
        <v>2400</v>
      </c>
      <c r="I129" s="34" t="s">
        <v>99</v>
      </c>
      <c r="J129" s="34" t="s">
        <v>697</v>
      </c>
      <c r="K129" s="34"/>
    </row>
    <row r="130" spans="1:11" ht="25.5" customHeight="1">
      <c r="A130" s="40">
        <v>126</v>
      </c>
      <c r="B130" s="41" t="s">
        <v>2401</v>
      </c>
      <c r="C130" s="42" t="s">
        <v>2401</v>
      </c>
      <c r="D130" s="42"/>
      <c r="E130" s="42" t="s">
        <v>2402</v>
      </c>
      <c r="F130" s="138" t="s">
        <v>2301</v>
      </c>
      <c r="G130" s="134" t="s">
        <v>159</v>
      </c>
      <c r="H130" s="45" t="s">
        <v>2403</v>
      </c>
      <c r="I130" s="34" t="s">
        <v>352</v>
      </c>
      <c r="J130" s="34" t="s">
        <v>350</v>
      </c>
      <c r="K130" s="34" t="s">
        <v>794</v>
      </c>
    </row>
    <row r="131" spans="1:11" s="69" customFormat="1" ht="25.5" customHeight="1">
      <c r="A131" s="46">
        <v>127</v>
      </c>
      <c r="B131" s="47" t="s">
        <v>2401</v>
      </c>
      <c r="C131" s="48" t="s">
        <v>2401</v>
      </c>
      <c r="D131" s="48"/>
      <c r="E131" s="48" t="s">
        <v>2404</v>
      </c>
      <c r="F131" s="136" t="s">
        <v>159</v>
      </c>
      <c r="G131" s="137">
        <v>50000</v>
      </c>
      <c r="H131" s="50" t="s">
        <v>2405</v>
      </c>
      <c r="I131" s="51" t="s">
        <v>100</v>
      </c>
      <c r="J131" s="51" t="s">
        <v>101</v>
      </c>
      <c r="K131" s="51" t="s">
        <v>823</v>
      </c>
    </row>
    <row r="132" spans="1:11" s="69" customFormat="1" ht="25.5" customHeight="1">
      <c r="A132" s="46">
        <v>128</v>
      </c>
      <c r="B132" s="47" t="s">
        <v>2401</v>
      </c>
      <c r="C132" s="48" t="s">
        <v>2401</v>
      </c>
      <c r="D132" s="48"/>
      <c r="E132" s="48" t="s">
        <v>2406</v>
      </c>
      <c r="F132" s="136" t="s">
        <v>159</v>
      </c>
      <c r="G132" s="137">
        <v>50000</v>
      </c>
      <c r="H132" s="50" t="s">
        <v>2407</v>
      </c>
      <c r="I132" s="51" t="s">
        <v>102</v>
      </c>
      <c r="J132" s="51" t="s">
        <v>103</v>
      </c>
      <c r="K132" s="51" t="s">
        <v>823</v>
      </c>
    </row>
    <row r="133" spans="1:11" s="69" customFormat="1" ht="25.5" customHeight="1">
      <c r="A133" s="46">
        <v>129</v>
      </c>
      <c r="B133" s="47" t="s">
        <v>2401</v>
      </c>
      <c r="C133" s="48" t="s">
        <v>2401</v>
      </c>
      <c r="D133" s="48"/>
      <c r="E133" s="48" t="s">
        <v>2408</v>
      </c>
      <c r="F133" s="136" t="s">
        <v>159</v>
      </c>
      <c r="G133" s="137">
        <v>130000</v>
      </c>
      <c r="H133" s="50" t="s">
        <v>2409</v>
      </c>
      <c r="I133" s="51" t="s">
        <v>102</v>
      </c>
      <c r="J133" s="51" t="s">
        <v>90</v>
      </c>
      <c r="K133" s="51"/>
    </row>
    <row r="134" spans="1:11" s="69" customFormat="1" ht="25.5" customHeight="1">
      <c r="A134" s="46">
        <v>130</v>
      </c>
      <c r="B134" s="47" t="s">
        <v>2401</v>
      </c>
      <c r="C134" s="48" t="s">
        <v>2401</v>
      </c>
      <c r="D134" s="48"/>
      <c r="E134" s="48" t="s">
        <v>2410</v>
      </c>
      <c r="F134" s="136" t="s">
        <v>159</v>
      </c>
      <c r="G134" s="137">
        <v>120000</v>
      </c>
      <c r="H134" s="50" t="s">
        <v>2411</v>
      </c>
      <c r="I134" s="51" t="s">
        <v>102</v>
      </c>
      <c r="J134" s="51" t="s">
        <v>91</v>
      </c>
      <c r="K134" s="51"/>
    </row>
    <row r="135" spans="1:11" s="69" customFormat="1" ht="25.5" customHeight="1">
      <c r="A135" s="46">
        <v>131</v>
      </c>
      <c r="B135" s="47" t="s">
        <v>2401</v>
      </c>
      <c r="C135" s="48" t="s">
        <v>2401</v>
      </c>
      <c r="D135" s="48"/>
      <c r="E135" s="54" t="s">
        <v>304</v>
      </c>
      <c r="F135" s="136" t="s">
        <v>159</v>
      </c>
      <c r="G135" s="137">
        <v>50000</v>
      </c>
      <c r="H135" s="50" t="s">
        <v>2398</v>
      </c>
      <c r="I135" s="51" t="s">
        <v>104</v>
      </c>
      <c r="J135" s="51" t="s">
        <v>105</v>
      </c>
      <c r="K135" s="51" t="s">
        <v>794</v>
      </c>
    </row>
    <row r="136" spans="1:11" s="69" customFormat="1" ht="25.5" customHeight="1">
      <c r="A136" s="46">
        <v>132</v>
      </c>
      <c r="B136" s="47" t="s">
        <v>2401</v>
      </c>
      <c r="C136" s="48" t="s">
        <v>2401</v>
      </c>
      <c r="D136" s="48"/>
      <c r="E136" s="54" t="s">
        <v>305</v>
      </c>
      <c r="F136" s="137">
        <v>130000</v>
      </c>
      <c r="G136" s="136" t="s">
        <v>159</v>
      </c>
      <c r="H136" s="50" t="s">
        <v>2412</v>
      </c>
      <c r="I136" s="51" t="s">
        <v>102</v>
      </c>
      <c r="J136" s="51" t="s">
        <v>90</v>
      </c>
      <c r="K136" s="51"/>
    </row>
    <row r="137" spans="1:11" s="69" customFormat="1" ht="25.5" customHeight="1">
      <c r="A137" s="46">
        <v>133</v>
      </c>
      <c r="B137" s="47" t="s">
        <v>2401</v>
      </c>
      <c r="C137" s="48" t="s">
        <v>2401</v>
      </c>
      <c r="D137" s="48"/>
      <c r="E137" s="54" t="s">
        <v>306</v>
      </c>
      <c r="F137" s="137">
        <v>120000</v>
      </c>
      <c r="G137" s="136" t="s">
        <v>159</v>
      </c>
      <c r="H137" s="50" t="s">
        <v>2413</v>
      </c>
      <c r="I137" s="51" t="s">
        <v>102</v>
      </c>
      <c r="J137" s="51" t="s">
        <v>91</v>
      </c>
      <c r="K137" s="51"/>
    </row>
    <row r="138" spans="1:11" s="69" customFormat="1" ht="25.5" customHeight="1">
      <c r="A138" s="46">
        <v>134</v>
      </c>
      <c r="B138" s="47" t="s">
        <v>2414</v>
      </c>
      <c r="C138" s="48" t="s">
        <v>2414</v>
      </c>
      <c r="D138" s="48"/>
      <c r="E138" s="48" t="s">
        <v>2415</v>
      </c>
      <c r="F138" s="136" t="s">
        <v>159</v>
      </c>
      <c r="G138" s="137">
        <v>100000</v>
      </c>
      <c r="H138" s="50" t="s">
        <v>2416</v>
      </c>
      <c r="I138" s="51" t="s">
        <v>106</v>
      </c>
      <c r="J138" s="51" t="s">
        <v>101</v>
      </c>
      <c r="K138" s="51"/>
    </row>
    <row r="139" spans="1:11" s="69" customFormat="1" ht="25.5" customHeight="1">
      <c r="A139" s="46">
        <v>135</v>
      </c>
      <c r="B139" s="47" t="s">
        <v>2414</v>
      </c>
      <c r="C139" s="48" t="s">
        <v>2414</v>
      </c>
      <c r="D139" s="48"/>
      <c r="E139" s="48" t="s">
        <v>2417</v>
      </c>
      <c r="F139" s="136" t="s">
        <v>159</v>
      </c>
      <c r="G139" s="137">
        <v>150000</v>
      </c>
      <c r="H139" s="50" t="s">
        <v>2398</v>
      </c>
      <c r="I139" s="51" t="s">
        <v>100</v>
      </c>
      <c r="J139" s="51" t="s">
        <v>101</v>
      </c>
      <c r="K139" s="51" t="s">
        <v>823</v>
      </c>
    </row>
    <row r="140" spans="1:11" s="69" customFormat="1" ht="25.5" customHeight="1">
      <c r="A140" s="46">
        <v>136</v>
      </c>
      <c r="B140" s="47" t="s">
        <v>2418</v>
      </c>
      <c r="C140" s="48" t="s">
        <v>2419</v>
      </c>
      <c r="D140" s="48"/>
      <c r="E140" s="48" t="s">
        <v>2420</v>
      </c>
      <c r="F140" s="136" t="s">
        <v>159</v>
      </c>
      <c r="G140" s="137">
        <v>5000</v>
      </c>
      <c r="H140" s="50" t="s">
        <v>2421</v>
      </c>
      <c r="I140" s="51" t="s">
        <v>360</v>
      </c>
      <c r="J140" s="51" t="s">
        <v>107</v>
      </c>
      <c r="K140" s="51" t="s">
        <v>823</v>
      </c>
    </row>
    <row r="141" spans="1:11" s="69" customFormat="1" ht="25.5" customHeight="1">
      <c r="A141" s="46">
        <v>137</v>
      </c>
      <c r="B141" s="47" t="s">
        <v>2419</v>
      </c>
      <c r="C141" s="48" t="s">
        <v>2419</v>
      </c>
      <c r="D141" s="48"/>
      <c r="E141" s="48" t="s">
        <v>2422</v>
      </c>
      <c r="F141" s="136" t="s">
        <v>159</v>
      </c>
      <c r="G141" s="137">
        <v>50000</v>
      </c>
      <c r="H141" s="50" t="s">
        <v>2423</v>
      </c>
      <c r="I141" s="51" t="s">
        <v>74</v>
      </c>
      <c r="J141" s="51" t="s">
        <v>65</v>
      </c>
      <c r="K141" s="51" t="s">
        <v>794</v>
      </c>
    </row>
    <row r="142" spans="1:11" s="69" customFormat="1" ht="25.5" customHeight="1">
      <c r="A142" s="46">
        <v>138</v>
      </c>
      <c r="B142" s="47" t="s">
        <v>2419</v>
      </c>
      <c r="C142" s="48" t="s">
        <v>2419</v>
      </c>
      <c r="D142" s="48"/>
      <c r="E142" s="48" t="s">
        <v>2424</v>
      </c>
      <c r="F142" s="136" t="s">
        <v>159</v>
      </c>
      <c r="G142" s="137">
        <v>100000</v>
      </c>
      <c r="H142" s="50" t="s">
        <v>2425</v>
      </c>
      <c r="I142" s="51" t="s">
        <v>108</v>
      </c>
      <c r="J142" s="51" t="s">
        <v>65</v>
      </c>
      <c r="K142" s="51" t="s">
        <v>810</v>
      </c>
    </row>
    <row r="143" spans="1:11" s="69" customFormat="1" ht="25.5" customHeight="1">
      <c r="A143" s="46">
        <v>139</v>
      </c>
      <c r="B143" s="47" t="s">
        <v>2419</v>
      </c>
      <c r="C143" s="48" t="s">
        <v>2419</v>
      </c>
      <c r="D143" s="48"/>
      <c r="E143" s="54" t="s">
        <v>307</v>
      </c>
      <c r="F143" s="136" t="s">
        <v>159</v>
      </c>
      <c r="G143" s="137">
        <v>150000</v>
      </c>
      <c r="H143" s="50" t="s">
        <v>2426</v>
      </c>
      <c r="I143" s="51" t="s">
        <v>109</v>
      </c>
      <c r="J143" s="51" t="s">
        <v>94</v>
      </c>
      <c r="K143" s="51" t="s">
        <v>823</v>
      </c>
    </row>
    <row r="144" spans="1:11" s="69" customFormat="1" ht="25.5" customHeight="1">
      <c r="A144" s="46">
        <v>140</v>
      </c>
      <c r="B144" s="47" t="s">
        <v>2419</v>
      </c>
      <c r="C144" s="48" t="s">
        <v>2419</v>
      </c>
      <c r="D144" s="48"/>
      <c r="E144" s="48" t="s">
        <v>2427</v>
      </c>
      <c r="F144" s="136" t="s">
        <v>159</v>
      </c>
      <c r="G144" s="137">
        <v>300000</v>
      </c>
      <c r="H144" s="50" t="s">
        <v>2428</v>
      </c>
      <c r="I144" s="51" t="s">
        <v>69</v>
      </c>
      <c r="J144" s="51" t="s">
        <v>70</v>
      </c>
      <c r="K144" s="51"/>
    </row>
    <row r="145" spans="1:11" s="69" customFormat="1" ht="25.5" customHeight="1">
      <c r="A145" s="46">
        <v>141</v>
      </c>
      <c r="B145" s="47" t="s">
        <v>2429</v>
      </c>
      <c r="C145" s="48" t="s">
        <v>2429</v>
      </c>
      <c r="D145" s="48"/>
      <c r="E145" s="48" t="s">
        <v>2430</v>
      </c>
      <c r="F145" s="136" t="s">
        <v>159</v>
      </c>
      <c r="G145" s="137">
        <v>130000</v>
      </c>
      <c r="H145" s="50" t="s">
        <v>2431</v>
      </c>
      <c r="I145" s="51" t="s">
        <v>102</v>
      </c>
      <c r="J145" s="51" t="s">
        <v>90</v>
      </c>
      <c r="K145" s="51"/>
    </row>
    <row r="146" spans="1:11" s="69" customFormat="1" ht="25.5" customHeight="1">
      <c r="A146" s="46">
        <v>142</v>
      </c>
      <c r="B146" s="47" t="s">
        <v>2429</v>
      </c>
      <c r="C146" s="48" t="s">
        <v>2429</v>
      </c>
      <c r="D146" s="48"/>
      <c r="E146" s="48" t="s">
        <v>2432</v>
      </c>
      <c r="F146" s="136" t="s">
        <v>159</v>
      </c>
      <c r="G146" s="137">
        <v>120000</v>
      </c>
      <c r="H146" s="50" t="s">
        <v>2433</v>
      </c>
      <c r="I146" s="51" t="s">
        <v>102</v>
      </c>
      <c r="J146" s="51" t="s">
        <v>91</v>
      </c>
      <c r="K146" s="51"/>
    </row>
    <row r="147" spans="1:11" s="69" customFormat="1" ht="25.5" customHeight="1">
      <c r="A147" s="46">
        <v>143</v>
      </c>
      <c r="B147" s="47" t="s">
        <v>2434</v>
      </c>
      <c r="C147" s="48" t="s">
        <v>2434</v>
      </c>
      <c r="D147" s="48"/>
      <c r="E147" s="48" t="s">
        <v>2435</v>
      </c>
      <c r="F147" s="136" t="s">
        <v>159</v>
      </c>
      <c r="G147" s="137">
        <v>100000</v>
      </c>
      <c r="H147" s="50" t="s">
        <v>2436</v>
      </c>
      <c r="I147" s="51" t="s">
        <v>110</v>
      </c>
      <c r="J147" s="51" t="s">
        <v>54</v>
      </c>
      <c r="K147" s="51"/>
    </row>
    <row r="148" spans="1:11" ht="25.5" customHeight="1">
      <c r="A148" s="40">
        <v>144</v>
      </c>
      <c r="B148" s="41" t="s">
        <v>2434</v>
      </c>
      <c r="C148" s="42" t="s">
        <v>2434</v>
      </c>
      <c r="D148" s="42"/>
      <c r="E148" s="42" t="s">
        <v>2437</v>
      </c>
      <c r="F148" s="134" t="s">
        <v>159</v>
      </c>
      <c r="G148" s="135">
        <v>34000</v>
      </c>
      <c r="H148" s="45" t="s">
        <v>2438</v>
      </c>
      <c r="I148" s="34" t="s">
        <v>111</v>
      </c>
      <c r="J148" s="34" t="s">
        <v>697</v>
      </c>
      <c r="K148" s="34"/>
    </row>
    <row r="149" spans="1:11" s="69" customFormat="1" ht="25.5" customHeight="1">
      <c r="A149" s="46">
        <v>145</v>
      </c>
      <c r="B149" s="47" t="s">
        <v>2439</v>
      </c>
      <c r="C149" s="48" t="s">
        <v>2439</v>
      </c>
      <c r="D149" s="48"/>
      <c r="E149" s="48" t="s">
        <v>2440</v>
      </c>
      <c r="F149" s="136" t="s">
        <v>159</v>
      </c>
      <c r="G149" s="137">
        <v>1</v>
      </c>
      <c r="H149" s="50" t="s">
        <v>2441</v>
      </c>
      <c r="I149" s="51" t="s">
        <v>378</v>
      </c>
      <c r="J149" s="51" t="s">
        <v>112</v>
      </c>
      <c r="K149" s="51" t="s">
        <v>823</v>
      </c>
    </row>
    <row r="150" spans="1:11" s="69" customFormat="1" ht="25.5" customHeight="1">
      <c r="A150" s="46">
        <v>146</v>
      </c>
      <c r="B150" s="47" t="s">
        <v>2439</v>
      </c>
      <c r="C150" s="48" t="s">
        <v>2439</v>
      </c>
      <c r="D150" s="48"/>
      <c r="E150" s="48" t="s">
        <v>2442</v>
      </c>
      <c r="F150" s="136" t="s">
        <v>159</v>
      </c>
      <c r="G150" s="137">
        <v>95000</v>
      </c>
      <c r="H150" s="50" t="s">
        <v>2443</v>
      </c>
      <c r="I150" s="51" t="s">
        <v>378</v>
      </c>
      <c r="J150" s="51" t="s">
        <v>112</v>
      </c>
      <c r="K150" s="51" t="s">
        <v>794</v>
      </c>
    </row>
    <row r="151" spans="1:11" s="69" customFormat="1" ht="25.5" customHeight="1">
      <c r="A151" s="46">
        <v>147</v>
      </c>
      <c r="B151" s="47" t="s">
        <v>2439</v>
      </c>
      <c r="C151" s="48" t="s">
        <v>2439</v>
      </c>
      <c r="D151" s="48"/>
      <c r="E151" s="48" t="s">
        <v>2444</v>
      </c>
      <c r="F151" s="136" t="s">
        <v>159</v>
      </c>
      <c r="G151" s="137">
        <v>20000</v>
      </c>
      <c r="H151" s="50" t="s">
        <v>2445</v>
      </c>
      <c r="I151" s="51" t="s">
        <v>129</v>
      </c>
      <c r="J151" s="51" t="s">
        <v>113</v>
      </c>
      <c r="K151" s="51" t="s">
        <v>843</v>
      </c>
    </row>
    <row r="152" spans="1:11" s="69" customFormat="1" ht="25.5" customHeight="1">
      <c r="A152" s="46">
        <v>148</v>
      </c>
      <c r="B152" s="47" t="s">
        <v>2439</v>
      </c>
      <c r="C152" s="48" t="s">
        <v>2439</v>
      </c>
      <c r="D152" s="48"/>
      <c r="E152" s="48" t="s">
        <v>2446</v>
      </c>
      <c r="F152" s="136" t="s">
        <v>159</v>
      </c>
      <c r="G152" s="137">
        <v>129500</v>
      </c>
      <c r="H152" s="50" t="s">
        <v>2447</v>
      </c>
      <c r="I152" s="51" t="s">
        <v>100</v>
      </c>
      <c r="J152" s="51" t="s">
        <v>114</v>
      </c>
      <c r="K152" s="51"/>
    </row>
    <row r="153" spans="1:11" s="69" customFormat="1" ht="25.5" customHeight="1">
      <c r="A153" s="46">
        <v>149</v>
      </c>
      <c r="B153" s="47" t="s">
        <v>2439</v>
      </c>
      <c r="C153" s="48" t="s">
        <v>2439</v>
      </c>
      <c r="D153" s="48"/>
      <c r="E153" s="48" t="s">
        <v>2448</v>
      </c>
      <c r="F153" s="136" t="s">
        <v>159</v>
      </c>
      <c r="G153" s="137">
        <v>229500</v>
      </c>
      <c r="H153" s="50" t="s">
        <v>2449</v>
      </c>
      <c r="I153" s="51" t="s">
        <v>106</v>
      </c>
      <c r="J153" s="51" t="s">
        <v>114</v>
      </c>
      <c r="K153" s="51"/>
    </row>
    <row r="154" spans="1:11" s="69" customFormat="1" ht="25.5" customHeight="1">
      <c r="A154" s="46">
        <v>150</v>
      </c>
      <c r="B154" s="47" t="s">
        <v>2439</v>
      </c>
      <c r="C154" s="48" t="s">
        <v>2439</v>
      </c>
      <c r="D154" s="48"/>
      <c r="E154" s="48" t="s">
        <v>2450</v>
      </c>
      <c r="F154" s="136" t="s">
        <v>159</v>
      </c>
      <c r="G154" s="137">
        <v>10000</v>
      </c>
      <c r="H154" s="50" t="s">
        <v>2451</v>
      </c>
      <c r="I154" s="51" t="s">
        <v>370</v>
      </c>
      <c r="J154" s="51" t="s">
        <v>114</v>
      </c>
      <c r="K154" s="51"/>
    </row>
    <row r="155" spans="1:11" ht="25.5" customHeight="1">
      <c r="A155" s="40">
        <v>151</v>
      </c>
      <c r="B155" s="41" t="s">
        <v>2452</v>
      </c>
      <c r="C155" s="42" t="s">
        <v>2452</v>
      </c>
      <c r="D155" s="42"/>
      <c r="E155" s="42" t="s">
        <v>2453</v>
      </c>
      <c r="F155" s="134" t="s">
        <v>159</v>
      </c>
      <c r="G155" s="135">
        <v>1</v>
      </c>
      <c r="H155" s="45" t="s">
        <v>2454</v>
      </c>
      <c r="I155" s="34" t="s">
        <v>371</v>
      </c>
      <c r="J155" s="34" t="s">
        <v>697</v>
      </c>
      <c r="K155" s="34"/>
    </row>
    <row r="156" spans="1:11" s="69" customFormat="1" ht="25.5" customHeight="1">
      <c r="A156" s="46">
        <v>152</v>
      </c>
      <c r="B156" s="47" t="s">
        <v>2452</v>
      </c>
      <c r="C156" s="48" t="s">
        <v>2452</v>
      </c>
      <c r="D156" s="48"/>
      <c r="E156" s="48" t="s">
        <v>2455</v>
      </c>
      <c r="F156" s="136" t="s">
        <v>159</v>
      </c>
      <c r="G156" s="137">
        <v>95000</v>
      </c>
      <c r="H156" s="50" t="s">
        <v>2456</v>
      </c>
      <c r="I156" s="51" t="s">
        <v>378</v>
      </c>
      <c r="J156" s="51" t="s">
        <v>112</v>
      </c>
      <c r="K156" s="51"/>
    </row>
    <row r="157" spans="1:11" s="69" customFormat="1" ht="25.5" customHeight="1">
      <c r="A157" s="46">
        <v>153</v>
      </c>
      <c r="B157" s="47" t="s">
        <v>2452</v>
      </c>
      <c r="C157" s="48" t="s">
        <v>2452</v>
      </c>
      <c r="D157" s="48"/>
      <c r="E157" s="48" t="s">
        <v>2457</v>
      </c>
      <c r="F157" s="136" t="s">
        <v>159</v>
      </c>
      <c r="G157" s="137">
        <v>5000</v>
      </c>
      <c r="H157" s="50" t="s">
        <v>2458</v>
      </c>
      <c r="I157" s="51" t="s">
        <v>320</v>
      </c>
      <c r="J157" s="51" t="s">
        <v>115</v>
      </c>
      <c r="K157" s="51" t="s">
        <v>810</v>
      </c>
    </row>
    <row r="158" spans="1:11" s="69" customFormat="1" ht="25.5" customHeight="1">
      <c r="A158" s="46">
        <v>154</v>
      </c>
      <c r="B158" s="47" t="s">
        <v>2452</v>
      </c>
      <c r="C158" s="48" t="s">
        <v>2452</v>
      </c>
      <c r="D158" s="48"/>
      <c r="E158" s="48" t="s">
        <v>2459</v>
      </c>
      <c r="F158" s="136" t="s">
        <v>159</v>
      </c>
      <c r="G158" s="137">
        <v>10000</v>
      </c>
      <c r="H158" s="50" t="s">
        <v>2460</v>
      </c>
      <c r="I158" s="51" t="s">
        <v>116</v>
      </c>
      <c r="J158" s="51" t="s">
        <v>117</v>
      </c>
      <c r="K158" s="51" t="s">
        <v>823</v>
      </c>
    </row>
    <row r="159" spans="1:11" s="69" customFormat="1" ht="25.5" customHeight="1">
      <c r="A159" s="46">
        <v>155</v>
      </c>
      <c r="B159" s="47" t="s">
        <v>2452</v>
      </c>
      <c r="C159" s="48" t="s">
        <v>2452</v>
      </c>
      <c r="D159" s="48"/>
      <c r="E159" s="48" t="s">
        <v>2461</v>
      </c>
      <c r="F159" s="136" t="s">
        <v>159</v>
      </c>
      <c r="G159" s="137">
        <v>25000</v>
      </c>
      <c r="H159" s="50" t="s">
        <v>2462</v>
      </c>
      <c r="I159" s="51" t="s">
        <v>118</v>
      </c>
      <c r="J159" s="51" t="s">
        <v>117</v>
      </c>
      <c r="K159" s="51" t="s">
        <v>794</v>
      </c>
    </row>
    <row r="160" spans="1:11" ht="25.5" customHeight="1">
      <c r="A160" s="40">
        <v>156</v>
      </c>
      <c r="B160" s="41" t="s">
        <v>2452</v>
      </c>
      <c r="C160" s="42" t="s">
        <v>2452</v>
      </c>
      <c r="D160" s="42"/>
      <c r="E160" s="42" t="s">
        <v>2463</v>
      </c>
      <c r="F160" s="134" t="s">
        <v>159</v>
      </c>
      <c r="G160" s="135">
        <v>50000</v>
      </c>
      <c r="H160" s="45" t="s">
        <v>2464</v>
      </c>
      <c r="I160" s="34" t="s">
        <v>371</v>
      </c>
      <c r="J160" s="34" t="s">
        <v>697</v>
      </c>
      <c r="K160" s="34"/>
    </row>
    <row r="161" spans="1:11" s="69" customFormat="1" ht="25.5" customHeight="1">
      <c r="A161" s="46">
        <v>157</v>
      </c>
      <c r="B161" s="47" t="s">
        <v>2452</v>
      </c>
      <c r="C161" s="48" t="s">
        <v>2452</v>
      </c>
      <c r="D161" s="48"/>
      <c r="E161" s="48" t="s">
        <v>2465</v>
      </c>
      <c r="F161" s="136" t="s">
        <v>159</v>
      </c>
      <c r="G161" s="137">
        <v>165000</v>
      </c>
      <c r="H161" s="50" t="s">
        <v>2466</v>
      </c>
      <c r="I161" s="51" t="s">
        <v>116</v>
      </c>
      <c r="J161" s="51" t="s">
        <v>117</v>
      </c>
      <c r="K161" s="51" t="s">
        <v>823</v>
      </c>
    </row>
    <row r="162" spans="1:11" s="69" customFormat="1" ht="25.5" customHeight="1">
      <c r="A162" s="46">
        <v>158</v>
      </c>
      <c r="B162" s="47" t="s">
        <v>2452</v>
      </c>
      <c r="C162" s="48" t="s">
        <v>2452</v>
      </c>
      <c r="D162" s="48"/>
      <c r="E162" s="48" t="s">
        <v>2467</v>
      </c>
      <c r="F162" s="137">
        <v>10000</v>
      </c>
      <c r="G162" s="136" t="s">
        <v>159</v>
      </c>
      <c r="H162" s="50" t="s">
        <v>2468</v>
      </c>
      <c r="I162" s="51" t="s">
        <v>119</v>
      </c>
      <c r="J162" s="51" t="s">
        <v>84</v>
      </c>
      <c r="K162" s="51" t="s">
        <v>794</v>
      </c>
    </row>
    <row r="163" spans="1:11" s="69" customFormat="1" ht="25.5" customHeight="1">
      <c r="A163" s="46">
        <v>159</v>
      </c>
      <c r="B163" s="47" t="s">
        <v>2452</v>
      </c>
      <c r="C163" s="48" t="s">
        <v>2452</v>
      </c>
      <c r="D163" s="48"/>
      <c r="E163" s="48" t="s">
        <v>2469</v>
      </c>
      <c r="F163" s="136" t="s">
        <v>159</v>
      </c>
      <c r="G163" s="137">
        <v>100000</v>
      </c>
      <c r="H163" s="50" t="s">
        <v>2470</v>
      </c>
      <c r="I163" s="51" t="s">
        <v>372</v>
      </c>
      <c r="J163" s="51" t="s">
        <v>117</v>
      </c>
      <c r="K163" s="51" t="s">
        <v>823</v>
      </c>
    </row>
    <row r="164" spans="1:11" s="69" customFormat="1" ht="25.5" customHeight="1">
      <c r="A164" s="46">
        <v>160</v>
      </c>
      <c r="B164" s="47" t="s">
        <v>2452</v>
      </c>
      <c r="C164" s="48" t="s">
        <v>2452</v>
      </c>
      <c r="D164" s="48"/>
      <c r="E164" s="48" t="s">
        <v>2471</v>
      </c>
      <c r="F164" s="137">
        <v>10000</v>
      </c>
      <c r="G164" s="136" t="s">
        <v>159</v>
      </c>
      <c r="H164" s="50" t="s">
        <v>2472</v>
      </c>
      <c r="I164" s="51" t="s">
        <v>120</v>
      </c>
      <c r="J164" s="51" t="s">
        <v>114</v>
      </c>
      <c r="K164" s="51" t="s">
        <v>794</v>
      </c>
    </row>
    <row r="165" spans="1:11" s="69" customFormat="1" ht="25.5" customHeight="1">
      <c r="A165" s="46">
        <v>161</v>
      </c>
      <c r="B165" s="47" t="s">
        <v>2473</v>
      </c>
      <c r="C165" s="48" t="s">
        <v>2473</v>
      </c>
      <c r="D165" s="48"/>
      <c r="E165" s="48" t="s">
        <v>2474</v>
      </c>
      <c r="F165" s="136" t="s">
        <v>159</v>
      </c>
      <c r="G165" s="137">
        <v>100000</v>
      </c>
      <c r="H165" s="50" t="s">
        <v>2475</v>
      </c>
      <c r="I165" s="51" t="s">
        <v>118</v>
      </c>
      <c r="J165" s="51" t="s">
        <v>117</v>
      </c>
      <c r="K165" s="51" t="s">
        <v>794</v>
      </c>
    </row>
    <row r="166" spans="1:11" s="69" customFormat="1" ht="25.5" customHeight="1">
      <c r="A166" s="46">
        <v>162</v>
      </c>
      <c r="B166" s="47" t="s">
        <v>2473</v>
      </c>
      <c r="C166" s="48" t="s">
        <v>2473</v>
      </c>
      <c r="D166" s="48"/>
      <c r="E166" s="48" t="s">
        <v>2476</v>
      </c>
      <c r="F166" s="136" t="s">
        <v>159</v>
      </c>
      <c r="G166" s="137">
        <v>100000</v>
      </c>
      <c r="H166" s="50" t="s">
        <v>2477</v>
      </c>
      <c r="I166" s="51" t="s">
        <v>372</v>
      </c>
      <c r="J166" s="51" t="s">
        <v>117</v>
      </c>
      <c r="K166" s="51" t="s">
        <v>794</v>
      </c>
    </row>
    <row r="167" spans="1:11" s="69" customFormat="1" ht="25.5" customHeight="1">
      <c r="A167" s="46">
        <v>163</v>
      </c>
      <c r="B167" s="47" t="s">
        <v>2473</v>
      </c>
      <c r="C167" s="48" t="s">
        <v>2473</v>
      </c>
      <c r="D167" s="48"/>
      <c r="E167" s="48" t="s">
        <v>2478</v>
      </c>
      <c r="F167" s="136" t="s">
        <v>159</v>
      </c>
      <c r="G167" s="137">
        <v>1</v>
      </c>
      <c r="H167" s="50" t="s">
        <v>2479</v>
      </c>
      <c r="I167" s="51" t="s">
        <v>121</v>
      </c>
      <c r="J167" s="51" t="s">
        <v>150</v>
      </c>
      <c r="K167" s="51"/>
    </row>
    <row r="168" spans="1:11" s="69" customFormat="1" ht="25.5" customHeight="1">
      <c r="A168" s="46">
        <v>164</v>
      </c>
      <c r="B168" s="47" t="s">
        <v>2473</v>
      </c>
      <c r="C168" s="48" t="s">
        <v>2473</v>
      </c>
      <c r="D168" s="48"/>
      <c r="E168" s="48" t="s">
        <v>2480</v>
      </c>
      <c r="F168" s="136" t="s">
        <v>159</v>
      </c>
      <c r="G168" s="137">
        <v>99999</v>
      </c>
      <c r="H168" s="50" t="s">
        <v>2481</v>
      </c>
      <c r="I168" s="51" t="s">
        <v>121</v>
      </c>
      <c r="J168" s="51" t="s">
        <v>150</v>
      </c>
      <c r="K168" s="51"/>
    </row>
    <row r="169" spans="1:11" ht="25.5" customHeight="1">
      <c r="A169" s="40">
        <v>165</v>
      </c>
      <c r="B169" s="41" t="s">
        <v>2473</v>
      </c>
      <c r="C169" s="42" t="s">
        <v>2473</v>
      </c>
      <c r="D169" s="42"/>
      <c r="E169" s="42" t="s">
        <v>2482</v>
      </c>
      <c r="F169" s="134" t="s">
        <v>159</v>
      </c>
      <c r="G169" s="135">
        <v>50000</v>
      </c>
      <c r="H169" s="45" t="s">
        <v>2483</v>
      </c>
      <c r="I169" s="34" t="s">
        <v>371</v>
      </c>
      <c r="J169" s="34" t="s">
        <v>697</v>
      </c>
      <c r="K169" s="34"/>
    </row>
    <row r="170" spans="1:11" s="69" customFormat="1" ht="25.5" customHeight="1">
      <c r="A170" s="46">
        <v>166</v>
      </c>
      <c r="B170" s="47" t="s">
        <v>2473</v>
      </c>
      <c r="C170" s="48" t="s">
        <v>2473</v>
      </c>
      <c r="D170" s="48"/>
      <c r="E170" s="48" t="s">
        <v>2484</v>
      </c>
      <c r="F170" s="136" t="s">
        <v>159</v>
      </c>
      <c r="G170" s="137">
        <v>10000</v>
      </c>
      <c r="H170" s="50" t="s">
        <v>2485</v>
      </c>
      <c r="I170" s="51" t="s">
        <v>378</v>
      </c>
      <c r="J170" s="51" t="s">
        <v>112</v>
      </c>
      <c r="K170" s="51"/>
    </row>
    <row r="171" spans="1:11" ht="25.5" customHeight="1">
      <c r="A171" s="40">
        <v>167</v>
      </c>
      <c r="B171" s="41" t="s">
        <v>2473</v>
      </c>
      <c r="C171" s="42" t="s">
        <v>2473</v>
      </c>
      <c r="D171" s="42"/>
      <c r="E171" s="42" t="s">
        <v>2486</v>
      </c>
      <c r="F171" s="134" t="s">
        <v>159</v>
      </c>
      <c r="G171" s="135">
        <v>40000</v>
      </c>
      <c r="H171" s="45" t="s">
        <v>2487</v>
      </c>
      <c r="I171" s="34" t="s">
        <v>371</v>
      </c>
      <c r="J171" s="34" t="s">
        <v>697</v>
      </c>
      <c r="K171" s="34"/>
    </row>
    <row r="172" spans="1:11" s="69" customFormat="1" ht="25.5" customHeight="1">
      <c r="A172" s="46">
        <v>168</v>
      </c>
      <c r="B172" s="47" t="s">
        <v>2488</v>
      </c>
      <c r="C172" s="48" t="s">
        <v>2488</v>
      </c>
      <c r="D172" s="48"/>
      <c r="E172" s="48" t="s">
        <v>2489</v>
      </c>
      <c r="F172" s="136" t="s">
        <v>159</v>
      </c>
      <c r="G172" s="137">
        <v>10000</v>
      </c>
      <c r="H172" s="50" t="s">
        <v>2490</v>
      </c>
      <c r="I172" s="51" t="s">
        <v>63</v>
      </c>
      <c r="J172" s="51" t="s">
        <v>123</v>
      </c>
      <c r="K172" s="51" t="s">
        <v>794</v>
      </c>
    </row>
    <row r="173" spans="1:11" s="69" customFormat="1" ht="25.5" customHeight="1">
      <c r="A173" s="46">
        <v>169</v>
      </c>
      <c r="B173" s="47" t="s">
        <v>2488</v>
      </c>
      <c r="C173" s="48" t="s">
        <v>2488</v>
      </c>
      <c r="D173" s="48"/>
      <c r="E173" s="48" t="s">
        <v>2491</v>
      </c>
      <c r="F173" s="136" t="s">
        <v>159</v>
      </c>
      <c r="G173" s="137">
        <v>100000</v>
      </c>
      <c r="H173" s="50" t="s">
        <v>2492</v>
      </c>
      <c r="I173" s="51" t="s">
        <v>124</v>
      </c>
      <c r="J173" s="51" t="s">
        <v>96</v>
      </c>
      <c r="K173" s="51" t="s">
        <v>794</v>
      </c>
    </row>
    <row r="174" spans="1:11" s="69" customFormat="1" ht="25.5" customHeight="1">
      <c r="A174" s="46">
        <v>170</v>
      </c>
      <c r="B174" s="47" t="s">
        <v>2488</v>
      </c>
      <c r="C174" s="48" t="s">
        <v>2488</v>
      </c>
      <c r="D174" s="48"/>
      <c r="E174" s="48" t="s">
        <v>2493</v>
      </c>
      <c r="F174" s="136" t="s">
        <v>159</v>
      </c>
      <c r="G174" s="137">
        <v>1</v>
      </c>
      <c r="H174" s="50" t="s">
        <v>2494</v>
      </c>
      <c r="I174" s="51" t="s">
        <v>128</v>
      </c>
      <c r="J174" s="51" t="s">
        <v>115</v>
      </c>
      <c r="K174" s="51" t="s">
        <v>823</v>
      </c>
    </row>
    <row r="175" spans="1:11" s="69" customFormat="1" ht="25.5" customHeight="1">
      <c r="A175" s="46">
        <v>171</v>
      </c>
      <c r="B175" s="47" t="s">
        <v>2488</v>
      </c>
      <c r="C175" s="48" t="s">
        <v>2488</v>
      </c>
      <c r="D175" s="48"/>
      <c r="E175" s="48" t="s">
        <v>2495</v>
      </c>
      <c r="F175" s="136" t="s">
        <v>159</v>
      </c>
      <c r="G175" s="137">
        <v>39999</v>
      </c>
      <c r="H175" s="50" t="s">
        <v>2496</v>
      </c>
      <c r="I175" s="51" t="s">
        <v>128</v>
      </c>
      <c r="J175" s="51" t="s">
        <v>115</v>
      </c>
      <c r="K175" s="51" t="s">
        <v>830</v>
      </c>
    </row>
    <row r="176" spans="1:11" s="69" customFormat="1" ht="25.5" customHeight="1">
      <c r="A176" s="46">
        <v>172</v>
      </c>
      <c r="B176" s="47" t="s">
        <v>2488</v>
      </c>
      <c r="C176" s="48" t="s">
        <v>2488</v>
      </c>
      <c r="D176" s="48"/>
      <c r="E176" s="48" t="s">
        <v>2497</v>
      </c>
      <c r="F176" s="136" t="s">
        <v>159</v>
      </c>
      <c r="G176" s="137">
        <v>1000</v>
      </c>
      <c r="H176" s="50" t="s">
        <v>2498</v>
      </c>
      <c r="I176" s="51" t="s">
        <v>125</v>
      </c>
      <c r="J176" s="51" t="s">
        <v>126</v>
      </c>
      <c r="K176" s="51"/>
    </row>
    <row r="177" spans="1:11" s="69" customFormat="1" ht="25.5" customHeight="1">
      <c r="A177" s="46">
        <v>173</v>
      </c>
      <c r="B177" s="47" t="s">
        <v>2499</v>
      </c>
      <c r="C177" s="48" t="s">
        <v>2499</v>
      </c>
      <c r="D177" s="48"/>
      <c r="E177" s="48" t="s">
        <v>2500</v>
      </c>
      <c r="F177" s="136" t="s">
        <v>159</v>
      </c>
      <c r="G177" s="137">
        <v>47500</v>
      </c>
      <c r="H177" s="50" t="s">
        <v>2501</v>
      </c>
      <c r="I177" s="51" t="s">
        <v>127</v>
      </c>
      <c r="J177" s="51" t="s">
        <v>28</v>
      </c>
      <c r="K177" s="51"/>
    </row>
    <row r="178" spans="1:11" s="69" customFormat="1" ht="25.5" customHeight="1">
      <c r="A178" s="46">
        <v>174</v>
      </c>
      <c r="B178" s="47" t="s">
        <v>2499</v>
      </c>
      <c r="C178" s="48" t="s">
        <v>2499</v>
      </c>
      <c r="D178" s="48"/>
      <c r="E178" s="48" t="s">
        <v>2502</v>
      </c>
      <c r="F178" s="136" t="s">
        <v>159</v>
      </c>
      <c r="G178" s="137">
        <v>40000</v>
      </c>
      <c r="H178" s="50" t="s">
        <v>2503</v>
      </c>
      <c r="I178" s="51" t="s">
        <v>128</v>
      </c>
      <c r="J178" s="51" t="s">
        <v>115</v>
      </c>
      <c r="K178" s="51" t="s">
        <v>830</v>
      </c>
    </row>
    <row r="179" spans="1:11" ht="25.5" customHeight="1">
      <c r="A179" s="40">
        <v>175</v>
      </c>
      <c r="B179" s="41" t="s">
        <v>2499</v>
      </c>
      <c r="C179" s="42" t="s">
        <v>2499</v>
      </c>
      <c r="D179" s="42"/>
      <c r="E179" s="42" t="s">
        <v>2504</v>
      </c>
      <c r="F179" s="134" t="s">
        <v>159</v>
      </c>
      <c r="G179" s="135">
        <v>50000</v>
      </c>
      <c r="H179" s="45" t="s">
        <v>2505</v>
      </c>
      <c r="I179" s="34" t="s">
        <v>371</v>
      </c>
      <c r="J179" s="34" t="s">
        <v>697</v>
      </c>
      <c r="K179" s="34"/>
    </row>
    <row r="180" spans="1:11" s="69" customFormat="1" ht="25.5" customHeight="1">
      <c r="A180" s="46">
        <v>176</v>
      </c>
      <c r="B180" s="47" t="s">
        <v>2499</v>
      </c>
      <c r="C180" s="48" t="s">
        <v>2499</v>
      </c>
      <c r="D180" s="48"/>
      <c r="E180" s="48" t="s">
        <v>2506</v>
      </c>
      <c r="F180" s="136" t="s">
        <v>159</v>
      </c>
      <c r="G180" s="137">
        <v>150000</v>
      </c>
      <c r="H180" s="50" t="s">
        <v>2507</v>
      </c>
      <c r="I180" s="51" t="s">
        <v>129</v>
      </c>
      <c r="J180" s="51" t="s">
        <v>113</v>
      </c>
      <c r="K180" s="51" t="s">
        <v>844</v>
      </c>
    </row>
    <row r="181" spans="1:11" s="69" customFormat="1" ht="25.5" customHeight="1">
      <c r="A181" s="46">
        <v>177</v>
      </c>
      <c r="B181" s="47" t="s">
        <v>2499</v>
      </c>
      <c r="C181" s="48" t="s">
        <v>2499</v>
      </c>
      <c r="D181" s="48"/>
      <c r="E181" s="48" t="s">
        <v>2508</v>
      </c>
      <c r="F181" s="136" t="s">
        <v>159</v>
      </c>
      <c r="G181" s="137">
        <v>150000</v>
      </c>
      <c r="H181" s="50" t="s">
        <v>2509</v>
      </c>
      <c r="I181" s="51" t="s">
        <v>63</v>
      </c>
      <c r="J181" s="51" t="s">
        <v>54</v>
      </c>
      <c r="K181" s="51"/>
    </row>
    <row r="182" spans="1:11" s="69" customFormat="1" ht="25.5" customHeight="1">
      <c r="A182" s="46">
        <v>178</v>
      </c>
      <c r="B182" s="47" t="s">
        <v>2499</v>
      </c>
      <c r="C182" s="48" t="s">
        <v>2499</v>
      </c>
      <c r="D182" s="48"/>
      <c r="E182" s="48" t="s">
        <v>2510</v>
      </c>
      <c r="F182" s="136" t="s">
        <v>159</v>
      </c>
      <c r="G182" s="137">
        <v>99000</v>
      </c>
      <c r="H182" s="50" t="s">
        <v>2511</v>
      </c>
      <c r="I182" s="51" t="s">
        <v>125</v>
      </c>
      <c r="J182" s="51" t="s">
        <v>126</v>
      </c>
      <c r="K182" s="51"/>
    </row>
    <row r="183" spans="1:11" s="69" customFormat="1" ht="25.5" customHeight="1">
      <c r="A183" s="46">
        <v>179</v>
      </c>
      <c r="B183" s="47" t="s">
        <v>2499</v>
      </c>
      <c r="C183" s="48" t="s">
        <v>2499</v>
      </c>
      <c r="D183" s="48"/>
      <c r="E183" s="54" t="s">
        <v>308</v>
      </c>
      <c r="F183" s="136" t="s">
        <v>159</v>
      </c>
      <c r="G183" s="137">
        <v>20000</v>
      </c>
      <c r="H183" s="50" t="s">
        <v>2512</v>
      </c>
      <c r="I183" s="51" t="s">
        <v>93</v>
      </c>
      <c r="J183" s="51" t="s">
        <v>115</v>
      </c>
      <c r="K183" s="51"/>
    </row>
    <row r="184" spans="1:11" s="69" customFormat="1" ht="25.5" customHeight="1">
      <c r="A184" s="46">
        <v>180</v>
      </c>
      <c r="B184" s="47" t="s">
        <v>2499</v>
      </c>
      <c r="C184" s="48" t="s">
        <v>2499</v>
      </c>
      <c r="D184" s="48"/>
      <c r="E184" s="48" t="s">
        <v>2513</v>
      </c>
      <c r="F184" s="136" t="s">
        <v>159</v>
      </c>
      <c r="G184" s="137">
        <v>200000</v>
      </c>
      <c r="H184" s="50" t="s">
        <v>2514</v>
      </c>
      <c r="I184" s="51" t="s">
        <v>125</v>
      </c>
      <c r="J184" s="51" t="s">
        <v>126</v>
      </c>
      <c r="K184" s="51"/>
    </row>
    <row r="185" spans="1:11" s="69" customFormat="1" ht="25.5" customHeight="1">
      <c r="A185" s="46">
        <v>181</v>
      </c>
      <c r="B185" s="47" t="s">
        <v>2499</v>
      </c>
      <c r="C185" s="48" t="s">
        <v>2499</v>
      </c>
      <c r="D185" s="48"/>
      <c r="E185" s="48" t="s">
        <v>2515</v>
      </c>
      <c r="F185" s="136" t="s">
        <v>159</v>
      </c>
      <c r="G185" s="137">
        <v>334976.40000000002</v>
      </c>
      <c r="H185" s="50" t="s">
        <v>2516</v>
      </c>
      <c r="I185" s="51" t="s">
        <v>130</v>
      </c>
      <c r="J185" s="51" t="s">
        <v>107</v>
      </c>
      <c r="K185" s="51"/>
    </row>
    <row r="186" spans="1:11" s="69" customFormat="1" ht="25.5" customHeight="1">
      <c r="A186" s="46">
        <v>182</v>
      </c>
      <c r="B186" s="47" t="s">
        <v>2517</v>
      </c>
      <c r="C186" s="48" t="s">
        <v>2517</v>
      </c>
      <c r="D186" s="48"/>
      <c r="E186" s="48" t="s">
        <v>2518</v>
      </c>
      <c r="F186" s="136" t="s">
        <v>159</v>
      </c>
      <c r="G186" s="137">
        <v>190000</v>
      </c>
      <c r="H186" s="50" t="s">
        <v>2519</v>
      </c>
      <c r="I186" s="51" t="s">
        <v>132</v>
      </c>
      <c r="J186" s="51" t="s">
        <v>131</v>
      </c>
      <c r="K186" s="51"/>
    </row>
    <row r="187" spans="1:11" s="69" customFormat="1" ht="25.5" customHeight="1">
      <c r="A187" s="46">
        <v>183</v>
      </c>
      <c r="B187" s="47" t="s">
        <v>2517</v>
      </c>
      <c r="C187" s="48" t="s">
        <v>2517</v>
      </c>
      <c r="D187" s="48"/>
      <c r="E187" s="48" t="s">
        <v>2520</v>
      </c>
      <c r="F187" s="136" t="s">
        <v>159</v>
      </c>
      <c r="G187" s="137">
        <v>282000</v>
      </c>
      <c r="H187" s="50" t="s">
        <v>2521</v>
      </c>
      <c r="I187" s="51" t="s">
        <v>133</v>
      </c>
      <c r="J187" s="51" t="s">
        <v>115</v>
      </c>
      <c r="K187" s="51" t="s">
        <v>823</v>
      </c>
    </row>
    <row r="188" spans="1:11" s="69" customFormat="1" ht="25.5" customHeight="1">
      <c r="A188" s="46">
        <v>184</v>
      </c>
      <c r="B188" s="47" t="s">
        <v>2517</v>
      </c>
      <c r="C188" s="48" t="s">
        <v>2517</v>
      </c>
      <c r="D188" s="48"/>
      <c r="E188" s="48" t="s">
        <v>2522</v>
      </c>
      <c r="F188" s="136" t="s">
        <v>159</v>
      </c>
      <c r="G188" s="137">
        <v>250000</v>
      </c>
      <c r="H188" s="50" t="s">
        <v>2523</v>
      </c>
      <c r="I188" s="51" t="s">
        <v>66</v>
      </c>
      <c r="J188" s="51" t="s">
        <v>47</v>
      </c>
      <c r="K188" s="51"/>
    </row>
    <row r="189" spans="1:11" s="69" customFormat="1" ht="25.5" customHeight="1">
      <c r="A189" s="46">
        <v>185</v>
      </c>
      <c r="B189" s="47" t="s">
        <v>2517</v>
      </c>
      <c r="C189" s="48" t="s">
        <v>2517</v>
      </c>
      <c r="D189" s="48"/>
      <c r="E189" s="48" t="s">
        <v>2524</v>
      </c>
      <c r="F189" s="136" t="s">
        <v>159</v>
      </c>
      <c r="G189" s="137">
        <v>175000</v>
      </c>
      <c r="H189" s="50" t="s">
        <v>2525</v>
      </c>
      <c r="I189" s="51" t="s">
        <v>314</v>
      </c>
      <c r="J189" s="51" t="s">
        <v>135</v>
      </c>
      <c r="K189" s="51" t="s">
        <v>832</v>
      </c>
    </row>
    <row r="190" spans="1:11" s="69" customFormat="1" ht="25.5" customHeight="1">
      <c r="A190" s="46">
        <v>186</v>
      </c>
      <c r="B190" s="47" t="s">
        <v>2517</v>
      </c>
      <c r="C190" s="48" t="s">
        <v>2517</v>
      </c>
      <c r="D190" s="48"/>
      <c r="E190" s="48" t="s">
        <v>2526</v>
      </c>
      <c r="F190" s="136" t="s">
        <v>159</v>
      </c>
      <c r="G190" s="137">
        <v>100000</v>
      </c>
      <c r="H190" s="50" t="s">
        <v>2527</v>
      </c>
      <c r="I190" s="51" t="s">
        <v>136</v>
      </c>
      <c r="J190" s="51" t="s">
        <v>97</v>
      </c>
      <c r="K190" s="51" t="s">
        <v>794</v>
      </c>
    </row>
    <row r="191" spans="1:11" s="69" customFormat="1" ht="25.5" customHeight="1">
      <c r="A191" s="46">
        <v>187</v>
      </c>
      <c r="B191" s="47" t="s">
        <v>2517</v>
      </c>
      <c r="C191" s="48" t="s">
        <v>2517</v>
      </c>
      <c r="D191" s="48"/>
      <c r="E191" s="48" t="s">
        <v>2528</v>
      </c>
      <c r="F191" s="136" t="s">
        <v>159</v>
      </c>
      <c r="G191" s="137">
        <v>782600</v>
      </c>
      <c r="H191" s="50" t="s">
        <v>2529</v>
      </c>
      <c r="I191" s="51" t="s">
        <v>137</v>
      </c>
      <c r="J191" s="51" t="s">
        <v>138</v>
      </c>
      <c r="K191" s="51" t="s">
        <v>794</v>
      </c>
    </row>
    <row r="192" spans="1:11" s="69" customFormat="1" ht="25.5" customHeight="1">
      <c r="A192" s="46">
        <v>188</v>
      </c>
      <c r="B192" s="47" t="s">
        <v>2517</v>
      </c>
      <c r="C192" s="48" t="s">
        <v>2517</v>
      </c>
      <c r="D192" s="48"/>
      <c r="E192" s="54" t="s">
        <v>309</v>
      </c>
      <c r="F192" s="137">
        <v>782600</v>
      </c>
      <c r="G192" s="136" t="s">
        <v>159</v>
      </c>
      <c r="H192" s="50" t="s">
        <v>2527</v>
      </c>
      <c r="I192" s="51" t="s">
        <v>137</v>
      </c>
      <c r="J192" s="51" t="s">
        <v>138</v>
      </c>
      <c r="K192" s="51" t="s">
        <v>794</v>
      </c>
    </row>
    <row r="193" spans="1:11" ht="25.5" customHeight="1">
      <c r="A193" s="40">
        <v>189</v>
      </c>
      <c r="B193" s="41" t="s">
        <v>2517</v>
      </c>
      <c r="C193" s="42" t="s">
        <v>2517</v>
      </c>
      <c r="D193" s="42"/>
      <c r="E193" s="42" t="s">
        <v>2530</v>
      </c>
      <c r="F193" s="135">
        <v>590200</v>
      </c>
      <c r="G193" s="134" t="s">
        <v>159</v>
      </c>
      <c r="H193" s="45" t="s">
        <v>2531</v>
      </c>
      <c r="I193" s="34" t="s">
        <v>139</v>
      </c>
      <c r="J193" s="34" t="s">
        <v>140</v>
      </c>
      <c r="K193" s="34"/>
    </row>
    <row r="194" spans="1:11" s="69" customFormat="1" ht="25.5" customHeight="1">
      <c r="A194" s="46">
        <v>190</v>
      </c>
      <c r="B194" s="47" t="s">
        <v>2517</v>
      </c>
      <c r="C194" s="48" t="s">
        <v>2517</v>
      </c>
      <c r="D194" s="48"/>
      <c r="E194" s="48" t="s">
        <v>2532</v>
      </c>
      <c r="F194" s="136" t="s">
        <v>159</v>
      </c>
      <c r="G194" s="137">
        <v>5000</v>
      </c>
      <c r="H194" s="50" t="s">
        <v>2533</v>
      </c>
      <c r="I194" s="51" t="s">
        <v>141</v>
      </c>
      <c r="J194" s="51" t="s">
        <v>142</v>
      </c>
      <c r="K194" s="51"/>
    </row>
    <row r="195" spans="1:11" s="69" customFormat="1" ht="25.5" customHeight="1">
      <c r="A195" s="46">
        <v>191</v>
      </c>
      <c r="B195" s="47" t="s">
        <v>2517</v>
      </c>
      <c r="C195" s="48" t="s">
        <v>2517</v>
      </c>
      <c r="D195" s="48"/>
      <c r="E195" s="48" t="s">
        <v>2534</v>
      </c>
      <c r="F195" s="136" t="s">
        <v>159</v>
      </c>
      <c r="G195" s="137">
        <v>20000</v>
      </c>
      <c r="H195" s="50" t="s">
        <v>2535</v>
      </c>
      <c r="I195" s="51" t="s">
        <v>144</v>
      </c>
      <c r="J195" s="51" t="s">
        <v>143</v>
      </c>
      <c r="K195" s="51" t="s">
        <v>794</v>
      </c>
    </row>
    <row r="196" spans="1:11" ht="25.5" customHeight="1">
      <c r="A196" s="40">
        <v>192</v>
      </c>
      <c r="B196" s="41" t="s">
        <v>2536</v>
      </c>
      <c r="C196" s="42" t="s">
        <v>2536</v>
      </c>
      <c r="D196" s="40">
        <v>900</v>
      </c>
      <c r="E196" s="38" t="s">
        <v>310</v>
      </c>
      <c r="F196" s="135">
        <v>150000</v>
      </c>
      <c r="G196" s="134" t="s">
        <v>159</v>
      </c>
      <c r="H196" s="45" t="s">
        <v>2537</v>
      </c>
      <c r="I196" s="34" t="s">
        <v>145</v>
      </c>
      <c r="J196" s="34" t="s">
        <v>146</v>
      </c>
      <c r="K196" s="34" t="s">
        <v>794</v>
      </c>
    </row>
    <row r="197" spans="1:11" s="69" customFormat="1" ht="25.5" customHeight="1">
      <c r="A197" s="46">
        <v>193</v>
      </c>
      <c r="B197" s="47" t="s">
        <v>2536</v>
      </c>
      <c r="C197" s="48" t="s">
        <v>2536</v>
      </c>
      <c r="D197" s="48"/>
      <c r="E197" s="48" t="s">
        <v>2538</v>
      </c>
      <c r="F197" s="136" t="s">
        <v>159</v>
      </c>
      <c r="G197" s="137">
        <v>5000</v>
      </c>
      <c r="H197" s="50" t="s">
        <v>2539</v>
      </c>
      <c r="I197" s="51" t="s">
        <v>147</v>
      </c>
      <c r="J197" s="51" t="s">
        <v>148</v>
      </c>
      <c r="K197" s="51" t="s">
        <v>823</v>
      </c>
    </row>
    <row r="198" spans="1:11" s="69" customFormat="1" ht="25.5" customHeight="1">
      <c r="A198" s="46">
        <v>194</v>
      </c>
      <c r="B198" s="47" t="s">
        <v>2536</v>
      </c>
      <c r="C198" s="48" t="s">
        <v>2536</v>
      </c>
      <c r="D198" s="48"/>
      <c r="E198" s="48" t="s">
        <v>2540</v>
      </c>
      <c r="F198" s="136" t="s">
        <v>159</v>
      </c>
      <c r="G198" s="137">
        <v>50000</v>
      </c>
      <c r="H198" s="50" t="s">
        <v>2541</v>
      </c>
      <c r="I198" s="51" t="s">
        <v>149</v>
      </c>
      <c r="J198" s="51" t="s">
        <v>3136</v>
      </c>
      <c r="K198" s="51"/>
    </row>
    <row r="199" spans="1:11" s="69" customFormat="1" ht="25.5" customHeight="1">
      <c r="A199" s="46">
        <v>195</v>
      </c>
      <c r="B199" s="47" t="s">
        <v>2536</v>
      </c>
      <c r="C199" s="48" t="s">
        <v>2536</v>
      </c>
      <c r="D199" s="48"/>
      <c r="E199" s="48" t="s">
        <v>2542</v>
      </c>
      <c r="F199" s="136" t="s">
        <v>159</v>
      </c>
      <c r="G199" s="137">
        <v>50000</v>
      </c>
      <c r="H199" s="50" t="s">
        <v>2543</v>
      </c>
      <c r="I199" s="51" t="s">
        <v>149</v>
      </c>
      <c r="J199" s="51" t="s">
        <v>3136</v>
      </c>
      <c r="K199" s="51"/>
    </row>
    <row r="200" spans="1:11" s="69" customFormat="1" ht="25.5" customHeight="1">
      <c r="A200" s="46">
        <v>196</v>
      </c>
      <c r="B200" s="47" t="s">
        <v>2536</v>
      </c>
      <c r="C200" s="48" t="s">
        <v>2536</v>
      </c>
      <c r="D200" s="48"/>
      <c r="E200" s="48" t="s">
        <v>2544</v>
      </c>
      <c r="F200" s="136" t="s">
        <v>159</v>
      </c>
      <c r="G200" s="137">
        <v>5000</v>
      </c>
      <c r="H200" s="50" t="s">
        <v>2545</v>
      </c>
      <c r="I200" s="51" t="s">
        <v>373</v>
      </c>
      <c r="J200" s="51" t="s">
        <v>151</v>
      </c>
      <c r="K200" s="51"/>
    </row>
    <row r="201" spans="1:11" s="69" customFormat="1" ht="25.5" customHeight="1">
      <c r="A201" s="46">
        <v>197</v>
      </c>
      <c r="B201" s="47" t="s">
        <v>2546</v>
      </c>
      <c r="C201" s="48" t="s">
        <v>2546</v>
      </c>
      <c r="D201" s="48"/>
      <c r="E201" s="48" t="s">
        <v>2547</v>
      </c>
      <c r="F201" s="136" t="s">
        <v>159</v>
      </c>
      <c r="G201" s="137">
        <v>250000</v>
      </c>
      <c r="H201" s="50" t="s">
        <v>2548</v>
      </c>
      <c r="I201" s="51" t="s">
        <v>152</v>
      </c>
      <c r="J201" s="51" t="s">
        <v>115</v>
      </c>
      <c r="K201" s="51" t="s">
        <v>823</v>
      </c>
    </row>
    <row r="202" spans="1:11" s="69" customFormat="1" ht="25.5" customHeight="1">
      <c r="A202" s="46">
        <v>198</v>
      </c>
      <c r="B202" s="47" t="s">
        <v>2546</v>
      </c>
      <c r="C202" s="48" t="s">
        <v>2546</v>
      </c>
      <c r="D202" s="48"/>
      <c r="E202" s="48" t="s">
        <v>2549</v>
      </c>
      <c r="F202" s="136" t="s">
        <v>159</v>
      </c>
      <c r="G202" s="137">
        <v>200000</v>
      </c>
      <c r="H202" s="50" t="s">
        <v>2550</v>
      </c>
      <c r="I202" s="51" t="s">
        <v>153</v>
      </c>
      <c r="J202" s="51" t="s">
        <v>154</v>
      </c>
      <c r="K202" s="51" t="s">
        <v>794</v>
      </c>
    </row>
    <row r="203" spans="1:11" s="69" customFormat="1" ht="25.5" customHeight="1">
      <c r="A203" s="46">
        <v>199</v>
      </c>
      <c r="B203" s="47" t="s">
        <v>2546</v>
      </c>
      <c r="C203" s="48" t="s">
        <v>2546</v>
      </c>
      <c r="D203" s="48"/>
      <c r="E203" s="48" t="s">
        <v>2551</v>
      </c>
      <c r="F203" s="136" t="s">
        <v>159</v>
      </c>
      <c r="G203" s="137">
        <v>200000</v>
      </c>
      <c r="H203" s="50" t="s">
        <v>2552</v>
      </c>
      <c r="I203" s="51" t="s">
        <v>153</v>
      </c>
      <c r="J203" s="51" t="s">
        <v>155</v>
      </c>
      <c r="K203" s="51"/>
    </row>
    <row r="204" spans="1:11" s="69" customFormat="1" ht="25.5" customHeight="1">
      <c r="A204" s="46">
        <v>200</v>
      </c>
      <c r="B204" s="47" t="s">
        <v>2546</v>
      </c>
      <c r="C204" s="48" t="s">
        <v>2546</v>
      </c>
      <c r="D204" s="48"/>
      <c r="E204" s="48" t="s">
        <v>2553</v>
      </c>
      <c r="F204" s="136" t="s">
        <v>159</v>
      </c>
      <c r="G204" s="137">
        <v>200000</v>
      </c>
      <c r="H204" s="50" t="s">
        <v>2554</v>
      </c>
      <c r="I204" s="51" t="s">
        <v>153</v>
      </c>
      <c r="J204" s="51" t="s">
        <v>156</v>
      </c>
      <c r="K204" s="51"/>
    </row>
    <row r="205" spans="1:11" s="69" customFormat="1" ht="25.5" customHeight="1">
      <c r="A205" s="46">
        <v>201</v>
      </c>
      <c r="B205" s="47" t="s">
        <v>157</v>
      </c>
      <c r="C205" s="48" t="s">
        <v>157</v>
      </c>
      <c r="D205" s="51"/>
      <c r="E205" s="48" t="s">
        <v>158</v>
      </c>
      <c r="F205" s="151" t="s">
        <v>159</v>
      </c>
      <c r="G205" s="151">
        <v>120000</v>
      </c>
      <c r="H205" s="48" t="s">
        <v>160</v>
      </c>
      <c r="I205" s="51" t="s">
        <v>153</v>
      </c>
      <c r="J205" s="51" t="s">
        <v>311</v>
      </c>
      <c r="K205" s="51" t="s">
        <v>794</v>
      </c>
    </row>
    <row r="206" spans="1:11" s="69" customFormat="1" ht="25.5" customHeight="1">
      <c r="A206" s="46">
        <v>202</v>
      </c>
      <c r="B206" s="47" t="s">
        <v>157</v>
      </c>
      <c r="C206" s="48" t="s">
        <v>157</v>
      </c>
      <c r="D206" s="51"/>
      <c r="E206" s="48" t="s">
        <v>161</v>
      </c>
      <c r="F206" s="151" t="s">
        <v>159</v>
      </c>
      <c r="G206" s="139">
        <v>200000</v>
      </c>
      <c r="H206" s="48" t="s">
        <v>162</v>
      </c>
      <c r="I206" s="51" t="s">
        <v>313</v>
      </c>
      <c r="J206" s="51" t="s">
        <v>312</v>
      </c>
      <c r="K206" s="51"/>
    </row>
    <row r="207" spans="1:11" s="69" customFormat="1" ht="25.5" customHeight="1">
      <c r="A207" s="46">
        <v>203</v>
      </c>
      <c r="B207" s="47" t="s">
        <v>157</v>
      </c>
      <c r="C207" s="48" t="s">
        <v>157</v>
      </c>
      <c r="D207" s="51"/>
      <c r="E207" s="48" t="s">
        <v>163</v>
      </c>
      <c r="F207" s="151" t="s">
        <v>159</v>
      </c>
      <c r="G207" s="151">
        <v>175000</v>
      </c>
      <c r="H207" s="48" t="s">
        <v>164</v>
      </c>
      <c r="I207" s="51" t="s">
        <v>314</v>
      </c>
      <c r="J207" s="51" t="s">
        <v>315</v>
      </c>
      <c r="K207" s="51" t="s">
        <v>794</v>
      </c>
    </row>
    <row r="208" spans="1:11" s="69" customFormat="1" ht="25.5" customHeight="1">
      <c r="A208" s="46">
        <v>204</v>
      </c>
      <c r="B208" s="47" t="s">
        <v>157</v>
      </c>
      <c r="C208" s="48" t="s">
        <v>157</v>
      </c>
      <c r="D208" s="51"/>
      <c r="E208" s="48" t="s">
        <v>165</v>
      </c>
      <c r="F208" s="151" t="s">
        <v>159</v>
      </c>
      <c r="G208" s="151">
        <v>100000</v>
      </c>
      <c r="H208" s="48" t="s">
        <v>166</v>
      </c>
      <c r="I208" s="51" t="s">
        <v>316</v>
      </c>
      <c r="J208" s="51" t="s">
        <v>317</v>
      </c>
      <c r="K208" s="51"/>
    </row>
    <row r="209" spans="1:11" s="69" customFormat="1" ht="25.5" customHeight="1">
      <c r="A209" s="46">
        <v>205</v>
      </c>
      <c r="B209" s="47" t="s">
        <v>157</v>
      </c>
      <c r="C209" s="48" t="s">
        <v>157</v>
      </c>
      <c r="D209" s="51"/>
      <c r="E209" s="48" t="s">
        <v>167</v>
      </c>
      <c r="F209" s="151" t="s">
        <v>159</v>
      </c>
      <c r="G209" s="151">
        <v>400000</v>
      </c>
      <c r="H209" s="48" t="s">
        <v>168</v>
      </c>
      <c r="I209" s="51" t="s">
        <v>102</v>
      </c>
      <c r="J209" s="51" t="s">
        <v>61</v>
      </c>
      <c r="K209" s="51"/>
    </row>
    <row r="210" spans="1:11" s="69" customFormat="1" ht="25.5" customHeight="1">
      <c r="A210" s="46">
        <v>206</v>
      </c>
      <c r="B210" s="47" t="s">
        <v>157</v>
      </c>
      <c r="C210" s="48" t="s">
        <v>157</v>
      </c>
      <c r="D210" s="51"/>
      <c r="E210" s="48" t="s">
        <v>169</v>
      </c>
      <c r="F210" s="151" t="s">
        <v>159</v>
      </c>
      <c r="G210" s="151">
        <v>300000</v>
      </c>
      <c r="H210" s="48" t="s">
        <v>170</v>
      </c>
      <c r="I210" s="51" t="s">
        <v>319</v>
      </c>
      <c r="J210" s="51" t="s">
        <v>318</v>
      </c>
      <c r="K210" s="51" t="s">
        <v>794</v>
      </c>
    </row>
    <row r="211" spans="1:11" s="69" customFormat="1" ht="25.5" customHeight="1">
      <c r="A211" s="46">
        <v>207</v>
      </c>
      <c r="B211" s="47" t="s">
        <v>157</v>
      </c>
      <c r="C211" s="48" t="s">
        <v>157</v>
      </c>
      <c r="D211" s="51"/>
      <c r="E211" s="51" t="s">
        <v>171</v>
      </c>
      <c r="F211" s="151">
        <v>400000</v>
      </c>
      <c r="G211" s="151" t="s">
        <v>159</v>
      </c>
      <c r="H211" s="48" t="s">
        <v>172</v>
      </c>
      <c r="I211" s="51" t="s">
        <v>102</v>
      </c>
      <c r="J211" s="51" t="s">
        <v>61</v>
      </c>
      <c r="K211" s="51"/>
    </row>
    <row r="212" spans="1:11" s="69" customFormat="1" ht="25.5" customHeight="1">
      <c r="A212" s="46">
        <v>208</v>
      </c>
      <c r="B212" s="47" t="s">
        <v>157</v>
      </c>
      <c r="C212" s="48" t="s">
        <v>157</v>
      </c>
      <c r="D212" s="51"/>
      <c r="E212" s="51" t="s">
        <v>173</v>
      </c>
      <c r="F212" s="151">
        <v>200000</v>
      </c>
      <c r="G212" s="151" t="s">
        <v>159</v>
      </c>
      <c r="H212" s="48" t="s">
        <v>174</v>
      </c>
      <c r="I212" s="51" t="s">
        <v>153</v>
      </c>
      <c r="J212" s="51" t="s">
        <v>154</v>
      </c>
      <c r="K212" s="51" t="s">
        <v>822</v>
      </c>
    </row>
    <row r="213" spans="1:11" s="69" customFormat="1" ht="25.5" customHeight="1">
      <c r="A213" s="46">
        <v>209</v>
      </c>
      <c r="B213" s="47" t="s">
        <v>157</v>
      </c>
      <c r="C213" s="48" t="s">
        <v>157</v>
      </c>
      <c r="D213" s="51"/>
      <c r="E213" s="48" t="s">
        <v>175</v>
      </c>
      <c r="F213" s="151" t="s">
        <v>159</v>
      </c>
      <c r="G213" s="151">
        <v>10000</v>
      </c>
      <c r="H213" s="48" t="s">
        <v>176</v>
      </c>
      <c r="I213" s="51" t="s">
        <v>320</v>
      </c>
      <c r="J213" s="51" t="s">
        <v>321</v>
      </c>
      <c r="K213" s="51"/>
    </row>
    <row r="214" spans="1:11" ht="25.5" customHeight="1">
      <c r="A214" s="46">
        <v>210</v>
      </c>
      <c r="B214" s="47" t="s">
        <v>177</v>
      </c>
      <c r="C214" s="48" t="s">
        <v>178</v>
      </c>
      <c r="D214" s="51"/>
      <c r="E214" s="48" t="s">
        <v>179</v>
      </c>
      <c r="F214" s="151" t="s">
        <v>159</v>
      </c>
      <c r="G214" s="151">
        <v>150000</v>
      </c>
      <c r="H214" s="48" t="s">
        <v>180</v>
      </c>
      <c r="I214" s="51" t="s">
        <v>63</v>
      </c>
      <c r="J214" s="51" t="s">
        <v>54</v>
      </c>
      <c r="K214" s="51"/>
    </row>
    <row r="215" spans="1:11" s="69" customFormat="1" ht="25.5" customHeight="1">
      <c r="A215" s="46">
        <v>211</v>
      </c>
      <c r="B215" s="47" t="s">
        <v>181</v>
      </c>
      <c r="C215" s="48" t="s">
        <v>178</v>
      </c>
      <c r="D215" s="51"/>
      <c r="E215" s="48" t="s">
        <v>182</v>
      </c>
      <c r="F215" s="151" t="s">
        <v>159</v>
      </c>
      <c r="G215" s="151">
        <v>10000</v>
      </c>
      <c r="H215" s="48" t="s">
        <v>183</v>
      </c>
      <c r="I215" s="51" t="s">
        <v>320</v>
      </c>
      <c r="J215" s="51" t="s">
        <v>322</v>
      </c>
      <c r="K215" s="51" t="s">
        <v>794</v>
      </c>
    </row>
    <row r="216" spans="1:11" ht="25.5" customHeight="1">
      <c r="A216" s="46">
        <v>212</v>
      </c>
      <c r="B216" s="47" t="s">
        <v>181</v>
      </c>
      <c r="C216" s="48" t="s">
        <v>178</v>
      </c>
      <c r="D216" s="51"/>
      <c r="E216" s="48" t="s">
        <v>184</v>
      </c>
      <c r="F216" s="151" t="s">
        <v>159</v>
      </c>
      <c r="G216" s="151">
        <v>35000</v>
      </c>
      <c r="H216" s="48" t="s">
        <v>185</v>
      </c>
      <c r="I216" s="51" t="s">
        <v>379</v>
      </c>
      <c r="J216" s="51" t="s">
        <v>46</v>
      </c>
      <c r="K216" s="51"/>
    </row>
    <row r="217" spans="1:11" ht="25.5" customHeight="1">
      <c r="A217" s="46">
        <v>213</v>
      </c>
      <c r="B217" s="47" t="s">
        <v>181</v>
      </c>
      <c r="C217" s="48" t="s">
        <v>178</v>
      </c>
      <c r="D217" s="51"/>
      <c r="E217" s="48" t="s">
        <v>186</v>
      </c>
      <c r="F217" s="151" t="s">
        <v>159</v>
      </c>
      <c r="G217" s="151">
        <v>20000</v>
      </c>
      <c r="H217" s="48" t="s">
        <v>187</v>
      </c>
      <c r="I217" s="51" t="s">
        <v>324</v>
      </c>
      <c r="J217" s="51" t="s">
        <v>46</v>
      </c>
      <c r="K217" s="51"/>
    </row>
    <row r="218" spans="1:11" ht="25.5" customHeight="1">
      <c r="A218" s="46">
        <v>214</v>
      </c>
      <c r="B218" s="47" t="s">
        <v>181</v>
      </c>
      <c r="C218" s="48" t="s">
        <v>178</v>
      </c>
      <c r="D218" s="51"/>
      <c r="E218" s="48" t="s">
        <v>188</v>
      </c>
      <c r="F218" s="151" t="s">
        <v>159</v>
      </c>
      <c r="G218" s="151">
        <v>25000</v>
      </c>
      <c r="H218" s="48" t="s">
        <v>189</v>
      </c>
      <c r="I218" s="51" t="s">
        <v>324</v>
      </c>
      <c r="J218" s="51" t="s">
        <v>46</v>
      </c>
      <c r="K218" s="51"/>
    </row>
    <row r="219" spans="1:11" ht="25.5" customHeight="1">
      <c r="A219" s="46">
        <v>215</v>
      </c>
      <c r="B219" s="47" t="s">
        <v>181</v>
      </c>
      <c r="C219" s="48" t="s">
        <v>178</v>
      </c>
      <c r="D219" s="51"/>
      <c r="E219" s="48" t="s">
        <v>190</v>
      </c>
      <c r="F219" s="151" t="s">
        <v>159</v>
      </c>
      <c r="G219" s="151">
        <v>20000</v>
      </c>
      <c r="H219" s="48" t="s">
        <v>191</v>
      </c>
      <c r="I219" s="51" t="s">
        <v>323</v>
      </c>
      <c r="J219" s="51" t="s">
        <v>46</v>
      </c>
      <c r="K219" s="51" t="s">
        <v>794</v>
      </c>
    </row>
    <row r="220" spans="1:11" ht="25.5" customHeight="1">
      <c r="A220" s="46">
        <v>216</v>
      </c>
      <c r="B220" s="47" t="s">
        <v>178</v>
      </c>
      <c r="C220" s="48" t="s">
        <v>178</v>
      </c>
      <c r="D220" s="51"/>
      <c r="E220" s="48" t="s">
        <v>192</v>
      </c>
      <c r="F220" s="151" t="s">
        <v>159</v>
      </c>
      <c r="G220" s="151">
        <v>40000</v>
      </c>
      <c r="H220" s="48" t="s">
        <v>193</v>
      </c>
      <c r="I220" s="51" t="s">
        <v>380</v>
      </c>
      <c r="J220" s="51" t="s">
        <v>46</v>
      </c>
      <c r="K220" s="51" t="s">
        <v>794</v>
      </c>
    </row>
    <row r="221" spans="1:11" s="69" customFormat="1" ht="25.5" customHeight="1">
      <c r="A221" s="46">
        <v>217</v>
      </c>
      <c r="B221" s="47" t="s">
        <v>178</v>
      </c>
      <c r="C221" s="48" t="s">
        <v>178</v>
      </c>
      <c r="D221" s="51"/>
      <c r="E221" s="48" t="s">
        <v>194</v>
      </c>
      <c r="F221" s="151" t="s">
        <v>159</v>
      </c>
      <c r="G221" s="151">
        <v>95000</v>
      </c>
      <c r="H221" s="48" t="s">
        <v>195</v>
      </c>
      <c r="I221" s="51" t="s">
        <v>378</v>
      </c>
      <c r="J221" s="51" t="s">
        <v>112</v>
      </c>
      <c r="K221" s="51" t="s">
        <v>794</v>
      </c>
    </row>
    <row r="222" spans="1:11" s="69" customFormat="1" ht="25.5" customHeight="1">
      <c r="A222" s="46">
        <v>218</v>
      </c>
      <c r="B222" s="47" t="s">
        <v>196</v>
      </c>
      <c r="C222" s="48" t="s">
        <v>196</v>
      </c>
      <c r="D222" s="51"/>
      <c r="E222" s="48" t="s">
        <v>197</v>
      </c>
      <c r="F222" s="151" t="s">
        <v>159</v>
      </c>
      <c r="G222" s="151">
        <v>75000</v>
      </c>
      <c r="H222" s="48" t="s">
        <v>198</v>
      </c>
      <c r="I222" s="51" t="s">
        <v>363</v>
      </c>
      <c r="J222" s="51" t="s">
        <v>31</v>
      </c>
      <c r="K222" s="51"/>
    </row>
    <row r="223" spans="1:11" ht="25.5" customHeight="1">
      <c r="A223" s="40">
        <v>219</v>
      </c>
      <c r="B223" s="41" t="s">
        <v>196</v>
      </c>
      <c r="C223" s="42" t="s">
        <v>196</v>
      </c>
      <c r="D223" s="34"/>
      <c r="E223" s="42" t="s">
        <v>199</v>
      </c>
      <c r="F223" s="152">
        <v>291500</v>
      </c>
      <c r="G223" s="152" t="s">
        <v>159</v>
      </c>
      <c r="H223" s="42" t="s">
        <v>200</v>
      </c>
      <c r="I223" s="34" t="s">
        <v>325</v>
      </c>
      <c r="J223" s="34" t="s">
        <v>326</v>
      </c>
      <c r="K223" s="34" t="s">
        <v>794</v>
      </c>
    </row>
    <row r="224" spans="1:11" s="69" customFormat="1" ht="25.5" customHeight="1">
      <c r="A224" s="46">
        <v>220</v>
      </c>
      <c r="B224" s="47" t="s">
        <v>196</v>
      </c>
      <c r="C224" s="48" t="s">
        <v>196</v>
      </c>
      <c r="D224" s="51"/>
      <c r="E224" s="48" t="s">
        <v>201</v>
      </c>
      <c r="F224" s="151" t="s">
        <v>159</v>
      </c>
      <c r="G224" s="151">
        <v>60000</v>
      </c>
      <c r="H224" s="48" t="s">
        <v>202</v>
      </c>
      <c r="I224" s="51" t="s">
        <v>144</v>
      </c>
      <c r="J224" s="51" t="s">
        <v>143</v>
      </c>
      <c r="K224" s="51" t="s">
        <v>836</v>
      </c>
    </row>
    <row r="225" spans="1:11" s="69" customFormat="1" ht="25.5" customHeight="1">
      <c r="A225" s="46">
        <v>221</v>
      </c>
      <c r="B225" s="47" t="s">
        <v>196</v>
      </c>
      <c r="C225" s="48" t="s">
        <v>196</v>
      </c>
      <c r="D225" s="51"/>
      <c r="E225" s="48" t="s">
        <v>203</v>
      </c>
      <c r="F225" s="151" t="s">
        <v>159</v>
      </c>
      <c r="G225" s="151">
        <v>400000</v>
      </c>
      <c r="H225" s="48" t="s">
        <v>204</v>
      </c>
      <c r="I225" s="51" t="s">
        <v>102</v>
      </c>
      <c r="J225" s="51" t="s">
        <v>61</v>
      </c>
      <c r="K225" s="51"/>
    </row>
    <row r="226" spans="1:11" s="69" customFormat="1" ht="25.5" customHeight="1">
      <c r="A226" s="46">
        <v>222</v>
      </c>
      <c r="B226" s="47" t="s">
        <v>196</v>
      </c>
      <c r="C226" s="48" t="s">
        <v>196</v>
      </c>
      <c r="D226" s="51"/>
      <c r="E226" s="48" t="s">
        <v>205</v>
      </c>
      <c r="F226" s="151" t="s">
        <v>159</v>
      </c>
      <c r="G226" s="151">
        <v>782600</v>
      </c>
      <c r="H226" s="48" t="s">
        <v>206</v>
      </c>
      <c r="I226" s="51" t="s">
        <v>137</v>
      </c>
      <c r="J226" s="51" t="s">
        <v>138</v>
      </c>
      <c r="K226" s="51" t="s">
        <v>823</v>
      </c>
    </row>
    <row r="227" spans="1:11" s="69" customFormat="1" ht="25.5" customHeight="1">
      <c r="A227" s="46">
        <v>223</v>
      </c>
      <c r="B227" s="47" t="s">
        <v>196</v>
      </c>
      <c r="C227" s="48" t="s">
        <v>196</v>
      </c>
      <c r="D227" s="51"/>
      <c r="E227" s="48" t="s">
        <v>207</v>
      </c>
      <c r="F227" s="151" t="s">
        <v>159</v>
      </c>
      <c r="G227" s="151">
        <v>300000</v>
      </c>
      <c r="H227" s="48" t="s">
        <v>208</v>
      </c>
      <c r="I227" s="51" t="s">
        <v>327</v>
      </c>
      <c r="J227" s="51" t="s">
        <v>328</v>
      </c>
      <c r="K227" s="51"/>
    </row>
    <row r="228" spans="1:11" ht="25.5" customHeight="1">
      <c r="A228" s="40">
        <v>224</v>
      </c>
      <c r="B228" s="41" t="s">
        <v>209</v>
      </c>
      <c r="C228" s="42" t="s">
        <v>209</v>
      </c>
      <c r="D228" s="34"/>
      <c r="E228" s="34" t="s">
        <v>210</v>
      </c>
      <c r="F228" s="152" t="s">
        <v>159</v>
      </c>
      <c r="G228" s="152">
        <v>90000</v>
      </c>
      <c r="H228" s="42" t="s">
        <v>211</v>
      </c>
      <c r="I228" s="34" t="s">
        <v>329</v>
      </c>
      <c r="J228" s="34" t="s">
        <v>719</v>
      </c>
      <c r="K228" s="34"/>
    </row>
    <row r="229" spans="1:11" s="69" customFormat="1" ht="25.5" customHeight="1">
      <c r="A229" s="46">
        <v>225</v>
      </c>
      <c r="B229" s="47" t="s">
        <v>209</v>
      </c>
      <c r="C229" s="48" t="s">
        <v>209</v>
      </c>
      <c r="D229" s="51"/>
      <c r="E229" s="48" t="s">
        <v>212</v>
      </c>
      <c r="F229" s="151" t="s">
        <v>159</v>
      </c>
      <c r="G229" s="151">
        <v>50000</v>
      </c>
      <c r="H229" s="48" t="s">
        <v>213</v>
      </c>
      <c r="I229" s="51" t="s">
        <v>149</v>
      </c>
      <c r="J229" s="51" t="s">
        <v>3136</v>
      </c>
      <c r="K229" s="51"/>
    </row>
    <row r="230" spans="1:11" ht="25.5" customHeight="1">
      <c r="A230" s="40">
        <v>226</v>
      </c>
      <c r="B230" s="41" t="s">
        <v>209</v>
      </c>
      <c r="C230" s="42" t="s">
        <v>209</v>
      </c>
      <c r="D230" s="34"/>
      <c r="E230" s="42" t="s">
        <v>214</v>
      </c>
      <c r="F230" s="152" t="s">
        <v>159</v>
      </c>
      <c r="G230" s="152">
        <v>50000</v>
      </c>
      <c r="H230" s="42" t="s">
        <v>215</v>
      </c>
      <c r="I230" s="34" t="s">
        <v>371</v>
      </c>
      <c r="J230" s="34" t="s">
        <v>697</v>
      </c>
      <c r="K230" s="34"/>
    </row>
    <row r="231" spans="1:11" ht="25.5" customHeight="1">
      <c r="A231" s="40">
        <v>227</v>
      </c>
      <c r="B231" s="41" t="s">
        <v>209</v>
      </c>
      <c r="C231" s="42" t="s">
        <v>209</v>
      </c>
      <c r="D231" s="34"/>
      <c r="E231" s="42" t="s">
        <v>216</v>
      </c>
      <c r="F231" s="152" t="s">
        <v>159</v>
      </c>
      <c r="G231" s="152">
        <v>40000</v>
      </c>
      <c r="H231" s="42" t="s">
        <v>217</v>
      </c>
      <c r="I231" s="34" t="s">
        <v>371</v>
      </c>
      <c r="J231" s="34" t="s">
        <v>697</v>
      </c>
      <c r="K231" s="34"/>
    </row>
    <row r="232" spans="1:11" ht="25.5" customHeight="1">
      <c r="A232" s="40">
        <v>228</v>
      </c>
      <c r="B232" s="41" t="s">
        <v>209</v>
      </c>
      <c r="C232" s="42" t="s">
        <v>209</v>
      </c>
      <c r="D232" s="34"/>
      <c r="E232" s="42" t="s">
        <v>218</v>
      </c>
      <c r="F232" s="152" t="s">
        <v>159</v>
      </c>
      <c r="G232" s="140">
        <v>500000</v>
      </c>
      <c r="H232" s="45" t="s">
        <v>219</v>
      </c>
      <c r="I232" s="34" t="s">
        <v>330</v>
      </c>
      <c r="J232" s="34" t="s">
        <v>697</v>
      </c>
      <c r="K232" s="34"/>
    </row>
    <row r="233" spans="1:11" ht="25.5" customHeight="1">
      <c r="A233" s="40">
        <v>229</v>
      </c>
      <c r="B233" s="41" t="s">
        <v>209</v>
      </c>
      <c r="C233" s="42" t="s">
        <v>209</v>
      </c>
      <c r="D233" s="34"/>
      <c r="E233" s="42" t="s">
        <v>220</v>
      </c>
      <c r="F233" s="152" t="s">
        <v>159</v>
      </c>
      <c r="G233" s="152">
        <v>460000</v>
      </c>
      <c r="H233" s="42" t="s">
        <v>221</v>
      </c>
      <c r="I233" s="34" t="s">
        <v>330</v>
      </c>
      <c r="J233" s="34" t="s">
        <v>697</v>
      </c>
      <c r="K233" s="34"/>
    </row>
    <row r="234" spans="1:11" s="69" customFormat="1" ht="25.5" customHeight="1">
      <c r="A234" s="46">
        <v>230</v>
      </c>
      <c r="B234" s="47" t="s">
        <v>209</v>
      </c>
      <c r="C234" s="48" t="s">
        <v>209</v>
      </c>
      <c r="D234" s="51"/>
      <c r="E234" s="48" t="s">
        <v>222</v>
      </c>
      <c r="F234" s="151" t="s">
        <v>159</v>
      </c>
      <c r="G234" s="151">
        <v>381000</v>
      </c>
      <c r="H234" s="48" t="s">
        <v>223</v>
      </c>
      <c r="I234" s="51" t="s">
        <v>331</v>
      </c>
      <c r="J234" s="51" t="s">
        <v>95</v>
      </c>
      <c r="K234" s="51" t="s">
        <v>794</v>
      </c>
    </row>
    <row r="235" spans="1:11" s="69" customFormat="1" ht="25.5" customHeight="1">
      <c r="A235" s="46">
        <v>231</v>
      </c>
      <c r="B235" s="47" t="s">
        <v>209</v>
      </c>
      <c r="C235" s="48" t="s">
        <v>209</v>
      </c>
      <c r="D235" s="51"/>
      <c r="E235" s="48" t="s">
        <v>224</v>
      </c>
      <c r="F235" s="151" t="s">
        <v>159</v>
      </c>
      <c r="G235" s="151">
        <v>300000</v>
      </c>
      <c r="H235" s="48" t="s">
        <v>225</v>
      </c>
      <c r="I235" s="51" t="s">
        <v>332</v>
      </c>
      <c r="J235" s="51" t="s">
        <v>333</v>
      </c>
      <c r="K235" s="51"/>
    </row>
    <row r="236" spans="1:11" s="69" customFormat="1" ht="25.5" customHeight="1">
      <c r="A236" s="46">
        <v>232</v>
      </c>
      <c r="B236" s="47" t="s">
        <v>209</v>
      </c>
      <c r="C236" s="48" t="s">
        <v>209</v>
      </c>
      <c r="D236" s="51"/>
      <c r="E236" s="48" t="s">
        <v>226</v>
      </c>
      <c r="F236" s="151" t="s">
        <v>159</v>
      </c>
      <c r="G236" s="151">
        <v>86000</v>
      </c>
      <c r="H236" s="48" t="s">
        <v>227</v>
      </c>
      <c r="I236" s="51" t="s">
        <v>334</v>
      </c>
      <c r="J236" s="51" t="s">
        <v>335</v>
      </c>
      <c r="K236" s="51" t="s">
        <v>823</v>
      </c>
    </row>
    <row r="237" spans="1:11" s="69" customFormat="1" ht="25.5" customHeight="1">
      <c r="A237" s="46">
        <v>233</v>
      </c>
      <c r="B237" s="47" t="s">
        <v>209</v>
      </c>
      <c r="C237" s="48" t="s">
        <v>209</v>
      </c>
      <c r="D237" s="51"/>
      <c r="E237" s="48" t="s">
        <v>228</v>
      </c>
      <c r="F237" s="151" t="s">
        <v>159</v>
      </c>
      <c r="G237" s="151">
        <v>50000</v>
      </c>
      <c r="H237" s="48" t="s">
        <v>229</v>
      </c>
      <c r="I237" s="51" t="s">
        <v>376</v>
      </c>
      <c r="J237" s="51" t="s">
        <v>336</v>
      </c>
      <c r="K237" s="51" t="s">
        <v>794</v>
      </c>
    </row>
    <row r="238" spans="1:11" s="69" customFormat="1" ht="25.5" customHeight="1">
      <c r="A238" s="46">
        <v>234</v>
      </c>
      <c r="B238" s="47" t="s">
        <v>209</v>
      </c>
      <c r="C238" s="48" t="s">
        <v>209</v>
      </c>
      <c r="D238" s="51"/>
      <c r="E238" s="48" t="s">
        <v>230</v>
      </c>
      <c r="F238" s="151" t="s">
        <v>159</v>
      </c>
      <c r="G238" s="151">
        <v>95000</v>
      </c>
      <c r="H238" s="48" t="s">
        <v>231</v>
      </c>
      <c r="I238" s="51" t="s">
        <v>378</v>
      </c>
      <c r="J238" s="51" t="s">
        <v>112</v>
      </c>
      <c r="K238" s="51" t="s">
        <v>794</v>
      </c>
    </row>
    <row r="239" spans="1:11" s="69" customFormat="1" ht="25.5" customHeight="1">
      <c r="A239" s="46">
        <v>235</v>
      </c>
      <c r="B239" s="47" t="s">
        <v>232</v>
      </c>
      <c r="C239" s="48" t="s">
        <v>232</v>
      </c>
      <c r="D239" s="51"/>
      <c r="E239" s="48" t="s">
        <v>233</v>
      </c>
      <c r="F239" s="151" t="s">
        <v>159</v>
      </c>
      <c r="G239" s="139">
        <v>200000</v>
      </c>
      <c r="H239" s="48" t="s">
        <v>234</v>
      </c>
      <c r="I239" s="51" t="s">
        <v>153</v>
      </c>
      <c r="J239" s="51" t="s">
        <v>154</v>
      </c>
      <c r="K239" s="51"/>
    </row>
    <row r="240" spans="1:11" ht="25.5" customHeight="1">
      <c r="A240" s="40">
        <v>236</v>
      </c>
      <c r="B240" s="41" t="s">
        <v>232</v>
      </c>
      <c r="C240" s="42" t="s">
        <v>232</v>
      </c>
      <c r="D240" s="34"/>
      <c r="E240" s="42" t="s">
        <v>235</v>
      </c>
      <c r="F240" s="138" t="s">
        <v>236</v>
      </c>
      <c r="G240" s="152" t="s">
        <v>159</v>
      </c>
      <c r="H240" s="42" t="s">
        <v>237</v>
      </c>
      <c r="I240" s="34" t="s">
        <v>4</v>
      </c>
      <c r="J240" s="34" t="s">
        <v>337</v>
      </c>
      <c r="K240" s="34" t="s">
        <v>823</v>
      </c>
    </row>
    <row r="241" spans="1:11" s="69" customFormat="1" ht="25.5" customHeight="1">
      <c r="A241" s="46">
        <v>237</v>
      </c>
      <c r="B241" s="47" t="s">
        <v>232</v>
      </c>
      <c r="C241" s="48" t="s">
        <v>232</v>
      </c>
      <c r="D241" s="51"/>
      <c r="E241" s="48" t="s">
        <v>238</v>
      </c>
      <c r="F241" s="151" t="s">
        <v>159</v>
      </c>
      <c r="G241" s="151">
        <v>300000</v>
      </c>
      <c r="H241" s="48" t="s">
        <v>239</v>
      </c>
      <c r="I241" s="51" t="s">
        <v>338</v>
      </c>
      <c r="J241" s="51" t="s">
        <v>339</v>
      </c>
      <c r="K241" s="51" t="s">
        <v>794</v>
      </c>
    </row>
    <row r="242" spans="1:11" s="69" customFormat="1" ht="25.5" customHeight="1">
      <c r="A242" s="46">
        <v>238</v>
      </c>
      <c r="B242" s="47" t="s">
        <v>232</v>
      </c>
      <c r="C242" s="48" t="s">
        <v>232</v>
      </c>
      <c r="D242" s="51"/>
      <c r="E242" s="48" t="s">
        <v>240</v>
      </c>
      <c r="F242" s="151" t="s">
        <v>159</v>
      </c>
      <c r="G242" s="151">
        <v>640000</v>
      </c>
      <c r="H242" s="48" t="s">
        <v>241</v>
      </c>
      <c r="I242" s="51" t="s">
        <v>340</v>
      </c>
      <c r="J242" s="51" t="s">
        <v>3136</v>
      </c>
      <c r="K242" s="51"/>
    </row>
    <row r="243" spans="1:11" s="69" customFormat="1" ht="25.5" customHeight="1">
      <c r="A243" s="46">
        <v>239</v>
      </c>
      <c r="B243" s="47" t="s">
        <v>232</v>
      </c>
      <c r="C243" s="48" t="s">
        <v>232</v>
      </c>
      <c r="D243" s="51"/>
      <c r="E243" s="48" t="s">
        <v>242</v>
      </c>
      <c r="F243" s="151" t="s">
        <v>159</v>
      </c>
      <c r="G243" s="151">
        <v>400000</v>
      </c>
      <c r="H243" s="48" t="s">
        <v>243</v>
      </c>
      <c r="I243" s="51" t="s">
        <v>341</v>
      </c>
      <c r="J243" s="51" t="s">
        <v>65</v>
      </c>
      <c r="K243" s="51" t="s">
        <v>810</v>
      </c>
    </row>
    <row r="244" spans="1:11" s="69" customFormat="1" ht="25.5" customHeight="1">
      <c r="A244" s="46">
        <v>240</v>
      </c>
      <c r="B244" s="47" t="s">
        <v>232</v>
      </c>
      <c r="C244" s="48" t="s">
        <v>232</v>
      </c>
      <c r="D244" s="51"/>
      <c r="E244" s="48" t="s">
        <v>244</v>
      </c>
      <c r="F244" s="151" t="s">
        <v>159</v>
      </c>
      <c r="G244" s="151">
        <v>150000</v>
      </c>
      <c r="H244" s="48" t="s">
        <v>245</v>
      </c>
      <c r="I244" s="51" t="s">
        <v>342</v>
      </c>
      <c r="J244" s="51" t="s">
        <v>96</v>
      </c>
      <c r="K244" s="51"/>
    </row>
    <row r="245" spans="1:11" s="69" customFormat="1" ht="25.5" customHeight="1">
      <c r="A245" s="46">
        <v>241</v>
      </c>
      <c r="B245" s="47" t="s">
        <v>232</v>
      </c>
      <c r="C245" s="48" t="s">
        <v>232</v>
      </c>
      <c r="D245" s="51"/>
      <c r="E245" s="48" t="s">
        <v>246</v>
      </c>
      <c r="F245" s="151" t="s">
        <v>159</v>
      </c>
      <c r="G245" s="139">
        <v>200000</v>
      </c>
      <c r="H245" s="48" t="s">
        <v>247</v>
      </c>
      <c r="I245" s="51" t="s">
        <v>343</v>
      </c>
      <c r="J245" s="51" t="s">
        <v>335</v>
      </c>
      <c r="K245" s="51"/>
    </row>
    <row r="246" spans="1:11" s="69" customFormat="1" ht="25.5" customHeight="1">
      <c r="A246" s="46">
        <v>242</v>
      </c>
      <c r="B246" s="47" t="s">
        <v>232</v>
      </c>
      <c r="C246" s="48" t="s">
        <v>232</v>
      </c>
      <c r="D246" s="51"/>
      <c r="E246" s="48" t="s">
        <v>248</v>
      </c>
      <c r="F246" s="151" t="s">
        <v>159</v>
      </c>
      <c r="G246" s="151">
        <v>331000</v>
      </c>
      <c r="H246" s="48" t="s">
        <v>249</v>
      </c>
      <c r="I246" s="51" t="s">
        <v>147</v>
      </c>
      <c r="J246" s="51" t="s">
        <v>148</v>
      </c>
      <c r="K246" s="51" t="s">
        <v>823</v>
      </c>
    </row>
    <row r="247" spans="1:11" s="69" customFormat="1" ht="25.5" customHeight="1">
      <c r="A247" s="46">
        <v>243</v>
      </c>
      <c r="B247" s="47" t="s">
        <v>232</v>
      </c>
      <c r="C247" s="48" t="s">
        <v>232</v>
      </c>
      <c r="D247" s="51"/>
      <c r="E247" s="48" t="s">
        <v>250</v>
      </c>
      <c r="F247" s="151" t="s">
        <v>159</v>
      </c>
      <c r="G247" s="151">
        <v>100</v>
      </c>
      <c r="H247" s="48" t="s">
        <v>251</v>
      </c>
      <c r="I247" s="51" t="s">
        <v>344</v>
      </c>
      <c r="J247" s="51" t="s">
        <v>97</v>
      </c>
      <c r="K247" s="51" t="s">
        <v>810</v>
      </c>
    </row>
    <row r="248" spans="1:11" s="69" customFormat="1" ht="25.5" customHeight="1">
      <c r="A248" s="46">
        <v>244</v>
      </c>
      <c r="B248" s="47" t="s">
        <v>232</v>
      </c>
      <c r="C248" s="48" t="s">
        <v>232</v>
      </c>
      <c r="D248" s="51"/>
      <c r="E248" s="51" t="s">
        <v>252</v>
      </c>
      <c r="F248" s="151">
        <v>300000</v>
      </c>
      <c r="G248" s="151" t="s">
        <v>159</v>
      </c>
      <c r="H248" s="48" t="s">
        <v>253</v>
      </c>
      <c r="I248" s="51" t="s">
        <v>338</v>
      </c>
      <c r="J248" s="51" t="s">
        <v>837</v>
      </c>
      <c r="K248" s="51" t="s">
        <v>823</v>
      </c>
    </row>
    <row r="249" spans="1:11" s="69" customFormat="1" ht="25.5" customHeight="1">
      <c r="A249" s="46">
        <v>245</v>
      </c>
      <c r="B249" s="47" t="s">
        <v>232</v>
      </c>
      <c r="C249" s="48" t="s">
        <v>232</v>
      </c>
      <c r="D249" s="51"/>
      <c r="E249" s="48" t="s">
        <v>254</v>
      </c>
      <c r="F249" s="151" t="s">
        <v>159</v>
      </c>
      <c r="G249" s="151">
        <v>19900</v>
      </c>
      <c r="H249" s="48" t="s">
        <v>255</v>
      </c>
      <c r="I249" s="51" t="s">
        <v>344</v>
      </c>
      <c r="J249" s="51" t="s">
        <v>97</v>
      </c>
      <c r="K249" s="51" t="s">
        <v>823</v>
      </c>
    </row>
    <row r="250" spans="1:11" ht="25.5" customHeight="1">
      <c r="A250" s="40">
        <v>246</v>
      </c>
      <c r="B250" s="41" t="s">
        <v>232</v>
      </c>
      <c r="C250" s="42" t="s">
        <v>232</v>
      </c>
      <c r="D250" s="34"/>
      <c r="E250" s="42" t="s">
        <v>256</v>
      </c>
      <c r="F250" s="152" t="s">
        <v>159</v>
      </c>
      <c r="G250" s="152">
        <v>50000</v>
      </c>
      <c r="H250" s="42" t="s">
        <v>257</v>
      </c>
      <c r="I250" s="34" t="s">
        <v>371</v>
      </c>
      <c r="J250" s="34" t="s">
        <v>697</v>
      </c>
      <c r="K250" s="34"/>
    </row>
    <row r="251" spans="1:11" ht="25.5" customHeight="1">
      <c r="A251" s="40">
        <v>247</v>
      </c>
      <c r="B251" s="41" t="s">
        <v>232</v>
      </c>
      <c r="C251" s="42" t="s">
        <v>232</v>
      </c>
      <c r="D251" s="34"/>
      <c r="E251" s="42" t="s">
        <v>258</v>
      </c>
      <c r="F251" s="152" t="s">
        <v>159</v>
      </c>
      <c r="G251" s="152">
        <v>40000</v>
      </c>
      <c r="H251" s="42" t="s">
        <v>259</v>
      </c>
      <c r="I251" s="34" t="s">
        <v>371</v>
      </c>
      <c r="J251" s="34" t="s">
        <v>697</v>
      </c>
      <c r="K251" s="34"/>
    </row>
    <row r="252" spans="1:11" ht="25.5" customHeight="1">
      <c r="A252" s="40">
        <v>248</v>
      </c>
      <c r="B252" s="41" t="s">
        <v>232</v>
      </c>
      <c r="C252" s="42" t="s">
        <v>232</v>
      </c>
      <c r="D252" s="34"/>
      <c r="E252" s="42" t="s">
        <v>260</v>
      </c>
      <c r="F252" s="152">
        <v>300000</v>
      </c>
      <c r="G252" s="152" t="s">
        <v>159</v>
      </c>
      <c r="H252" s="42" t="s">
        <v>261</v>
      </c>
      <c r="I252" s="34" t="s">
        <v>2</v>
      </c>
      <c r="J252" s="34" t="s">
        <v>337</v>
      </c>
      <c r="K252" s="34" t="s">
        <v>794</v>
      </c>
    </row>
    <row r="253" spans="1:11" s="69" customFormat="1" ht="25.5" customHeight="1">
      <c r="A253" s="46">
        <v>249</v>
      </c>
      <c r="B253" s="47" t="s">
        <v>262</v>
      </c>
      <c r="C253" s="48" t="s">
        <v>262</v>
      </c>
      <c r="D253" s="51"/>
      <c r="E253" s="48" t="s">
        <v>263</v>
      </c>
      <c r="F253" s="151" t="s">
        <v>159</v>
      </c>
      <c r="G253" s="151">
        <v>5000</v>
      </c>
      <c r="H253" s="48" t="s">
        <v>264</v>
      </c>
      <c r="I253" s="51" t="s">
        <v>378</v>
      </c>
      <c r="J253" s="51" t="s">
        <v>112</v>
      </c>
      <c r="K253" s="51"/>
    </row>
    <row r="254" spans="1:11" ht="25.5" customHeight="1">
      <c r="A254" s="40">
        <v>250</v>
      </c>
      <c r="B254" s="41" t="s">
        <v>262</v>
      </c>
      <c r="C254" s="42" t="s">
        <v>262</v>
      </c>
      <c r="D254" s="34"/>
      <c r="E254" s="42" t="s">
        <v>265</v>
      </c>
      <c r="F254" s="138">
        <v>1000000</v>
      </c>
      <c r="G254" s="152" t="s">
        <v>159</v>
      </c>
      <c r="H254" s="42" t="s">
        <v>266</v>
      </c>
      <c r="I254" s="34" t="s">
        <v>345</v>
      </c>
      <c r="J254" s="34" t="s">
        <v>346</v>
      </c>
      <c r="K254" s="34"/>
    </row>
    <row r="255" spans="1:11" ht="25.5" customHeight="1">
      <c r="A255" s="40">
        <v>251</v>
      </c>
      <c r="B255" s="41" t="s">
        <v>262</v>
      </c>
      <c r="C255" s="42" t="s">
        <v>262</v>
      </c>
      <c r="D255" s="34"/>
      <c r="E255" s="42" t="s">
        <v>267</v>
      </c>
      <c r="F255" s="152">
        <v>500000</v>
      </c>
      <c r="G255" s="152" t="s">
        <v>159</v>
      </c>
      <c r="H255" s="42" t="s">
        <v>268</v>
      </c>
      <c r="I255" s="34" t="s">
        <v>345</v>
      </c>
      <c r="J255" s="34" t="s">
        <v>346</v>
      </c>
      <c r="K255" s="34"/>
    </row>
    <row r="256" spans="1:11" s="69" customFormat="1" ht="24" customHeight="1">
      <c r="A256" s="46">
        <v>252</v>
      </c>
      <c r="B256" s="47" t="s">
        <v>262</v>
      </c>
      <c r="C256" s="48" t="s">
        <v>262</v>
      </c>
      <c r="D256" s="51"/>
      <c r="E256" s="48" t="s">
        <v>269</v>
      </c>
      <c r="F256" s="151" t="s">
        <v>159</v>
      </c>
      <c r="G256" s="151">
        <v>300000</v>
      </c>
      <c r="H256" s="48" t="s">
        <v>270</v>
      </c>
      <c r="I256" s="51" t="s">
        <v>338</v>
      </c>
      <c r="J256" s="51" t="s">
        <v>339</v>
      </c>
      <c r="K256" s="51"/>
    </row>
    <row r="257" spans="1:11" s="69" customFormat="1" ht="25.5" customHeight="1">
      <c r="A257" s="46">
        <v>253</v>
      </c>
      <c r="B257" s="47" t="s">
        <v>262</v>
      </c>
      <c r="C257" s="48" t="s">
        <v>262</v>
      </c>
      <c r="D257" s="51"/>
      <c r="E257" s="51" t="s">
        <v>252</v>
      </c>
      <c r="F257" s="151">
        <v>300000</v>
      </c>
      <c r="G257" s="151" t="s">
        <v>159</v>
      </c>
      <c r="H257" s="48" t="s">
        <v>268</v>
      </c>
      <c r="I257" s="51" t="s">
        <v>338</v>
      </c>
      <c r="J257" s="51" t="s">
        <v>339</v>
      </c>
      <c r="K257" s="51" t="s">
        <v>794</v>
      </c>
    </row>
    <row r="258" spans="1:11" ht="25.5" customHeight="1">
      <c r="A258" s="40">
        <v>254</v>
      </c>
      <c r="B258" s="41" t="s">
        <v>262</v>
      </c>
      <c r="C258" s="42" t="s">
        <v>262</v>
      </c>
      <c r="D258" s="34"/>
      <c r="E258" s="42" t="s">
        <v>271</v>
      </c>
      <c r="F258" s="152" t="s">
        <v>159</v>
      </c>
      <c r="G258" s="152">
        <v>50000</v>
      </c>
      <c r="H258" s="42" t="s">
        <v>272</v>
      </c>
      <c r="I258" s="34" t="s">
        <v>371</v>
      </c>
      <c r="J258" s="34" t="s">
        <v>697</v>
      </c>
      <c r="K258" s="34"/>
    </row>
    <row r="259" spans="1:11" ht="25.5" customHeight="1">
      <c r="A259" s="40">
        <v>255</v>
      </c>
      <c r="B259" s="41" t="s">
        <v>262</v>
      </c>
      <c r="C259" s="42" t="s">
        <v>262</v>
      </c>
      <c r="D259" s="34"/>
      <c r="E259" s="42" t="s">
        <v>273</v>
      </c>
      <c r="F259" s="152" t="s">
        <v>159</v>
      </c>
      <c r="G259" s="152">
        <v>40000</v>
      </c>
      <c r="H259" s="42" t="s">
        <v>274</v>
      </c>
      <c r="I259" s="34" t="s">
        <v>371</v>
      </c>
      <c r="J259" s="34" t="s">
        <v>697</v>
      </c>
      <c r="K259" s="34"/>
    </row>
    <row r="260" spans="1:11" ht="25.5" customHeight="1">
      <c r="A260" s="40">
        <v>256</v>
      </c>
      <c r="B260" s="41" t="s">
        <v>275</v>
      </c>
      <c r="C260" s="42" t="s">
        <v>275</v>
      </c>
      <c r="D260" s="34"/>
      <c r="E260" s="42" t="s">
        <v>276</v>
      </c>
      <c r="F260" s="152">
        <v>200000</v>
      </c>
      <c r="G260" s="152" t="s">
        <v>159</v>
      </c>
      <c r="H260" s="42" t="s">
        <v>277</v>
      </c>
      <c r="I260" s="34" t="s">
        <v>347</v>
      </c>
      <c r="J260" s="34" t="s">
        <v>348</v>
      </c>
      <c r="K260" s="34" t="s">
        <v>794</v>
      </c>
    </row>
    <row r="261" spans="1:11" ht="25.5" customHeight="1">
      <c r="A261" s="40">
        <v>257</v>
      </c>
      <c r="B261" s="41" t="s">
        <v>275</v>
      </c>
      <c r="C261" s="42" t="s">
        <v>275</v>
      </c>
      <c r="D261" s="34"/>
      <c r="E261" s="42" t="s">
        <v>278</v>
      </c>
      <c r="F261" s="152">
        <v>100000</v>
      </c>
      <c r="G261" s="152" t="s">
        <v>159</v>
      </c>
      <c r="H261" s="42" t="s">
        <v>279</v>
      </c>
      <c r="I261" s="34" t="s">
        <v>4</v>
      </c>
      <c r="J261" s="34" t="s">
        <v>337</v>
      </c>
      <c r="K261" s="34" t="s">
        <v>823</v>
      </c>
    </row>
    <row r="262" spans="1:11" ht="25.5" customHeight="1">
      <c r="A262" s="40">
        <v>258</v>
      </c>
      <c r="B262" s="41" t="s">
        <v>381</v>
      </c>
      <c r="C262" s="42" t="s">
        <v>381</v>
      </c>
      <c r="D262" s="34"/>
      <c r="E262" s="42" t="s">
        <v>382</v>
      </c>
      <c r="F262" s="152" t="s">
        <v>159</v>
      </c>
      <c r="G262" s="152">
        <v>40000</v>
      </c>
      <c r="H262" s="42" t="s">
        <v>383</v>
      </c>
      <c r="I262" s="34" t="s">
        <v>371</v>
      </c>
      <c r="J262" s="34" t="s">
        <v>697</v>
      </c>
      <c r="K262" s="34"/>
    </row>
    <row r="263" spans="1:11" ht="25.5" customHeight="1">
      <c r="A263" s="40">
        <v>259</v>
      </c>
      <c r="B263" s="41" t="s">
        <v>381</v>
      </c>
      <c r="C263" s="42" t="s">
        <v>381</v>
      </c>
      <c r="D263" s="34"/>
      <c r="E263" s="42" t="s">
        <v>384</v>
      </c>
      <c r="F263" s="152">
        <v>300000</v>
      </c>
      <c r="G263" s="152" t="s">
        <v>159</v>
      </c>
      <c r="H263" s="42" t="s">
        <v>385</v>
      </c>
      <c r="I263" s="34" t="s">
        <v>4</v>
      </c>
      <c r="J263" s="34" t="s">
        <v>337</v>
      </c>
      <c r="K263" s="34" t="s">
        <v>794</v>
      </c>
    </row>
    <row r="264" spans="1:11" s="69" customFormat="1" ht="25.5" customHeight="1">
      <c r="A264" s="46">
        <v>260</v>
      </c>
      <c r="B264" s="47" t="s">
        <v>381</v>
      </c>
      <c r="C264" s="48" t="s">
        <v>381</v>
      </c>
      <c r="D264" s="51"/>
      <c r="E264" s="48" t="s">
        <v>386</v>
      </c>
      <c r="F264" s="151" t="s">
        <v>159</v>
      </c>
      <c r="G264" s="151">
        <v>100000</v>
      </c>
      <c r="H264" s="48" t="s">
        <v>387</v>
      </c>
      <c r="I264" s="51" t="s">
        <v>411</v>
      </c>
      <c r="J264" s="51" t="s">
        <v>412</v>
      </c>
      <c r="K264" s="51"/>
    </row>
    <row r="265" spans="1:11" s="69" customFormat="1" ht="25.5" customHeight="1">
      <c r="A265" s="46">
        <v>261</v>
      </c>
      <c r="B265" s="47" t="s">
        <v>381</v>
      </c>
      <c r="C265" s="48" t="s">
        <v>381</v>
      </c>
      <c r="D265" s="51"/>
      <c r="E265" s="48" t="s">
        <v>388</v>
      </c>
      <c r="F265" s="151" t="s">
        <v>159</v>
      </c>
      <c r="G265" s="151">
        <v>100000</v>
      </c>
      <c r="H265" s="48" t="s">
        <v>389</v>
      </c>
      <c r="I265" s="51" t="s">
        <v>413</v>
      </c>
      <c r="J265" s="51" t="s">
        <v>65</v>
      </c>
      <c r="K265" s="51" t="s">
        <v>823</v>
      </c>
    </row>
    <row r="266" spans="1:11" s="69" customFormat="1" ht="25.5" customHeight="1">
      <c r="A266" s="46">
        <v>262</v>
      </c>
      <c r="B266" s="47" t="s">
        <v>381</v>
      </c>
      <c r="C266" s="48" t="s">
        <v>381</v>
      </c>
      <c r="D266" s="51"/>
      <c r="E266" s="48" t="s">
        <v>390</v>
      </c>
      <c r="F266" s="151" t="s">
        <v>159</v>
      </c>
      <c r="G266" s="151">
        <v>400000</v>
      </c>
      <c r="H266" s="48" t="s">
        <v>391</v>
      </c>
      <c r="I266" s="51" t="s">
        <v>375</v>
      </c>
      <c r="J266" s="51" t="s">
        <v>122</v>
      </c>
      <c r="K266" s="51"/>
    </row>
    <row r="267" spans="1:11" s="69" customFormat="1" ht="25.5" customHeight="1">
      <c r="A267" s="46">
        <v>263</v>
      </c>
      <c r="B267" s="47" t="s">
        <v>381</v>
      </c>
      <c r="C267" s="48" t="s">
        <v>381</v>
      </c>
      <c r="D267" s="51"/>
      <c r="E267" s="48" t="s">
        <v>392</v>
      </c>
      <c r="F267" s="151" t="s">
        <v>159</v>
      </c>
      <c r="G267" s="151">
        <v>350000</v>
      </c>
      <c r="H267" s="48" t="s">
        <v>393</v>
      </c>
      <c r="I267" s="51" t="s">
        <v>104</v>
      </c>
      <c r="J267" s="51" t="s">
        <v>105</v>
      </c>
      <c r="K267" s="51" t="s">
        <v>794</v>
      </c>
    </row>
    <row r="268" spans="1:11" s="69" customFormat="1" ht="25.5" customHeight="1">
      <c r="A268" s="46">
        <v>264</v>
      </c>
      <c r="B268" s="47" t="s">
        <v>381</v>
      </c>
      <c r="C268" s="48" t="s">
        <v>381</v>
      </c>
      <c r="D268" s="51"/>
      <c r="E268" s="48" t="s">
        <v>394</v>
      </c>
      <c r="F268" s="151" t="s">
        <v>159</v>
      </c>
      <c r="G268" s="151">
        <v>40000</v>
      </c>
      <c r="H268" s="48" t="s">
        <v>395</v>
      </c>
      <c r="I268" s="51" t="s">
        <v>414</v>
      </c>
      <c r="J268" s="51" t="s">
        <v>322</v>
      </c>
      <c r="K268" s="51" t="s">
        <v>794</v>
      </c>
    </row>
    <row r="269" spans="1:11" s="69" customFormat="1" ht="25.5" customHeight="1">
      <c r="A269" s="46">
        <v>265</v>
      </c>
      <c r="B269" s="47" t="s">
        <v>381</v>
      </c>
      <c r="C269" s="48" t="s">
        <v>381</v>
      </c>
      <c r="D269" s="51"/>
      <c r="E269" s="48" t="s">
        <v>396</v>
      </c>
      <c r="F269" s="151" t="s">
        <v>159</v>
      </c>
      <c r="G269" s="151">
        <v>60000</v>
      </c>
      <c r="H269" s="48" t="s">
        <v>397</v>
      </c>
      <c r="I269" s="51" t="s">
        <v>414</v>
      </c>
      <c r="J269" s="51" t="s">
        <v>322</v>
      </c>
      <c r="K269" s="51" t="s">
        <v>794</v>
      </c>
    </row>
    <row r="270" spans="1:11" ht="25.5" customHeight="1">
      <c r="A270" s="40">
        <v>266</v>
      </c>
      <c r="B270" s="41" t="s">
        <v>381</v>
      </c>
      <c r="C270" s="42" t="s">
        <v>381</v>
      </c>
      <c r="D270" s="34"/>
      <c r="E270" s="42" t="s">
        <v>398</v>
      </c>
      <c r="F270" s="152">
        <v>842752</v>
      </c>
      <c r="G270" s="152" t="s">
        <v>159</v>
      </c>
      <c r="H270" s="42" t="s">
        <v>399</v>
      </c>
      <c r="I270" s="34" t="s">
        <v>720</v>
      </c>
      <c r="J270" s="34" t="s">
        <v>346</v>
      </c>
      <c r="K270" s="34" t="s">
        <v>794</v>
      </c>
    </row>
    <row r="271" spans="1:11" ht="25.5" customHeight="1">
      <c r="A271" s="40">
        <v>267</v>
      </c>
      <c r="B271" s="41" t="s">
        <v>381</v>
      </c>
      <c r="C271" s="42" t="s">
        <v>381</v>
      </c>
      <c r="D271" s="34"/>
      <c r="E271" s="42" t="s">
        <v>400</v>
      </c>
      <c r="F271" s="152">
        <v>606386</v>
      </c>
      <c r="G271" s="152" t="s">
        <v>159</v>
      </c>
      <c r="H271" s="42" t="s">
        <v>401</v>
      </c>
      <c r="I271" s="34" t="s">
        <v>721</v>
      </c>
      <c r="J271" s="34" t="s">
        <v>346</v>
      </c>
      <c r="K271" s="34" t="s">
        <v>794</v>
      </c>
    </row>
    <row r="272" spans="1:11" s="69" customFormat="1" ht="25.5" customHeight="1">
      <c r="A272" s="46">
        <v>268</v>
      </c>
      <c r="B272" s="47" t="s">
        <v>402</v>
      </c>
      <c r="C272" s="48" t="s">
        <v>402</v>
      </c>
      <c r="D272" s="51"/>
      <c r="E272" s="48" t="s">
        <v>403</v>
      </c>
      <c r="F272" s="151" t="s">
        <v>159</v>
      </c>
      <c r="G272" s="151">
        <v>90000</v>
      </c>
      <c r="H272" s="48" t="s">
        <v>404</v>
      </c>
      <c r="I272" s="51" t="s">
        <v>52</v>
      </c>
      <c r="J272" s="51" t="s">
        <v>43</v>
      </c>
      <c r="K272" s="51" t="s">
        <v>794</v>
      </c>
    </row>
    <row r="273" spans="1:11" s="69" customFormat="1" ht="25.5" customHeight="1">
      <c r="A273" s="46">
        <v>269</v>
      </c>
      <c r="B273" s="47" t="s">
        <v>402</v>
      </c>
      <c r="C273" s="48" t="s">
        <v>402</v>
      </c>
      <c r="D273" s="51"/>
      <c r="E273" s="48" t="s">
        <v>405</v>
      </c>
      <c r="F273" s="151" t="s">
        <v>159</v>
      </c>
      <c r="G273" s="151">
        <v>100000</v>
      </c>
      <c r="H273" s="48" t="s">
        <v>406</v>
      </c>
      <c r="I273" s="51" t="s">
        <v>411</v>
      </c>
      <c r="J273" s="51" t="s">
        <v>415</v>
      </c>
      <c r="K273" s="51"/>
    </row>
    <row r="274" spans="1:11" s="69" customFormat="1" ht="25.5" customHeight="1">
      <c r="A274" s="46">
        <v>270</v>
      </c>
      <c r="B274" s="47" t="s">
        <v>402</v>
      </c>
      <c r="C274" s="48" t="s">
        <v>402</v>
      </c>
      <c r="D274" s="51"/>
      <c r="E274" s="48" t="s">
        <v>407</v>
      </c>
      <c r="F274" s="151" t="s">
        <v>159</v>
      </c>
      <c r="G274" s="151">
        <v>100000</v>
      </c>
      <c r="H274" s="48" t="s">
        <v>408</v>
      </c>
      <c r="I274" s="51" t="s">
        <v>411</v>
      </c>
      <c r="J274" s="51" t="s">
        <v>416</v>
      </c>
      <c r="K274" s="51" t="s">
        <v>823</v>
      </c>
    </row>
    <row r="275" spans="1:11" s="69" customFormat="1" ht="25.5" customHeight="1">
      <c r="A275" s="46">
        <v>271</v>
      </c>
      <c r="B275" s="47" t="s">
        <v>402</v>
      </c>
      <c r="C275" s="48" t="s">
        <v>402</v>
      </c>
      <c r="D275" s="51"/>
      <c r="E275" s="48" t="s">
        <v>409</v>
      </c>
      <c r="F275" s="151" t="s">
        <v>159</v>
      </c>
      <c r="G275" s="151">
        <v>100000</v>
      </c>
      <c r="H275" s="48" t="s">
        <v>410</v>
      </c>
      <c r="I275" s="51" t="s">
        <v>313</v>
      </c>
      <c r="J275" s="51" t="s">
        <v>312</v>
      </c>
      <c r="K275" s="51" t="s">
        <v>794</v>
      </c>
    </row>
    <row r="276" spans="1:11" s="69" customFormat="1" ht="25.5" customHeight="1">
      <c r="A276" s="46">
        <v>272</v>
      </c>
      <c r="B276" s="47" t="s">
        <v>402</v>
      </c>
      <c r="C276" s="48" t="s">
        <v>402</v>
      </c>
      <c r="D276" s="51"/>
      <c r="E276" s="48" t="s">
        <v>418</v>
      </c>
      <c r="F276" s="151" t="s">
        <v>159</v>
      </c>
      <c r="G276" s="151">
        <v>400000</v>
      </c>
      <c r="H276" s="48" t="s">
        <v>419</v>
      </c>
      <c r="I276" s="51" t="s">
        <v>463</v>
      </c>
      <c r="J276" s="51" t="s">
        <v>61</v>
      </c>
      <c r="K276" s="51"/>
    </row>
    <row r="277" spans="1:11" s="69" customFormat="1" ht="25.5" customHeight="1">
      <c r="A277" s="46">
        <v>273</v>
      </c>
      <c r="B277" s="47" t="s">
        <v>420</v>
      </c>
      <c r="C277" s="48" t="s">
        <v>420</v>
      </c>
      <c r="D277" s="51"/>
      <c r="E277" s="48" t="s">
        <v>421</v>
      </c>
      <c r="F277" s="151" t="s">
        <v>159</v>
      </c>
      <c r="G277" s="151">
        <v>180000</v>
      </c>
      <c r="H277" s="48" t="s">
        <v>422</v>
      </c>
      <c r="I277" s="51" t="s">
        <v>376</v>
      </c>
      <c r="J277" s="51" t="s">
        <v>336</v>
      </c>
      <c r="K277" s="51"/>
    </row>
    <row r="278" spans="1:11" s="69" customFormat="1" ht="25.5" customHeight="1">
      <c r="A278" s="46">
        <v>274</v>
      </c>
      <c r="B278" s="47" t="s">
        <v>420</v>
      </c>
      <c r="C278" s="48" t="s">
        <v>420</v>
      </c>
      <c r="D278" s="51"/>
      <c r="E278" s="48" t="s">
        <v>423</v>
      </c>
      <c r="F278" s="151" t="s">
        <v>159</v>
      </c>
      <c r="G278" s="151">
        <v>5000</v>
      </c>
      <c r="H278" s="48" t="s">
        <v>424</v>
      </c>
      <c r="I278" s="51" t="s">
        <v>464</v>
      </c>
      <c r="J278" s="51" t="s">
        <v>465</v>
      </c>
      <c r="K278" s="51"/>
    </row>
    <row r="279" spans="1:11" s="69" customFormat="1" ht="25.5" customHeight="1">
      <c r="A279" s="46">
        <v>275</v>
      </c>
      <c r="B279" s="47" t="s">
        <v>420</v>
      </c>
      <c r="C279" s="48" t="s">
        <v>420</v>
      </c>
      <c r="D279" s="51"/>
      <c r="E279" s="48" t="s">
        <v>425</v>
      </c>
      <c r="F279" s="151" t="s">
        <v>159</v>
      </c>
      <c r="G279" s="151">
        <v>5000</v>
      </c>
      <c r="H279" s="48" t="s">
        <v>426</v>
      </c>
      <c r="I279" s="51" t="s">
        <v>466</v>
      </c>
      <c r="J279" s="51" t="s">
        <v>467</v>
      </c>
      <c r="K279" s="51" t="s">
        <v>823</v>
      </c>
    </row>
    <row r="280" spans="1:11" s="69" customFormat="1" ht="25.5" customHeight="1">
      <c r="A280" s="46">
        <v>276</v>
      </c>
      <c r="B280" s="47" t="s">
        <v>427</v>
      </c>
      <c r="C280" s="48" t="s">
        <v>427</v>
      </c>
      <c r="D280" s="51"/>
      <c r="E280" s="48" t="s">
        <v>428</v>
      </c>
      <c r="F280" s="151" t="s">
        <v>159</v>
      </c>
      <c r="G280" s="151">
        <v>92500</v>
      </c>
      <c r="H280" s="48" t="s">
        <v>429</v>
      </c>
      <c r="I280" s="51" t="s">
        <v>414</v>
      </c>
      <c r="J280" s="51" t="s">
        <v>322</v>
      </c>
      <c r="K280" s="51" t="s">
        <v>794</v>
      </c>
    </row>
    <row r="281" spans="1:11" ht="25.5" customHeight="1">
      <c r="A281" s="40">
        <v>277</v>
      </c>
      <c r="B281" s="41" t="s">
        <v>427</v>
      </c>
      <c r="C281" s="42" t="s">
        <v>427</v>
      </c>
      <c r="D281" s="34"/>
      <c r="E281" s="42" t="s">
        <v>430</v>
      </c>
      <c r="F281" s="152">
        <v>200000</v>
      </c>
      <c r="G281" s="152" t="s">
        <v>159</v>
      </c>
      <c r="H281" s="42" t="s">
        <v>431</v>
      </c>
      <c r="I281" s="34" t="s">
        <v>468</v>
      </c>
      <c r="J281" s="34" t="s">
        <v>469</v>
      </c>
      <c r="K281" s="34"/>
    </row>
    <row r="282" spans="1:11" s="69" customFormat="1" ht="25.5" customHeight="1">
      <c r="A282" s="46">
        <v>278</v>
      </c>
      <c r="B282" s="47" t="s">
        <v>432</v>
      </c>
      <c r="C282" s="48" t="s">
        <v>432</v>
      </c>
      <c r="D282" s="51"/>
      <c r="E282" s="48" t="s">
        <v>433</v>
      </c>
      <c r="F282" s="151" t="s">
        <v>159</v>
      </c>
      <c r="G282" s="151">
        <v>720000</v>
      </c>
      <c r="H282" s="48" t="s">
        <v>434</v>
      </c>
      <c r="I282" s="51" t="s">
        <v>470</v>
      </c>
      <c r="J282" s="51" t="s">
        <v>471</v>
      </c>
      <c r="K282" s="51"/>
    </row>
    <row r="283" spans="1:11" s="69" customFormat="1" ht="25.5" customHeight="1">
      <c r="A283" s="46">
        <v>279</v>
      </c>
      <c r="B283" s="47" t="s">
        <v>432</v>
      </c>
      <c r="C283" s="48" t="s">
        <v>432</v>
      </c>
      <c r="D283" s="51"/>
      <c r="E283" s="48" t="s">
        <v>238</v>
      </c>
      <c r="F283" s="151" t="s">
        <v>159</v>
      </c>
      <c r="G283" s="151">
        <v>300000</v>
      </c>
      <c r="H283" s="48" t="s">
        <v>435</v>
      </c>
      <c r="I283" s="51" t="s">
        <v>338</v>
      </c>
      <c r="J283" s="51" t="s">
        <v>339</v>
      </c>
      <c r="K283" s="51" t="s">
        <v>822</v>
      </c>
    </row>
    <row r="284" spans="1:11" s="69" customFormat="1" ht="25.5" customHeight="1">
      <c r="A284" s="46">
        <v>280</v>
      </c>
      <c r="B284" s="47" t="s">
        <v>436</v>
      </c>
      <c r="C284" s="48" t="s">
        <v>436</v>
      </c>
      <c r="D284" s="51"/>
      <c r="E284" s="48" t="s">
        <v>437</v>
      </c>
      <c r="F284" s="151" t="s">
        <v>159</v>
      </c>
      <c r="G284" s="151">
        <v>178500</v>
      </c>
      <c r="H284" s="48" t="s">
        <v>438</v>
      </c>
      <c r="I284" s="51" t="s">
        <v>472</v>
      </c>
      <c r="J284" s="51" t="s">
        <v>92</v>
      </c>
      <c r="K284" s="51" t="s">
        <v>794</v>
      </c>
    </row>
    <row r="285" spans="1:11" s="69" customFormat="1" ht="25.5" customHeight="1">
      <c r="A285" s="46">
        <v>281</v>
      </c>
      <c r="B285" s="47" t="s">
        <v>436</v>
      </c>
      <c r="C285" s="48" t="s">
        <v>436</v>
      </c>
      <c r="D285" s="51"/>
      <c r="E285" s="48" t="s">
        <v>439</v>
      </c>
      <c r="F285" s="151">
        <v>100000</v>
      </c>
      <c r="G285" s="151" t="s">
        <v>159</v>
      </c>
      <c r="H285" s="48" t="s">
        <v>440</v>
      </c>
      <c r="I285" s="51" t="s">
        <v>364</v>
      </c>
      <c r="J285" s="51" t="s">
        <v>473</v>
      </c>
      <c r="K285" s="51" t="s">
        <v>794</v>
      </c>
    </row>
    <row r="286" spans="1:11" s="69" customFormat="1" ht="25.5" customHeight="1">
      <c r="A286" s="46">
        <v>282</v>
      </c>
      <c r="B286" s="47" t="s">
        <v>441</v>
      </c>
      <c r="C286" s="48" t="s">
        <v>441</v>
      </c>
      <c r="D286" s="51"/>
      <c r="E286" s="51" t="s">
        <v>442</v>
      </c>
      <c r="F286" s="151" t="s">
        <v>159</v>
      </c>
      <c r="G286" s="151">
        <v>160000</v>
      </c>
      <c r="H286" s="48" t="s">
        <v>443</v>
      </c>
      <c r="I286" s="51" t="s">
        <v>474</v>
      </c>
      <c r="J286" s="51" t="s">
        <v>90</v>
      </c>
      <c r="K286" s="51" t="s">
        <v>794</v>
      </c>
    </row>
    <row r="287" spans="1:11" ht="25.5" customHeight="1">
      <c r="A287" s="40">
        <v>283</v>
      </c>
      <c r="B287" s="41" t="s">
        <v>441</v>
      </c>
      <c r="C287" s="42" t="s">
        <v>441</v>
      </c>
      <c r="D287" s="34"/>
      <c r="E287" s="42" t="s">
        <v>444</v>
      </c>
      <c r="F287" s="152">
        <v>100000</v>
      </c>
      <c r="G287" s="152" t="s">
        <v>159</v>
      </c>
      <c r="H287" s="42" t="s">
        <v>445</v>
      </c>
      <c r="I287" s="34" t="s">
        <v>475</v>
      </c>
      <c r="J287" s="34" t="s">
        <v>725</v>
      </c>
      <c r="K287" s="34"/>
    </row>
    <row r="288" spans="1:11" s="69" customFormat="1" ht="25.5" customHeight="1">
      <c r="A288" s="46">
        <v>284</v>
      </c>
      <c r="B288" s="47" t="s">
        <v>446</v>
      </c>
      <c r="C288" s="48" t="s">
        <v>446</v>
      </c>
      <c r="D288" s="51"/>
      <c r="E288" s="48" t="s">
        <v>447</v>
      </c>
      <c r="F288" s="151" t="s">
        <v>159</v>
      </c>
      <c r="G288" s="151">
        <v>120000</v>
      </c>
      <c r="H288" s="48" t="s">
        <v>448</v>
      </c>
      <c r="I288" s="51" t="s">
        <v>376</v>
      </c>
      <c r="J288" s="51" t="s">
        <v>336</v>
      </c>
      <c r="K288" s="51" t="s">
        <v>794</v>
      </c>
    </row>
    <row r="289" spans="1:11" s="69" customFormat="1" ht="25.5" customHeight="1">
      <c r="A289" s="46">
        <v>285</v>
      </c>
      <c r="B289" s="47" t="s">
        <v>446</v>
      </c>
      <c r="C289" s="48" t="s">
        <v>446</v>
      </c>
      <c r="D289" s="51"/>
      <c r="E289" s="48" t="s">
        <v>449</v>
      </c>
      <c r="F289" s="151" t="s">
        <v>159</v>
      </c>
      <c r="G289" s="151">
        <v>90000</v>
      </c>
      <c r="H289" s="48" t="s">
        <v>450</v>
      </c>
      <c r="I289" s="51" t="s">
        <v>144</v>
      </c>
      <c r="J289" s="51" t="s">
        <v>143</v>
      </c>
      <c r="K289" s="51" t="s">
        <v>822</v>
      </c>
    </row>
    <row r="290" spans="1:11" ht="25.5" customHeight="1">
      <c r="A290" s="40">
        <v>286</v>
      </c>
      <c r="B290" s="41" t="s">
        <v>446</v>
      </c>
      <c r="C290" s="42" t="s">
        <v>446</v>
      </c>
      <c r="D290" s="34"/>
      <c r="E290" s="42" t="s">
        <v>451</v>
      </c>
      <c r="F290" s="138">
        <v>1000000</v>
      </c>
      <c r="G290" s="152" t="s">
        <v>159</v>
      </c>
      <c r="H290" s="42" t="s">
        <v>452</v>
      </c>
      <c r="I290" s="34" t="s">
        <v>621</v>
      </c>
      <c r="J290" s="34" t="s">
        <v>615</v>
      </c>
      <c r="K290" s="34" t="s">
        <v>794</v>
      </c>
    </row>
    <row r="291" spans="1:11" ht="25.5" customHeight="1">
      <c r="A291" s="40">
        <v>287</v>
      </c>
      <c r="B291" s="41" t="s">
        <v>446</v>
      </c>
      <c r="C291" s="42" t="s">
        <v>446</v>
      </c>
      <c r="D291" s="34"/>
      <c r="E291" s="42" t="s">
        <v>453</v>
      </c>
      <c r="F291" s="152">
        <v>80000</v>
      </c>
      <c r="G291" s="152" t="s">
        <v>159</v>
      </c>
      <c r="H291" s="42" t="s">
        <v>454</v>
      </c>
      <c r="I291" s="34" t="s">
        <v>614</v>
      </c>
      <c r="J291" s="34" t="s">
        <v>597</v>
      </c>
      <c r="K291" s="34" t="s">
        <v>794</v>
      </c>
    </row>
    <row r="292" spans="1:11" s="69" customFormat="1" ht="25.5" customHeight="1">
      <c r="A292" s="46">
        <v>288</v>
      </c>
      <c r="B292" s="47" t="s">
        <v>455</v>
      </c>
      <c r="C292" s="48" t="s">
        <v>455</v>
      </c>
      <c r="D292" s="51"/>
      <c r="E292" s="48" t="s">
        <v>456</v>
      </c>
      <c r="F292" s="151" t="s">
        <v>159</v>
      </c>
      <c r="G292" s="151">
        <v>90000</v>
      </c>
      <c r="H292" s="48" t="s">
        <v>457</v>
      </c>
      <c r="I292" s="51" t="s">
        <v>144</v>
      </c>
      <c r="J292" s="51" t="s">
        <v>143</v>
      </c>
      <c r="K292" s="51"/>
    </row>
    <row r="293" spans="1:11" ht="25.5" customHeight="1">
      <c r="A293" s="40">
        <v>289</v>
      </c>
      <c r="B293" s="41" t="s">
        <v>455</v>
      </c>
      <c r="C293" s="42" t="s">
        <v>455</v>
      </c>
      <c r="D293" s="34"/>
      <c r="E293" s="42" t="s">
        <v>458</v>
      </c>
      <c r="F293" s="152">
        <v>200000</v>
      </c>
      <c r="G293" s="152" t="s">
        <v>159</v>
      </c>
      <c r="H293" s="42" t="s">
        <v>459</v>
      </c>
      <c r="I293" s="34" t="s">
        <v>598</v>
      </c>
      <c r="J293" s="34" t="s">
        <v>725</v>
      </c>
      <c r="K293" s="34"/>
    </row>
    <row r="294" spans="1:11" ht="25.5" customHeight="1">
      <c r="A294" s="40">
        <v>290</v>
      </c>
      <c r="B294" s="41" t="s">
        <v>455</v>
      </c>
      <c r="C294" s="42" t="s">
        <v>455</v>
      </c>
      <c r="D294" s="34"/>
      <c r="E294" s="42" t="s">
        <v>458</v>
      </c>
      <c r="F294" s="152" t="s">
        <v>159</v>
      </c>
      <c r="G294" s="140">
        <v>200000</v>
      </c>
      <c r="H294" s="42" t="s">
        <v>457</v>
      </c>
      <c r="I294" s="34" t="s">
        <v>598</v>
      </c>
      <c r="J294" s="34" t="s">
        <v>725</v>
      </c>
      <c r="K294" s="34"/>
    </row>
    <row r="295" spans="1:11" ht="25.5" customHeight="1">
      <c r="A295" s="40">
        <v>291</v>
      </c>
      <c r="B295" s="41" t="s">
        <v>455</v>
      </c>
      <c r="C295" s="42" t="s">
        <v>455</v>
      </c>
      <c r="D295" s="34"/>
      <c r="E295" s="42" t="s">
        <v>460</v>
      </c>
      <c r="F295" s="152">
        <v>200000</v>
      </c>
      <c r="G295" s="152" t="s">
        <v>159</v>
      </c>
      <c r="H295" s="42" t="s">
        <v>459</v>
      </c>
      <c r="I295" s="34" t="s">
        <v>598</v>
      </c>
      <c r="J295" s="34" t="s">
        <v>725</v>
      </c>
      <c r="K295" s="34"/>
    </row>
    <row r="296" spans="1:11" s="69" customFormat="1" ht="25.5" customHeight="1">
      <c r="A296" s="46">
        <v>292</v>
      </c>
      <c r="B296" s="47" t="s">
        <v>455</v>
      </c>
      <c r="C296" s="48" t="s">
        <v>455</v>
      </c>
      <c r="D296" s="51"/>
      <c r="E296" s="48" t="s">
        <v>461</v>
      </c>
      <c r="F296" s="151" t="s">
        <v>159</v>
      </c>
      <c r="G296" s="139">
        <v>500000</v>
      </c>
      <c r="H296" s="50" t="s">
        <v>462</v>
      </c>
      <c r="I296" s="51" t="s">
        <v>316</v>
      </c>
      <c r="J296" s="51" t="s">
        <v>317</v>
      </c>
      <c r="K296" s="51"/>
    </row>
    <row r="297" spans="1:11" s="69" customFormat="1" ht="25.5" customHeight="1">
      <c r="A297" s="46">
        <v>293</v>
      </c>
      <c r="B297" s="47" t="s">
        <v>476</v>
      </c>
      <c r="C297" s="48" t="s">
        <v>477</v>
      </c>
      <c r="D297" s="51"/>
      <c r="E297" s="48" t="s">
        <v>478</v>
      </c>
      <c r="F297" s="151" t="s">
        <v>159</v>
      </c>
      <c r="G297" s="151">
        <v>60000</v>
      </c>
      <c r="H297" s="48" t="s">
        <v>479</v>
      </c>
      <c r="I297" s="51" t="s">
        <v>144</v>
      </c>
      <c r="J297" s="51" t="s">
        <v>143</v>
      </c>
      <c r="K297" s="51"/>
    </row>
    <row r="298" spans="1:11" ht="25.5" customHeight="1">
      <c r="A298" s="40">
        <v>294</v>
      </c>
      <c r="B298" s="41" t="s">
        <v>480</v>
      </c>
      <c r="C298" s="42" t="s">
        <v>477</v>
      </c>
      <c r="D298" s="34"/>
      <c r="E298" s="42" t="s">
        <v>481</v>
      </c>
      <c r="F298" s="152" t="s">
        <v>159</v>
      </c>
      <c r="G298" s="152">
        <v>100000</v>
      </c>
      <c r="H298" s="42" t="s">
        <v>482</v>
      </c>
      <c r="I298" s="34" t="s">
        <v>411</v>
      </c>
      <c r="J298" s="34" t="s">
        <v>367</v>
      </c>
      <c r="K298" s="34"/>
    </row>
    <row r="299" spans="1:11" s="69" customFormat="1" ht="25.5" customHeight="1">
      <c r="A299" s="46">
        <v>295</v>
      </c>
      <c r="B299" s="47" t="s">
        <v>483</v>
      </c>
      <c r="C299" s="48" t="s">
        <v>483</v>
      </c>
      <c r="D299" s="51"/>
      <c r="E299" s="48" t="s">
        <v>484</v>
      </c>
      <c r="F299" s="151" t="s">
        <v>159</v>
      </c>
      <c r="G299" s="151">
        <v>99999</v>
      </c>
      <c r="H299" s="48" t="s">
        <v>485</v>
      </c>
      <c r="I299" s="51" t="s">
        <v>616</v>
      </c>
      <c r="J299" s="51" t="s">
        <v>55</v>
      </c>
      <c r="K299" s="51" t="s">
        <v>823</v>
      </c>
    </row>
    <row r="300" spans="1:11" s="69" customFormat="1" ht="25.5" customHeight="1">
      <c r="A300" s="46">
        <v>296</v>
      </c>
      <c r="B300" s="47" t="s">
        <v>483</v>
      </c>
      <c r="C300" s="48" t="s">
        <v>483</v>
      </c>
      <c r="D300" s="51"/>
      <c r="E300" s="48" t="s">
        <v>486</v>
      </c>
      <c r="F300" s="151" t="s">
        <v>159</v>
      </c>
      <c r="G300" s="151">
        <v>1</v>
      </c>
      <c r="H300" s="48" t="s">
        <v>487</v>
      </c>
      <c r="I300" s="51" t="s">
        <v>616</v>
      </c>
      <c r="J300" s="51" t="s">
        <v>55</v>
      </c>
      <c r="K300" s="51"/>
    </row>
    <row r="301" spans="1:11" s="69" customFormat="1" ht="25.5" customHeight="1">
      <c r="A301" s="46">
        <v>297</v>
      </c>
      <c r="B301" s="47" t="s">
        <v>483</v>
      </c>
      <c r="C301" s="48" t="s">
        <v>483</v>
      </c>
      <c r="D301" s="51"/>
      <c r="E301" s="48" t="s">
        <v>488</v>
      </c>
      <c r="F301" s="151" t="s">
        <v>159</v>
      </c>
      <c r="G301" s="151">
        <v>57000</v>
      </c>
      <c r="H301" s="48" t="s">
        <v>489</v>
      </c>
      <c r="I301" s="51" t="s">
        <v>617</v>
      </c>
      <c r="J301" s="51" t="s">
        <v>55</v>
      </c>
      <c r="K301" s="51"/>
    </row>
    <row r="302" spans="1:11" s="69" customFormat="1" ht="25.5" customHeight="1">
      <c r="A302" s="46">
        <v>298</v>
      </c>
      <c r="B302" s="47" t="s">
        <v>483</v>
      </c>
      <c r="C302" s="48" t="s">
        <v>483</v>
      </c>
      <c r="D302" s="51"/>
      <c r="E302" s="48" t="s">
        <v>490</v>
      </c>
      <c r="F302" s="151" t="s">
        <v>159</v>
      </c>
      <c r="G302" s="151">
        <v>23000</v>
      </c>
      <c r="H302" s="48" t="s">
        <v>491</v>
      </c>
      <c r="I302" s="51" t="s">
        <v>617</v>
      </c>
      <c r="J302" s="51" t="s">
        <v>55</v>
      </c>
      <c r="K302" s="51"/>
    </row>
    <row r="303" spans="1:11" s="69" customFormat="1" ht="25.5" customHeight="1">
      <c r="A303" s="46">
        <v>299</v>
      </c>
      <c r="B303" s="47" t="s">
        <v>483</v>
      </c>
      <c r="C303" s="48" t="s">
        <v>483</v>
      </c>
      <c r="D303" s="51"/>
      <c r="E303" s="48" t="s">
        <v>492</v>
      </c>
      <c r="F303" s="151" t="s">
        <v>159</v>
      </c>
      <c r="G303" s="151">
        <v>30000</v>
      </c>
      <c r="H303" s="48" t="s">
        <v>493</v>
      </c>
      <c r="I303" s="51" t="s">
        <v>618</v>
      </c>
      <c r="J303" s="51" t="s">
        <v>55</v>
      </c>
      <c r="K303" s="51" t="s">
        <v>823</v>
      </c>
    </row>
    <row r="304" spans="1:11" ht="25.5" customHeight="1">
      <c r="A304" s="40">
        <v>300</v>
      </c>
      <c r="B304" s="41" t="s">
        <v>483</v>
      </c>
      <c r="C304" s="42" t="s">
        <v>483</v>
      </c>
      <c r="D304" s="34"/>
      <c r="E304" s="42" t="s">
        <v>494</v>
      </c>
      <c r="F304" s="152" t="s">
        <v>159</v>
      </c>
      <c r="G304" s="152">
        <v>1</v>
      </c>
      <c r="H304" s="42" t="s">
        <v>495</v>
      </c>
      <c r="I304" s="34" t="s">
        <v>619</v>
      </c>
      <c r="J304" s="34" t="s">
        <v>719</v>
      </c>
      <c r="K304" s="34"/>
    </row>
    <row r="305" spans="1:11" s="69" customFormat="1" ht="25.5" customHeight="1">
      <c r="A305" s="46">
        <v>301</v>
      </c>
      <c r="B305" s="47" t="s">
        <v>483</v>
      </c>
      <c r="C305" s="48" t="s">
        <v>483</v>
      </c>
      <c r="D305" s="51"/>
      <c r="E305" s="48" t="s">
        <v>496</v>
      </c>
      <c r="F305" s="151" t="s">
        <v>159</v>
      </c>
      <c r="G305" s="151">
        <v>50000</v>
      </c>
      <c r="H305" s="48" t="s">
        <v>497</v>
      </c>
      <c r="I305" s="51" t="s">
        <v>599</v>
      </c>
      <c r="J305" s="51" t="s">
        <v>336</v>
      </c>
      <c r="K305" s="51" t="s">
        <v>823</v>
      </c>
    </row>
    <row r="306" spans="1:11" s="69" customFormat="1" ht="25.5" customHeight="1">
      <c r="A306" s="46">
        <v>302</v>
      </c>
      <c r="B306" s="47" t="s">
        <v>483</v>
      </c>
      <c r="C306" s="48" t="s">
        <v>483</v>
      </c>
      <c r="D306" s="51"/>
      <c r="E306" s="48" t="s">
        <v>498</v>
      </c>
      <c r="F306" s="151" t="s">
        <v>159</v>
      </c>
      <c r="G306" s="151">
        <v>49000</v>
      </c>
      <c r="H306" s="48" t="s">
        <v>499</v>
      </c>
      <c r="I306" s="51" t="s">
        <v>599</v>
      </c>
      <c r="J306" s="51" t="s">
        <v>336</v>
      </c>
      <c r="K306" s="51"/>
    </row>
    <row r="307" spans="1:11" ht="25.5" customHeight="1">
      <c r="A307" s="40">
        <v>303</v>
      </c>
      <c r="B307" s="41" t="s">
        <v>500</v>
      </c>
      <c r="C307" s="42" t="s">
        <v>500</v>
      </c>
      <c r="D307" s="34"/>
      <c r="E307" s="42" t="s">
        <v>501</v>
      </c>
      <c r="F307" s="138" t="s">
        <v>236</v>
      </c>
      <c r="G307" s="152" t="s">
        <v>159</v>
      </c>
      <c r="H307" s="42" t="s">
        <v>502</v>
      </c>
      <c r="I307" s="34" t="s">
        <v>351</v>
      </c>
      <c r="J307" s="34" t="s">
        <v>350</v>
      </c>
      <c r="K307" s="34" t="s">
        <v>794</v>
      </c>
    </row>
    <row r="308" spans="1:11" ht="25.5" customHeight="1">
      <c r="A308" s="40">
        <v>304</v>
      </c>
      <c r="B308" s="41" t="s">
        <v>500</v>
      </c>
      <c r="C308" s="42" t="s">
        <v>500</v>
      </c>
      <c r="D308" s="34"/>
      <c r="E308" s="42" t="s">
        <v>503</v>
      </c>
      <c r="F308" s="138" t="s">
        <v>236</v>
      </c>
      <c r="G308" s="152" t="s">
        <v>159</v>
      </c>
      <c r="H308" s="42" t="s">
        <v>504</v>
      </c>
      <c r="I308" s="34" t="s">
        <v>351</v>
      </c>
      <c r="J308" s="34" t="s">
        <v>350</v>
      </c>
      <c r="K308" s="34" t="s">
        <v>794</v>
      </c>
    </row>
    <row r="309" spans="1:11" ht="25.5" customHeight="1">
      <c r="A309" s="40">
        <v>305</v>
      </c>
      <c r="B309" s="41" t="s">
        <v>500</v>
      </c>
      <c r="C309" s="42" t="s">
        <v>500</v>
      </c>
      <c r="D309" s="34"/>
      <c r="E309" s="42" t="s">
        <v>505</v>
      </c>
      <c r="F309" s="138" t="s">
        <v>236</v>
      </c>
      <c r="G309" s="152" t="s">
        <v>159</v>
      </c>
      <c r="H309" s="42" t="s">
        <v>506</v>
      </c>
      <c r="I309" s="34" t="s">
        <v>352</v>
      </c>
      <c r="J309" s="34" t="s">
        <v>350</v>
      </c>
      <c r="K309" s="34" t="s">
        <v>794</v>
      </c>
    </row>
    <row r="310" spans="1:11" ht="25.5" customHeight="1">
      <c r="A310" s="40">
        <v>306</v>
      </c>
      <c r="B310" s="41" t="s">
        <v>500</v>
      </c>
      <c r="C310" s="42" t="s">
        <v>500</v>
      </c>
      <c r="D310" s="34"/>
      <c r="E310" s="42" t="s">
        <v>507</v>
      </c>
      <c r="F310" s="138" t="s">
        <v>236</v>
      </c>
      <c r="G310" s="152" t="s">
        <v>159</v>
      </c>
      <c r="H310" s="42" t="s">
        <v>508</v>
      </c>
      <c r="I310" s="34" t="s">
        <v>352</v>
      </c>
      <c r="J310" s="34" t="s">
        <v>350</v>
      </c>
      <c r="K310" s="34" t="s">
        <v>823</v>
      </c>
    </row>
    <row r="311" spans="1:11" ht="25.5" customHeight="1">
      <c r="A311" s="40">
        <v>307</v>
      </c>
      <c r="B311" s="41" t="s">
        <v>500</v>
      </c>
      <c r="C311" s="42" t="s">
        <v>500</v>
      </c>
      <c r="D311" s="34"/>
      <c r="E311" s="42" t="s">
        <v>509</v>
      </c>
      <c r="F311" s="138" t="s">
        <v>236</v>
      </c>
      <c r="G311" s="152" t="s">
        <v>159</v>
      </c>
      <c r="H311" s="42" t="s">
        <v>510</v>
      </c>
      <c r="I311" s="34" t="s">
        <v>349</v>
      </c>
      <c r="J311" s="34" t="s">
        <v>350</v>
      </c>
      <c r="K311" s="34" t="s">
        <v>823</v>
      </c>
    </row>
    <row r="312" spans="1:11" ht="25.5" customHeight="1">
      <c r="A312" s="40">
        <v>308</v>
      </c>
      <c r="B312" s="41" t="s">
        <v>500</v>
      </c>
      <c r="C312" s="42" t="s">
        <v>500</v>
      </c>
      <c r="D312" s="34"/>
      <c r="E312" s="42" t="s">
        <v>511</v>
      </c>
      <c r="F312" s="138" t="s">
        <v>236</v>
      </c>
      <c r="G312" s="152" t="s">
        <v>159</v>
      </c>
      <c r="H312" s="42" t="s">
        <v>512</v>
      </c>
      <c r="I312" s="34" t="s">
        <v>349</v>
      </c>
      <c r="J312" s="34" t="s">
        <v>350</v>
      </c>
      <c r="K312" s="34" t="s">
        <v>794</v>
      </c>
    </row>
    <row r="313" spans="1:11" ht="25.5" customHeight="1">
      <c r="A313" s="40">
        <v>309</v>
      </c>
      <c r="B313" s="41" t="s">
        <v>500</v>
      </c>
      <c r="C313" s="42" t="s">
        <v>500</v>
      </c>
      <c r="D313" s="34"/>
      <c r="E313" s="42" t="s">
        <v>513</v>
      </c>
      <c r="F313" s="138" t="s">
        <v>236</v>
      </c>
      <c r="G313" s="152" t="s">
        <v>159</v>
      </c>
      <c r="H313" s="42" t="s">
        <v>514</v>
      </c>
      <c r="I313" s="34" t="s">
        <v>352</v>
      </c>
      <c r="J313" s="34" t="s">
        <v>350</v>
      </c>
      <c r="K313" s="34" t="s">
        <v>822</v>
      </c>
    </row>
    <row r="314" spans="1:11" ht="25.5" customHeight="1">
      <c r="A314" s="46">
        <v>310</v>
      </c>
      <c r="B314" s="47" t="s">
        <v>500</v>
      </c>
      <c r="C314" s="48" t="s">
        <v>500</v>
      </c>
      <c r="D314" s="51"/>
      <c r="E314" s="48" t="s">
        <v>515</v>
      </c>
      <c r="F314" s="151" t="s">
        <v>159</v>
      </c>
      <c r="G314" s="151">
        <v>49000</v>
      </c>
      <c r="H314" s="48" t="s">
        <v>516</v>
      </c>
      <c r="I314" s="51" t="s">
        <v>600</v>
      </c>
      <c r="J314" s="51" t="s">
        <v>46</v>
      </c>
      <c r="K314" s="51"/>
    </row>
    <row r="315" spans="1:11" ht="25.5" customHeight="1">
      <c r="A315" s="46">
        <v>311</v>
      </c>
      <c r="B315" s="47" t="s">
        <v>500</v>
      </c>
      <c r="C315" s="48" t="s">
        <v>500</v>
      </c>
      <c r="D315" s="51"/>
      <c r="E315" s="48" t="s">
        <v>517</v>
      </c>
      <c r="F315" s="151" t="s">
        <v>159</v>
      </c>
      <c r="G315" s="151">
        <v>10000</v>
      </c>
      <c r="H315" s="48" t="s">
        <v>518</v>
      </c>
      <c r="I315" s="51" t="s">
        <v>147</v>
      </c>
      <c r="J315" s="51" t="s">
        <v>46</v>
      </c>
      <c r="K315" s="51"/>
    </row>
    <row r="316" spans="1:11" ht="25.5" customHeight="1">
      <c r="A316" s="46">
        <v>312</v>
      </c>
      <c r="B316" s="47" t="s">
        <v>500</v>
      </c>
      <c r="C316" s="48" t="s">
        <v>500</v>
      </c>
      <c r="D316" s="51"/>
      <c r="E316" s="48" t="s">
        <v>519</v>
      </c>
      <c r="F316" s="151" t="s">
        <v>159</v>
      </c>
      <c r="G316" s="151">
        <v>20000</v>
      </c>
      <c r="H316" s="48" t="s">
        <v>520</v>
      </c>
      <c r="I316" s="51" t="s">
        <v>147</v>
      </c>
      <c r="J316" s="51" t="s">
        <v>46</v>
      </c>
      <c r="K316" s="51"/>
    </row>
    <row r="317" spans="1:11" ht="25.5" customHeight="1">
      <c r="A317" s="46">
        <v>313</v>
      </c>
      <c r="B317" s="47" t="s">
        <v>500</v>
      </c>
      <c r="C317" s="48" t="s">
        <v>500</v>
      </c>
      <c r="D317" s="51"/>
      <c r="E317" s="48" t="s">
        <v>521</v>
      </c>
      <c r="F317" s="151" t="s">
        <v>159</v>
      </c>
      <c r="G317" s="151">
        <v>20000</v>
      </c>
      <c r="H317" s="48" t="s">
        <v>522</v>
      </c>
      <c r="I317" s="51" t="s">
        <v>147</v>
      </c>
      <c r="J317" s="51" t="s">
        <v>46</v>
      </c>
      <c r="K317" s="51" t="s">
        <v>794</v>
      </c>
    </row>
    <row r="318" spans="1:11" ht="25.5" customHeight="1">
      <c r="A318" s="46">
        <v>314</v>
      </c>
      <c r="B318" s="47" t="s">
        <v>500</v>
      </c>
      <c r="C318" s="48" t="s">
        <v>500</v>
      </c>
      <c r="D318" s="51"/>
      <c r="E318" s="48" t="s">
        <v>523</v>
      </c>
      <c r="F318" s="151" t="s">
        <v>159</v>
      </c>
      <c r="G318" s="151">
        <v>25000</v>
      </c>
      <c r="H318" s="48" t="s">
        <v>524</v>
      </c>
      <c r="I318" s="51" t="s">
        <v>147</v>
      </c>
      <c r="J318" s="51" t="s">
        <v>46</v>
      </c>
      <c r="K318" s="51" t="s">
        <v>794</v>
      </c>
    </row>
    <row r="319" spans="1:11" ht="25.5" customHeight="1">
      <c r="A319" s="46">
        <v>315</v>
      </c>
      <c r="B319" s="47" t="s">
        <v>500</v>
      </c>
      <c r="C319" s="48" t="s">
        <v>500</v>
      </c>
      <c r="D319" s="51"/>
      <c r="E319" s="48" t="s">
        <v>525</v>
      </c>
      <c r="F319" s="151" t="s">
        <v>159</v>
      </c>
      <c r="G319" s="151">
        <v>20000</v>
      </c>
      <c r="H319" s="48" t="s">
        <v>526</v>
      </c>
      <c r="I319" s="51" t="s">
        <v>147</v>
      </c>
      <c r="J319" s="51" t="s">
        <v>46</v>
      </c>
      <c r="K319" s="51"/>
    </row>
    <row r="320" spans="1:11" ht="25.5" customHeight="1">
      <c r="A320" s="46">
        <v>316</v>
      </c>
      <c r="B320" s="47" t="s">
        <v>500</v>
      </c>
      <c r="C320" s="48" t="s">
        <v>500</v>
      </c>
      <c r="D320" s="51"/>
      <c r="E320" s="48" t="s">
        <v>527</v>
      </c>
      <c r="F320" s="151" t="s">
        <v>159</v>
      </c>
      <c r="G320" s="151">
        <v>4000</v>
      </c>
      <c r="H320" s="48" t="s">
        <v>528</v>
      </c>
      <c r="I320" s="51" t="s">
        <v>147</v>
      </c>
      <c r="J320" s="51" t="s">
        <v>46</v>
      </c>
      <c r="K320" s="51"/>
    </row>
    <row r="321" spans="1:11" ht="25.5" customHeight="1">
      <c r="A321" s="46">
        <v>317</v>
      </c>
      <c r="B321" s="47" t="s">
        <v>500</v>
      </c>
      <c r="C321" s="48" t="s">
        <v>500</v>
      </c>
      <c r="D321" s="51"/>
      <c r="E321" s="48" t="s">
        <v>529</v>
      </c>
      <c r="F321" s="151" t="s">
        <v>159</v>
      </c>
      <c r="G321" s="151">
        <v>25000</v>
      </c>
      <c r="H321" s="48" t="s">
        <v>530</v>
      </c>
      <c r="I321" s="51" t="s">
        <v>600</v>
      </c>
      <c r="J321" s="51" t="s">
        <v>46</v>
      </c>
      <c r="K321" s="51" t="s">
        <v>823</v>
      </c>
    </row>
    <row r="322" spans="1:11" ht="25.5" customHeight="1">
      <c r="A322" s="40">
        <v>318</v>
      </c>
      <c r="B322" s="41" t="s">
        <v>500</v>
      </c>
      <c r="C322" s="42" t="s">
        <v>500</v>
      </c>
      <c r="D322" s="34"/>
      <c r="E322" s="42" t="s">
        <v>531</v>
      </c>
      <c r="F322" s="138" t="s">
        <v>236</v>
      </c>
      <c r="G322" s="152" t="s">
        <v>159</v>
      </c>
      <c r="H322" s="42" t="s">
        <v>532</v>
      </c>
      <c r="I322" s="34" t="s">
        <v>352</v>
      </c>
      <c r="J322" s="34" t="s">
        <v>350</v>
      </c>
      <c r="K322" s="34" t="s">
        <v>823</v>
      </c>
    </row>
    <row r="323" spans="1:11" ht="25.5" customHeight="1">
      <c r="A323" s="40">
        <v>319</v>
      </c>
      <c r="B323" s="41" t="s">
        <v>500</v>
      </c>
      <c r="C323" s="42" t="s">
        <v>500</v>
      </c>
      <c r="D323" s="34"/>
      <c r="E323" s="42" t="s">
        <v>533</v>
      </c>
      <c r="F323" s="138" t="s">
        <v>236</v>
      </c>
      <c r="G323" s="152" t="s">
        <v>159</v>
      </c>
      <c r="H323" s="42" t="s">
        <v>534</v>
      </c>
      <c r="I323" s="34" t="s">
        <v>352</v>
      </c>
      <c r="J323" s="34" t="s">
        <v>350</v>
      </c>
      <c r="K323" s="34"/>
    </row>
    <row r="324" spans="1:11" ht="25.5" customHeight="1">
      <c r="A324" s="40">
        <v>320</v>
      </c>
      <c r="B324" s="41" t="s">
        <v>535</v>
      </c>
      <c r="C324" s="42" t="s">
        <v>536</v>
      </c>
      <c r="D324" s="34"/>
      <c r="E324" s="42" t="s">
        <v>537</v>
      </c>
      <c r="F324" s="152">
        <v>100000</v>
      </c>
      <c r="G324" s="152" t="s">
        <v>159</v>
      </c>
      <c r="H324" s="42" t="s">
        <v>538</v>
      </c>
      <c r="I324" s="34" t="s">
        <v>145</v>
      </c>
      <c r="J324" s="34" t="s">
        <v>146</v>
      </c>
      <c r="K324" s="34" t="s">
        <v>823</v>
      </c>
    </row>
    <row r="325" spans="1:11" ht="25.5" customHeight="1">
      <c r="A325" s="40">
        <v>321</v>
      </c>
      <c r="B325" s="41" t="s">
        <v>535</v>
      </c>
      <c r="C325" s="42" t="s">
        <v>536</v>
      </c>
      <c r="D325" s="34"/>
      <c r="E325" s="42" t="s">
        <v>539</v>
      </c>
      <c r="F325" s="152">
        <v>500000</v>
      </c>
      <c r="G325" s="152" t="s">
        <v>159</v>
      </c>
      <c r="H325" s="42" t="s">
        <v>540</v>
      </c>
      <c r="I325" s="34" t="s">
        <v>713</v>
      </c>
      <c r="J325" s="34" t="s">
        <v>601</v>
      </c>
      <c r="K325" s="34" t="s">
        <v>794</v>
      </c>
    </row>
    <row r="326" spans="1:11" ht="25.5" customHeight="1">
      <c r="A326" s="40">
        <v>322</v>
      </c>
      <c r="B326" s="41" t="s">
        <v>535</v>
      </c>
      <c r="C326" s="42" t="s">
        <v>536</v>
      </c>
      <c r="D326" s="34"/>
      <c r="E326" s="42" t="s">
        <v>541</v>
      </c>
      <c r="F326" s="152">
        <v>80000</v>
      </c>
      <c r="G326" s="152" t="s">
        <v>159</v>
      </c>
      <c r="H326" s="42" t="s">
        <v>542</v>
      </c>
      <c r="I326" s="34" t="s">
        <v>612</v>
      </c>
      <c r="J326" s="34" t="s">
        <v>602</v>
      </c>
      <c r="K326" s="34" t="s">
        <v>794</v>
      </c>
    </row>
    <row r="327" spans="1:11" ht="25.5" customHeight="1">
      <c r="A327" s="40">
        <v>323</v>
      </c>
      <c r="B327" s="41" t="s">
        <v>535</v>
      </c>
      <c r="C327" s="42" t="s">
        <v>536</v>
      </c>
      <c r="D327" s="34"/>
      <c r="E327" s="42" t="s">
        <v>543</v>
      </c>
      <c r="F327" s="152">
        <v>30000</v>
      </c>
      <c r="G327" s="152" t="s">
        <v>159</v>
      </c>
      <c r="H327" s="45" t="s">
        <v>544</v>
      </c>
      <c r="I327" s="34" t="s">
        <v>369</v>
      </c>
      <c r="J327" s="34" t="s">
        <v>603</v>
      </c>
      <c r="K327" s="34"/>
    </row>
    <row r="328" spans="1:11" ht="25.5" customHeight="1">
      <c r="A328" s="40">
        <v>324</v>
      </c>
      <c r="B328" s="41" t="s">
        <v>535</v>
      </c>
      <c r="C328" s="42" t="s">
        <v>536</v>
      </c>
      <c r="D328" s="34"/>
      <c r="E328" s="42" t="s">
        <v>543</v>
      </c>
      <c r="F328" s="152" t="s">
        <v>159</v>
      </c>
      <c r="G328" s="152">
        <v>30000</v>
      </c>
      <c r="H328" s="45" t="s">
        <v>542</v>
      </c>
      <c r="I328" s="34" t="s">
        <v>369</v>
      </c>
      <c r="J328" s="34" t="s">
        <v>603</v>
      </c>
      <c r="K328" s="34"/>
    </row>
    <row r="329" spans="1:11" ht="25.5" customHeight="1">
      <c r="A329" s="40">
        <v>325</v>
      </c>
      <c r="B329" s="41" t="s">
        <v>535</v>
      </c>
      <c r="C329" s="42" t="s">
        <v>536</v>
      </c>
      <c r="D329" s="34"/>
      <c r="E329" s="42" t="s">
        <v>545</v>
      </c>
      <c r="F329" s="152">
        <v>30000</v>
      </c>
      <c r="G329" s="152" t="s">
        <v>159</v>
      </c>
      <c r="H329" s="45" t="s">
        <v>544</v>
      </c>
      <c r="I329" s="34" t="s">
        <v>369</v>
      </c>
      <c r="J329" s="34" t="s">
        <v>603</v>
      </c>
      <c r="K329" s="34"/>
    </row>
    <row r="330" spans="1:11" ht="25.5" customHeight="1">
      <c r="A330" s="40">
        <v>326</v>
      </c>
      <c r="B330" s="41" t="s">
        <v>535</v>
      </c>
      <c r="C330" s="42" t="s">
        <v>536</v>
      </c>
      <c r="D330" s="34"/>
      <c r="E330" s="42" t="s">
        <v>545</v>
      </c>
      <c r="F330" s="152" t="s">
        <v>159</v>
      </c>
      <c r="G330" s="152">
        <v>30000</v>
      </c>
      <c r="H330" s="45" t="s">
        <v>542</v>
      </c>
      <c r="I330" s="34" t="s">
        <v>369</v>
      </c>
      <c r="J330" s="34" t="s">
        <v>603</v>
      </c>
      <c r="K330" s="34"/>
    </row>
    <row r="331" spans="1:11" ht="25.5" customHeight="1">
      <c r="A331" s="40">
        <v>327</v>
      </c>
      <c r="B331" s="41" t="s">
        <v>535</v>
      </c>
      <c r="C331" s="42" t="s">
        <v>536</v>
      </c>
      <c r="D331" s="34"/>
      <c r="E331" s="42" t="s">
        <v>546</v>
      </c>
      <c r="F331" s="152">
        <v>30000</v>
      </c>
      <c r="G331" s="152" t="s">
        <v>159</v>
      </c>
      <c r="H331" s="42" t="s">
        <v>544</v>
      </c>
      <c r="I331" s="34" t="s">
        <v>604</v>
      </c>
      <c r="J331" s="34" t="s">
        <v>603</v>
      </c>
      <c r="K331" s="34"/>
    </row>
    <row r="332" spans="1:11" ht="25.5" customHeight="1">
      <c r="A332" s="40">
        <v>328</v>
      </c>
      <c r="B332" s="41" t="s">
        <v>535</v>
      </c>
      <c r="C332" s="42" t="s">
        <v>536</v>
      </c>
      <c r="D332" s="34"/>
      <c r="E332" s="42" t="s">
        <v>547</v>
      </c>
      <c r="F332" s="152">
        <v>30000</v>
      </c>
      <c r="G332" s="152" t="s">
        <v>159</v>
      </c>
      <c r="H332" s="42" t="s">
        <v>548</v>
      </c>
      <c r="I332" s="34" t="s">
        <v>605</v>
      </c>
      <c r="J332" s="34" t="s">
        <v>603</v>
      </c>
      <c r="K332" s="34"/>
    </row>
    <row r="333" spans="1:11" ht="25.5" customHeight="1">
      <c r="A333" s="40">
        <v>329</v>
      </c>
      <c r="B333" s="41" t="s">
        <v>535</v>
      </c>
      <c r="C333" s="42" t="s">
        <v>536</v>
      </c>
      <c r="D333" s="34"/>
      <c r="E333" s="42" t="s">
        <v>549</v>
      </c>
      <c r="F333" s="152">
        <v>30000</v>
      </c>
      <c r="G333" s="152" t="s">
        <v>159</v>
      </c>
      <c r="H333" s="42" t="s">
        <v>550</v>
      </c>
      <c r="I333" s="34" t="s">
        <v>11</v>
      </c>
      <c r="J333" s="34" t="s">
        <v>603</v>
      </c>
      <c r="K333" s="34"/>
    </row>
    <row r="334" spans="1:11" ht="25.5" customHeight="1">
      <c r="A334" s="40">
        <v>330</v>
      </c>
      <c r="B334" s="41" t="s">
        <v>535</v>
      </c>
      <c r="C334" s="42" t="s">
        <v>536</v>
      </c>
      <c r="D334" s="34"/>
      <c r="E334" s="42" t="s">
        <v>551</v>
      </c>
      <c r="F334" s="152">
        <v>30000</v>
      </c>
      <c r="G334" s="152" t="s">
        <v>159</v>
      </c>
      <c r="H334" s="45" t="s">
        <v>552</v>
      </c>
      <c r="I334" s="34" t="s">
        <v>606</v>
      </c>
      <c r="J334" s="34" t="s">
        <v>603</v>
      </c>
      <c r="K334" s="34"/>
    </row>
    <row r="335" spans="1:11" ht="25.5" customHeight="1">
      <c r="A335" s="40">
        <v>331</v>
      </c>
      <c r="B335" s="41" t="s">
        <v>535</v>
      </c>
      <c r="C335" s="42" t="s">
        <v>536</v>
      </c>
      <c r="D335" s="34"/>
      <c r="E335" s="42" t="s">
        <v>553</v>
      </c>
      <c r="F335" s="152">
        <v>30000</v>
      </c>
      <c r="G335" s="152" t="s">
        <v>159</v>
      </c>
      <c r="H335" s="42" t="s">
        <v>554</v>
      </c>
      <c r="I335" s="34" t="s">
        <v>86</v>
      </c>
      <c r="J335" s="34" t="s">
        <v>603</v>
      </c>
      <c r="K335" s="34"/>
    </row>
    <row r="336" spans="1:11" ht="25.5" customHeight="1">
      <c r="A336" s="40">
        <v>332</v>
      </c>
      <c r="B336" s="41" t="s">
        <v>535</v>
      </c>
      <c r="C336" s="42" t="s">
        <v>536</v>
      </c>
      <c r="D336" s="34"/>
      <c r="E336" s="42" t="s">
        <v>555</v>
      </c>
      <c r="F336" s="152">
        <v>30000</v>
      </c>
      <c r="G336" s="152" t="s">
        <v>159</v>
      </c>
      <c r="H336" s="42" t="s">
        <v>556</v>
      </c>
      <c r="I336" s="34" t="s">
        <v>411</v>
      </c>
      <c r="J336" s="34" t="s">
        <v>603</v>
      </c>
      <c r="K336" s="34"/>
    </row>
    <row r="337" spans="1:11" ht="25.5" customHeight="1">
      <c r="A337" s="40">
        <v>333</v>
      </c>
      <c r="B337" s="41" t="s">
        <v>535</v>
      </c>
      <c r="C337" s="42" t="s">
        <v>536</v>
      </c>
      <c r="D337" s="34"/>
      <c r="E337" s="42" t="s">
        <v>557</v>
      </c>
      <c r="F337" s="152">
        <v>30000</v>
      </c>
      <c r="G337" s="152" t="s">
        <v>159</v>
      </c>
      <c r="H337" s="45" t="s">
        <v>558</v>
      </c>
      <c r="I337" s="34" t="s">
        <v>149</v>
      </c>
      <c r="J337" s="34" t="s">
        <v>603</v>
      </c>
      <c r="K337" s="34"/>
    </row>
    <row r="338" spans="1:11" ht="25.5" customHeight="1">
      <c r="A338" s="40">
        <v>334</v>
      </c>
      <c r="B338" s="41" t="s">
        <v>535</v>
      </c>
      <c r="C338" s="42" t="s">
        <v>536</v>
      </c>
      <c r="D338" s="34"/>
      <c r="E338" s="42" t="s">
        <v>559</v>
      </c>
      <c r="F338" s="152">
        <v>30000</v>
      </c>
      <c r="G338" s="152" t="s">
        <v>159</v>
      </c>
      <c r="H338" s="45" t="s">
        <v>560</v>
      </c>
      <c r="I338" s="34" t="s">
        <v>365</v>
      </c>
      <c r="J338" s="34" t="s">
        <v>603</v>
      </c>
      <c r="K338" s="34"/>
    </row>
    <row r="339" spans="1:11" ht="25.5" customHeight="1">
      <c r="A339" s="40">
        <v>335</v>
      </c>
      <c r="B339" s="41" t="s">
        <v>535</v>
      </c>
      <c r="C339" s="42" t="s">
        <v>536</v>
      </c>
      <c r="D339" s="34"/>
      <c r="E339" s="42" t="s">
        <v>561</v>
      </c>
      <c r="F339" s="152">
        <v>30000</v>
      </c>
      <c r="G339" s="152" t="s">
        <v>159</v>
      </c>
      <c r="H339" s="45" t="s">
        <v>562</v>
      </c>
      <c r="I339" s="34" t="s">
        <v>369</v>
      </c>
      <c r="J339" s="34" t="s">
        <v>603</v>
      </c>
      <c r="K339" s="34"/>
    </row>
    <row r="340" spans="1:11" ht="25.5" customHeight="1">
      <c r="A340" s="40">
        <v>336</v>
      </c>
      <c r="B340" s="41" t="s">
        <v>535</v>
      </c>
      <c r="C340" s="42" t="s">
        <v>536</v>
      </c>
      <c r="D340" s="34"/>
      <c r="E340" s="42" t="s">
        <v>563</v>
      </c>
      <c r="F340" s="152">
        <v>30000</v>
      </c>
      <c r="G340" s="152" t="s">
        <v>159</v>
      </c>
      <c r="H340" s="42" t="s">
        <v>564</v>
      </c>
      <c r="I340" s="34" t="s">
        <v>37</v>
      </c>
      <c r="J340" s="34" t="s">
        <v>603</v>
      </c>
      <c r="K340" s="34"/>
    </row>
    <row r="341" spans="1:11" ht="25.5" customHeight="1">
      <c r="A341" s="40">
        <v>337</v>
      </c>
      <c r="B341" s="41" t="s">
        <v>565</v>
      </c>
      <c r="C341" s="42" t="s">
        <v>536</v>
      </c>
      <c r="D341" s="34"/>
      <c r="E341" s="42" t="s">
        <v>566</v>
      </c>
      <c r="F341" s="152">
        <v>35000</v>
      </c>
      <c r="G341" s="152" t="s">
        <v>159</v>
      </c>
      <c r="H341" s="42" t="s">
        <v>567</v>
      </c>
      <c r="I341" s="34" t="s">
        <v>612</v>
      </c>
      <c r="J341" s="34" t="s">
        <v>602</v>
      </c>
      <c r="K341" s="34"/>
    </row>
    <row r="342" spans="1:11" ht="25.5" customHeight="1">
      <c r="A342" s="40">
        <v>338</v>
      </c>
      <c r="B342" s="41" t="s">
        <v>565</v>
      </c>
      <c r="C342" s="42" t="s">
        <v>536</v>
      </c>
      <c r="D342" s="34"/>
      <c r="E342" s="42" t="s">
        <v>568</v>
      </c>
      <c r="F342" s="152">
        <v>100000</v>
      </c>
      <c r="G342" s="152" t="s">
        <v>159</v>
      </c>
      <c r="H342" s="42" t="s">
        <v>569</v>
      </c>
      <c r="I342" s="34" t="s">
        <v>613</v>
      </c>
      <c r="J342" s="34" t="s">
        <v>602</v>
      </c>
      <c r="K342" s="34" t="s">
        <v>794</v>
      </c>
    </row>
    <row r="343" spans="1:11" ht="25.5" customHeight="1">
      <c r="A343" s="40">
        <v>339</v>
      </c>
      <c r="B343" s="41" t="s">
        <v>536</v>
      </c>
      <c r="C343" s="42" t="s">
        <v>536</v>
      </c>
      <c r="D343" s="34"/>
      <c r="E343" s="42" t="s">
        <v>570</v>
      </c>
      <c r="F343" s="152">
        <v>30000</v>
      </c>
      <c r="G343" s="152" t="s">
        <v>159</v>
      </c>
      <c r="H343" s="42" t="s">
        <v>571</v>
      </c>
      <c r="I343" s="34" t="s">
        <v>607</v>
      </c>
      <c r="J343" s="34" t="s">
        <v>603</v>
      </c>
      <c r="K343" s="34"/>
    </row>
    <row r="344" spans="1:11" ht="25.5" customHeight="1">
      <c r="A344" s="40">
        <v>340</v>
      </c>
      <c r="B344" s="41" t="s">
        <v>536</v>
      </c>
      <c r="C344" s="42" t="s">
        <v>536</v>
      </c>
      <c r="D344" s="34"/>
      <c r="E344" s="42" t="s">
        <v>572</v>
      </c>
      <c r="F344" s="152">
        <v>38000</v>
      </c>
      <c r="G344" s="152" t="s">
        <v>159</v>
      </c>
      <c r="H344" s="42" t="s">
        <v>573</v>
      </c>
      <c r="I344" s="34" t="s">
        <v>611</v>
      </c>
      <c r="J344" s="34" t="s">
        <v>602</v>
      </c>
      <c r="K344" s="34" t="s">
        <v>823</v>
      </c>
    </row>
    <row r="345" spans="1:11" ht="25.5" customHeight="1">
      <c r="A345" s="40">
        <v>341</v>
      </c>
      <c r="B345" s="41" t="s">
        <v>536</v>
      </c>
      <c r="C345" s="42" t="s">
        <v>536</v>
      </c>
      <c r="D345" s="34"/>
      <c r="E345" s="42" t="s">
        <v>574</v>
      </c>
      <c r="F345" s="152">
        <v>80000</v>
      </c>
      <c r="G345" s="152" t="s">
        <v>159</v>
      </c>
      <c r="H345" s="42" t="s">
        <v>575</v>
      </c>
      <c r="I345" s="34" t="s">
        <v>612</v>
      </c>
      <c r="J345" s="34" t="s">
        <v>602</v>
      </c>
      <c r="K345" s="34" t="s">
        <v>823</v>
      </c>
    </row>
    <row r="346" spans="1:11" ht="25.5" customHeight="1">
      <c r="A346" s="40">
        <v>342</v>
      </c>
      <c r="B346" s="41" t="s">
        <v>576</v>
      </c>
      <c r="C346" s="42" t="s">
        <v>576</v>
      </c>
      <c r="D346" s="34"/>
      <c r="E346" s="42" t="s">
        <v>577</v>
      </c>
      <c r="F346" s="152">
        <v>32000</v>
      </c>
      <c r="G346" s="152" t="s">
        <v>159</v>
      </c>
      <c r="H346" s="42" t="s">
        <v>578</v>
      </c>
      <c r="I346" s="34" t="s">
        <v>613</v>
      </c>
      <c r="J346" s="34" t="s">
        <v>602</v>
      </c>
      <c r="K346" s="34" t="s">
        <v>823</v>
      </c>
    </row>
    <row r="347" spans="1:11" ht="25.5" customHeight="1">
      <c r="A347" s="40">
        <v>343</v>
      </c>
      <c r="B347" s="41" t="s">
        <v>576</v>
      </c>
      <c r="C347" s="42" t="s">
        <v>576</v>
      </c>
      <c r="D347" s="34"/>
      <c r="E347" s="42" t="s">
        <v>579</v>
      </c>
      <c r="F347" s="152">
        <v>67000</v>
      </c>
      <c r="G347" s="152" t="s">
        <v>159</v>
      </c>
      <c r="H347" s="42" t="s">
        <v>580</v>
      </c>
      <c r="I347" s="34" t="s">
        <v>611</v>
      </c>
      <c r="J347" s="34" t="s">
        <v>602</v>
      </c>
      <c r="K347" s="34" t="s">
        <v>823</v>
      </c>
    </row>
    <row r="348" spans="1:11" ht="25.5" customHeight="1">
      <c r="A348" s="40">
        <v>344</v>
      </c>
      <c r="B348" s="41" t="s">
        <v>576</v>
      </c>
      <c r="C348" s="42" t="s">
        <v>576</v>
      </c>
      <c r="D348" s="34"/>
      <c r="E348" s="42" t="s">
        <v>581</v>
      </c>
      <c r="F348" s="152">
        <v>85000</v>
      </c>
      <c r="G348" s="152" t="s">
        <v>159</v>
      </c>
      <c r="H348" s="42" t="s">
        <v>582</v>
      </c>
      <c r="I348" s="34" t="s">
        <v>612</v>
      </c>
      <c r="J348" s="34" t="s">
        <v>602</v>
      </c>
      <c r="K348" s="34" t="s">
        <v>794</v>
      </c>
    </row>
    <row r="349" spans="1:11" s="69" customFormat="1" ht="25.5" customHeight="1">
      <c r="A349" s="46">
        <v>345</v>
      </c>
      <c r="B349" s="47" t="s">
        <v>583</v>
      </c>
      <c r="C349" s="48" t="s">
        <v>583</v>
      </c>
      <c r="D349" s="51"/>
      <c r="E349" s="48" t="s">
        <v>584</v>
      </c>
      <c r="F349" s="151" t="s">
        <v>159</v>
      </c>
      <c r="G349" s="151">
        <v>100000</v>
      </c>
      <c r="H349" s="48" t="s">
        <v>585</v>
      </c>
      <c r="I349" s="51" t="s">
        <v>153</v>
      </c>
      <c r="J349" s="51" t="s">
        <v>608</v>
      </c>
      <c r="K349" s="51" t="s">
        <v>823</v>
      </c>
    </row>
    <row r="350" spans="1:11" s="69" customFormat="1" ht="25.5" customHeight="1">
      <c r="A350" s="46">
        <v>346</v>
      </c>
      <c r="B350" s="47" t="s">
        <v>583</v>
      </c>
      <c r="C350" s="48" t="s">
        <v>583</v>
      </c>
      <c r="D350" s="51"/>
      <c r="E350" s="48" t="s">
        <v>586</v>
      </c>
      <c r="F350" s="151" t="s">
        <v>159</v>
      </c>
      <c r="G350" s="151">
        <v>100000</v>
      </c>
      <c r="H350" s="48" t="s">
        <v>587</v>
      </c>
      <c r="I350" s="51" t="s">
        <v>153</v>
      </c>
      <c r="J350" s="51" t="s">
        <v>311</v>
      </c>
      <c r="K350" s="51"/>
    </row>
    <row r="351" spans="1:11" ht="25.5" customHeight="1">
      <c r="A351" s="40">
        <v>347</v>
      </c>
      <c r="B351" s="41" t="s">
        <v>583</v>
      </c>
      <c r="C351" s="42" t="s">
        <v>583</v>
      </c>
      <c r="D351" s="34"/>
      <c r="E351" s="42" t="s">
        <v>588</v>
      </c>
      <c r="F351" s="152">
        <v>98000</v>
      </c>
      <c r="G351" s="152" t="s">
        <v>159</v>
      </c>
      <c r="H351" s="42" t="s">
        <v>589</v>
      </c>
      <c r="I351" s="34" t="s">
        <v>475</v>
      </c>
      <c r="J351" s="34" t="s">
        <v>620</v>
      </c>
      <c r="K351" s="34"/>
    </row>
    <row r="352" spans="1:11" ht="25.5" customHeight="1">
      <c r="A352" s="40">
        <v>348</v>
      </c>
      <c r="B352" s="41" t="s">
        <v>583</v>
      </c>
      <c r="C352" s="42" t="s">
        <v>583</v>
      </c>
      <c r="D352" s="34"/>
      <c r="E352" s="42" t="s">
        <v>590</v>
      </c>
      <c r="F352" s="152">
        <v>61500</v>
      </c>
      <c r="G352" s="152" t="s">
        <v>159</v>
      </c>
      <c r="H352" s="42" t="s">
        <v>591</v>
      </c>
      <c r="I352" s="34" t="s">
        <v>609</v>
      </c>
      <c r="J352" s="34" t="s">
        <v>146</v>
      </c>
      <c r="K352" s="34" t="s">
        <v>823</v>
      </c>
    </row>
    <row r="353" spans="1:11" ht="25.5" customHeight="1">
      <c r="A353" s="40">
        <v>349</v>
      </c>
      <c r="B353" s="41" t="s">
        <v>583</v>
      </c>
      <c r="C353" s="42" t="s">
        <v>583</v>
      </c>
      <c r="D353" s="34"/>
      <c r="E353" s="42" t="s">
        <v>592</v>
      </c>
      <c r="F353" s="152">
        <v>80000</v>
      </c>
      <c r="G353" s="152" t="s">
        <v>159</v>
      </c>
      <c r="H353" s="34">
        <v>996785.9</v>
      </c>
      <c r="I353" s="34" t="s">
        <v>611</v>
      </c>
      <c r="J353" s="34" t="s">
        <v>602</v>
      </c>
      <c r="K353" s="34" t="s">
        <v>794</v>
      </c>
    </row>
    <row r="354" spans="1:11" s="69" customFormat="1" ht="25.5" customHeight="1">
      <c r="A354" s="46">
        <v>350</v>
      </c>
      <c r="B354" s="47" t="s">
        <v>583</v>
      </c>
      <c r="C354" s="48" t="s">
        <v>583</v>
      </c>
      <c r="D354" s="51"/>
      <c r="E354" s="51" t="s">
        <v>593</v>
      </c>
      <c r="F354" s="151" t="s">
        <v>159</v>
      </c>
      <c r="G354" s="151">
        <v>374354</v>
      </c>
      <c r="H354" s="48" t="s">
        <v>594</v>
      </c>
      <c r="I354" s="51" t="s">
        <v>610</v>
      </c>
      <c r="J354" s="51" t="s">
        <v>465</v>
      </c>
      <c r="K354" s="51"/>
    </row>
    <row r="355" spans="1:11" s="69" customFormat="1" ht="25.5" customHeight="1">
      <c r="A355" s="46">
        <v>351</v>
      </c>
      <c r="B355" s="47" t="s">
        <v>583</v>
      </c>
      <c r="C355" s="48" t="s">
        <v>583</v>
      </c>
      <c r="D355" s="51"/>
      <c r="E355" s="51" t="s">
        <v>595</v>
      </c>
      <c r="F355" s="151" t="s">
        <v>159</v>
      </c>
      <c r="G355" s="151">
        <v>322661</v>
      </c>
      <c r="H355" s="48" t="s">
        <v>596</v>
      </c>
      <c r="I355" s="51" t="s">
        <v>610</v>
      </c>
      <c r="J355" s="51" t="s">
        <v>467</v>
      </c>
      <c r="K355" s="51" t="s">
        <v>823</v>
      </c>
    </row>
    <row r="356" spans="1:11" ht="25.5" customHeight="1">
      <c r="A356" s="40">
        <v>352</v>
      </c>
      <c r="B356" s="41" t="s">
        <v>622</v>
      </c>
      <c r="C356" s="42" t="s">
        <v>622</v>
      </c>
      <c r="D356" s="34"/>
      <c r="E356" s="42" t="s">
        <v>623</v>
      </c>
      <c r="F356" s="152">
        <v>29000</v>
      </c>
      <c r="G356" s="152" t="s">
        <v>159</v>
      </c>
      <c r="H356" s="42" t="s">
        <v>624</v>
      </c>
      <c r="I356" s="34" t="s">
        <v>614</v>
      </c>
      <c r="J356" s="34" t="s">
        <v>597</v>
      </c>
      <c r="K356" s="34" t="s">
        <v>829</v>
      </c>
    </row>
    <row r="357" spans="1:11" ht="25.5" customHeight="1">
      <c r="A357" s="40">
        <v>353</v>
      </c>
      <c r="B357" s="41" t="s">
        <v>622</v>
      </c>
      <c r="C357" s="42" t="s">
        <v>622</v>
      </c>
      <c r="D357" s="34"/>
      <c r="E357" s="42" t="s">
        <v>625</v>
      </c>
      <c r="F357" s="152">
        <v>34000</v>
      </c>
      <c r="G357" s="152" t="s">
        <v>159</v>
      </c>
      <c r="H357" s="42" t="s">
        <v>626</v>
      </c>
      <c r="I357" s="34" t="s">
        <v>613</v>
      </c>
      <c r="J357" s="34" t="s">
        <v>696</v>
      </c>
      <c r="K357" s="34" t="s">
        <v>794</v>
      </c>
    </row>
    <row r="358" spans="1:11" ht="25.5" customHeight="1">
      <c r="A358" s="40">
        <v>354</v>
      </c>
      <c r="B358" s="41" t="s">
        <v>622</v>
      </c>
      <c r="C358" s="42" t="s">
        <v>622</v>
      </c>
      <c r="D358" s="34"/>
      <c r="E358" s="42" t="s">
        <v>627</v>
      </c>
      <c r="F358" s="152" t="s">
        <v>159</v>
      </c>
      <c r="G358" s="152">
        <v>400000</v>
      </c>
      <c r="H358" s="42" t="s">
        <v>628</v>
      </c>
      <c r="I358" s="34" t="s">
        <v>718</v>
      </c>
      <c r="J358" s="34" t="s">
        <v>697</v>
      </c>
      <c r="K358" s="34"/>
    </row>
    <row r="359" spans="1:11" ht="25.5" customHeight="1">
      <c r="A359" s="40">
        <v>355</v>
      </c>
      <c r="B359" s="41" t="s">
        <v>622</v>
      </c>
      <c r="C359" s="42" t="s">
        <v>622</v>
      </c>
      <c r="D359" s="34"/>
      <c r="E359" s="42" t="s">
        <v>629</v>
      </c>
      <c r="F359" s="152">
        <v>35000</v>
      </c>
      <c r="G359" s="152" t="s">
        <v>159</v>
      </c>
      <c r="H359" s="42" t="s">
        <v>630</v>
      </c>
      <c r="I359" s="34" t="s">
        <v>611</v>
      </c>
      <c r="J359" s="34" t="s">
        <v>696</v>
      </c>
      <c r="K359" s="34" t="s">
        <v>823</v>
      </c>
    </row>
    <row r="360" spans="1:11" ht="25.5" customHeight="1">
      <c r="A360" s="40">
        <v>356</v>
      </c>
      <c r="B360" s="41" t="s">
        <v>622</v>
      </c>
      <c r="C360" s="42" t="s">
        <v>622</v>
      </c>
      <c r="D360" s="34"/>
      <c r="E360" s="42" t="s">
        <v>631</v>
      </c>
      <c r="F360" s="152">
        <v>80000</v>
      </c>
      <c r="G360" s="152" t="s">
        <v>159</v>
      </c>
      <c r="H360" s="42" t="s">
        <v>632</v>
      </c>
      <c r="I360" s="34" t="s">
        <v>612</v>
      </c>
      <c r="J360" s="34" t="s">
        <v>696</v>
      </c>
      <c r="K360" s="34" t="s">
        <v>794</v>
      </c>
    </row>
    <row r="361" spans="1:11" ht="25.5" customHeight="1">
      <c r="A361" s="40">
        <v>357</v>
      </c>
      <c r="B361" s="41" t="s">
        <v>622</v>
      </c>
      <c r="C361" s="42" t="s">
        <v>622</v>
      </c>
      <c r="D361" s="34"/>
      <c r="E361" s="42" t="s">
        <v>633</v>
      </c>
      <c r="F361" s="152">
        <v>235000</v>
      </c>
      <c r="G361" s="152" t="s">
        <v>159</v>
      </c>
      <c r="H361" s="42" t="s">
        <v>634</v>
      </c>
      <c r="I361" s="34" t="s">
        <v>614</v>
      </c>
      <c r="J361" s="34" t="s">
        <v>597</v>
      </c>
      <c r="K361" s="34" t="s">
        <v>830</v>
      </c>
    </row>
    <row r="362" spans="1:11" ht="25.5" customHeight="1">
      <c r="A362" s="40">
        <v>358</v>
      </c>
      <c r="B362" s="41" t="s">
        <v>622</v>
      </c>
      <c r="C362" s="42" t="s">
        <v>622</v>
      </c>
      <c r="D362" s="34"/>
      <c r="E362" s="42" t="s">
        <v>635</v>
      </c>
      <c r="F362" s="152" t="s">
        <v>159</v>
      </c>
      <c r="G362" s="152">
        <v>30000</v>
      </c>
      <c r="H362" s="42" t="s">
        <v>636</v>
      </c>
      <c r="I362" s="34" t="s">
        <v>147</v>
      </c>
      <c r="J362" s="34" t="s">
        <v>697</v>
      </c>
      <c r="K362" s="34"/>
    </row>
    <row r="363" spans="1:11" ht="25.5" customHeight="1">
      <c r="A363" s="40">
        <v>359</v>
      </c>
      <c r="B363" s="41" t="s">
        <v>622</v>
      </c>
      <c r="C363" s="42" t="s">
        <v>622</v>
      </c>
      <c r="D363" s="34"/>
      <c r="E363" s="42" t="s">
        <v>637</v>
      </c>
      <c r="F363" s="152" t="s">
        <v>159</v>
      </c>
      <c r="G363" s="152">
        <v>30000</v>
      </c>
      <c r="H363" s="42" t="s">
        <v>638</v>
      </c>
      <c r="I363" s="34" t="s">
        <v>147</v>
      </c>
      <c r="J363" s="34" t="s">
        <v>697</v>
      </c>
      <c r="K363" s="34"/>
    </row>
    <row r="364" spans="1:11" ht="25.5" customHeight="1">
      <c r="A364" s="40">
        <v>360</v>
      </c>
      <c r="B364" s="41" t="s">
        <v>622</v>
      </c>
      <c r="C364" s="42" t="s">
        <v>622</v>
      </c>
      <c r="D364" s="34"/>
      <c r="E364" s="42" t="s">
        <v>639</v>
      </c>
      <c r="F364" s="152">
        <v>100000</v>
      </c>
      <c r="G364" s="152" t="s">
        <v>159</v>
      </c>
      <c r="H364" s="42" t="s">
        <v>640</v>
      </c>
      <c r="I364" s="34" t="s">
        <v>2</v>
      </c>
      <c r="J364" s="34" t="s">
        <v>603</v>
      </c>
      <c r="K364" s="34"/>
    </row>
    <row r="365" spans="1:11" ht="25.5" customHeight="1">
      <c r="A365" s="40">
        <v>361</v>
      </c>
      <c r="B365" s="41" t="s">
        <v>622</v>
      </c>
      <c r="C365" s="42" t="s">
        <v>622</v>
      </c>
      <c r="D365" s="34"/>
      <c r="E365" s="42" t="s">
        <v>641</v>
      </c>
      <c r="F365" s="152">
        <v>100000</v>
      </c>
      <c r="G365" s="152" t="s">
        <v>159</v>
      </c>
      <c r="H365" s="42" t="s">
        <v>642</v>
      </c>
      <c r="I365" s="34" t="s">
        <v>4</v>
      </c>
      <c r="J365" s="34" t="s">
        <v>603</v>
      </c>
      <c r="K365" s="34"/>
    </row>
    <row r="366" spans="1:11" ht="25.5" customHeight="1">
      <c r="A366" s="40">
        <v>362</v>
      </c>
      <c r="B366" s="41" t="s">
        <v>622</v>
      </c>
      <c r="C366" s="42" t="s">
        <v>622</v>
      </c>
      <c r="D366" s="34"/>
      <c r="E366" s="42" t="s">
        <v>643</v>
      </c>
      <c r="F366" s="152" t="s">
        <v>159</v>
      </c>
      <c r="G366" s="152">
        <v>40000</v>
      </c>
      <c r="H366" s="42" t="s">
        <v>644</v>
      </c>
      <c r="I366" s="34" t="s">
        <v>147</v>
      </c>
      <c r="J366" s="34" t="s">
        <v>697</v>
      </c>
      <c r="K366" s="34"/>
    </row>
    <row r="367" spans="1:11" ht="25.5" customHeight="1">
      <c r="A367" s="40">
        <v>363</v>
      </c>
      <c r="B367" s="41" t="s">
        <v>622</v>
      </c>
      <c r="C367" s="42" t="s">
        <v>622</v>
      </c>
      <c r="D367" s="34"/>
      <c r="E367" s="34" t="s">
        <v>645</v>
      </c>
      <c r="F367" s="152" t="s">
        <v>159</v>
      </c>
      <c r="G367" s="152">
        <v>50000</v>
      </c>
      <c r="H367" s="42" t="s">
        <v>626</v>
      </c>
      <c r="I367" s="34" t="s">
        <v>320</v>
      </c>
      <c r="J367" s="34" t="s">
        <v>697</v>
      </c>
      <c r="K367" s="34"/>
    </row>
    <row r="368" spans="1:11" ht="25.5" customHeight="1">
      <c r="A368" s="40">
        <v>364</v>
      </c>
      <c r="B368" s="41" t="s">
        <v>646</v>
      </c>
      <c r="C368" s="42" t="s">
        <v>646</v>
      </c>
      <c r="D368" s="34"/>
      <c r="E368" s="42" t="s">
        <v>647</v>
      </c>
      <c r="F368" s="152">
        <v>70000</v>
      </c>
      <c r="G368" s="152" t="s">
        <v>159</v>
      </c>
      <c r="H368" s="42" t="s">
        <v>648</v>
      </c>
      <c r="I368" s="34" t="s">
        <v>611</v>
      </c>
      <c r="J368" s="34" t="s">
        <v>696</v>
      </c>
      <c r="K368" s="34" t="s">
        <v>794</v>
      </c>
    </row>
    <row r="369" spans="1:11" ht="25.5" customHeight="1">
      <c r="A369" s="40">
        <v>365</v>
      </c>
      <c r="B369" s="41" t="s">
        <v>646</v>
      </c>
      <c r="C369" s="42" t="s">
        <v>646</v>
      </c>
      <c r="D369" s="34"/>
      <c r="E369" s="34" t="s">
        <v>649</v>
      </c>
      <c r="F369" s="152" t="s">
        <v>159</v>
      </c>
      <c r="G369" s="152">
        <v>150000</v>
      </c>
      <c r="H369" s="42" t="s">
        <v>636</v>
      </c>
      <c r="I369" s="34" t="s">
        <v>320</v>
      </c>
      <c r="J369" s="34" t="s">
        <v>697</v>
      </c>
      <c r="K369" s="34"/>
    </row>
    <row r="370" spans="1:11" ht="25.5" customHeight="1">
      <c r="A370" s="40">
        <v>366</v>
      </c>
      <c r="B370" s="41" t="s">
        <v>650</v>
      </c>
      <c r="C370" s="42" t="s">
        <v>650</v>
      </c>
      <c r="D370" s="34"/>
      <c r="E370" s="42" t="s">
        <v>651</v>
      </c>
      <c r="F370" s="152" t="s">
        <v>159</v>
      </c>
      <c r="G370" s="152">
        <v>30000</v>
      </c>
      <c r="H370" s="42" t="s">
        <v>638</v>
      </c>
      <c r="I370" s="34" t="s">
        <v>147</v>
      </c>
      <c r="J370" s="34" t="s">
        <v>697</v>
      </c>
      <c r="K370" s="34"/>
    </row>
    <row r="371" spans="1:11" ht="25.5" customHeight="1">
      <c r="A371" s="40">
        <v>367</v>
      </c>
      <c r="B371" s="41" t="s">
        <v>650</v>
      </c>
      <c r="C371" s="42" t="s">
        <v>650</v>
      </c>
      <c r="D371" s="34"/>
      <c r="E371" s="42" t="s">
        <v>652</v>
      </c>
      <c r="F371" s="152" t="s">
        <v>159</v>
      </c>
      <c r="G371" s="152">
        <v>30000</v>
      </c>
      <c r="H371" s="42" t="s">
        <v>653</v>
      </c>
      <c r="I371" s="34" t="s">
        <v>147</v>
      </c>
      <c r="J371" s="34" t="s">
        <v>697</v>
      </c>
      <c r="K371" s="34"/>
    </row>
    <row r="372" spans="1:11" ht="25.5" customHeight="1">
      <c r="A372" s="40">
        <v>368</v>
      </c>
      <c r="B372" s="41" t="s">
        <v>650</v>
      </c>
      <c r="C372" s="42" t="s">
        <v>650</v>
      </c>
      <c r="D372" s="34"/>
      <c r="E372" s="42" t="s">
        <v>654</v>
      </c>
      <c r="F372" s="152" t="s">
        <v>159</v>
      </c>
      <c r="G372" s="152">
        <v>40000</v>
      </c>
      <c r="H372" s="42" t="s">
        <v>655</v>
      </c>
      <c r="I372" s="34" t="s">
        <v>147</v>
      </c>
      <c r="J372" s="34" t="s">
        <v>697</v>
      </c>
      <c r="K372" s="34"/>
    </row>
    <row r="373" spans="1:11" ht="25.5" customHeight="1">
      <c r="A373" s="40">
        <v>369</v>
      </c>
      <c r="B373" s="41" t="s">
        <v>650</v>
      </c>
      <c r="C373" s="42" t="s">
        <v>650</v>
      </c>
      <c r="D373" s="34"/>
      <c r="E373" s="42" t="s">
        <v>656</v>
      </c>
      <c r="F373" s="152">
        <v>73000</v>
      </c>
      <c r="G373" s="152" t="s">
        <v>159</v>
      </c>
      <c r="H373" s="42" t="s">
        <v>657</v>
      </c>
      <c r="I373" s="34" t="s">
        <v>611</v>
      </c>
      <c r="J373" s="34" t="s">
        <v>696</v>
      </c>
      <c r="K373" s="34" t="s">
        <v>823</v>
      </c>
    </row>
    <row r="374" spans="1:11" ht="25.5" customHeight="1">
      <c r="A374" s="40">
        <v>370</v>
      </c>
      <c r="B374" s="41" t="s">
        <v>650</v>
      </c>
      <c r="C374" s="42" t="s">
        <v>650</v>
      </c>
      <c r="D374" s="34"/>
      <c r="E374" s="42" t="s">
        <v>658</v>
      </c>
      <c r="F374" s="152">
        <v>27500</v>
      </c>
      <c r="G374" s="152" t="s">
        <v>159</v>
      </c>
      <c r="H374" s="42" t="s">
        <v>659</v>
      </c>
      <c r="I374" s="34" t="s">
        <v>698</v>
      </c>
      <c r="J374" s="34" t="s">
        <v>699</v>
      </c>
      <c r="K374" s="34" t="s">
        <v>830</v>
      </c>
    </row>
    <row r="375" spans="1:11" ht="25.5" customHeight="1">
      <c r="A375" s="40">
        <v>371</v>
      </c>
      <c r="B375" s="41" t="s">
        <v>650</v>
      </c>
      <c r="C375" s="42" t="s">
        <v>650</v>
      </c>
      <c r="D375" s="34"/>
      <c r="E375" s="42" t="s">
        <v>660</v>
      </c>
      <c r="F375" s="152">
        <v>30000</v>
      </c>
      <c r="G375" s="152" t="s">
        <v>159</v>
      </c>
      <c r="H375" s="42" t="s">
        <v>661</v>
      </c>
      <c r="I375" s="34" t="s">
        <v>700</v>
      </c>
      <c r="J375" s="34" t="s">
        <v>603</v>
      </c>
      <c r="K375" s="34"/>
    </row>
    <row r="376" spans="1:11" ht="25.5" customHeight="1">
      <c r="A376" s="40">
        <v>372</v>
      </c>
      <c r="B376" s="41" t="s">
        <v>662</v>
      </c>
      <c r="C376" s="42" t="s">
        <v>662</v>
      </c>
      <c r="D376" s="34"/>
      <c r="E376" s="42" t="s">
        <v>663</v>
      </c>
      <c r="F376" s="152">
        <v>75000</v>
      </c>
      <c r="G376" s="152" t="s">
        <v>159</v>
      </c>
      <c r="H376" s="42" t="s">
        <v>664</v>
      </c>
      <c r="I376" s="34" t="s">
        <v>612</v>
      </c>
      <c r="J376" s="34" t="s">
        <v>696</v>
      </c>
      <c r="K376" s="34"/>
    </row>
    <row r="377" spans="1:11" ht="25.5" customHeight="1">
      <c r="A377" s="40">
        <v>373</v>
      </c>
      <c r="B377" s="41" t="s">
        <v>662</v>
      </c>
      <c r="C377" s="42" t="s">
        <v>662</v>
      </c>
      <c r="D377" s="34"/>
      <c r="E377" s="42" t="s">
        <v>665</v>
      </c>
      <c r="F377" s="152">
        <v>50000</v>
      </c>
      <c r="G377" s="152" t="s">
        <v>159</v>
      </c>
      <c r="H377" s="42" t="s">
        <v>666</v>
      </c>
      <c r="I377" s="34" t="s">
        <v>614</v>
      </c>
      <c r="J377" s="34" t="s">
        <v>597</v>
      </c>
      <c r="K377" s="34" t="s">
        <v>794</v>
      </c>
    </row>
    <row r="378" spans="1:11" ht="25.5" customHeight="1">
      <c r="A378" s="40">
        <v>374</v>
      </c>
      <c r="B378" s="41" t="s">
        <v>662</v>
      </c>
      <c r="C378" s="42" t="s">
        <v>662</v>
      </c>
      <c r="D378" s="34"/>
      <c r="E378" s="42" t="s">
        <v>667</v>
      </c>
      <c r="F378" s="152">
        <v>25000</v>
      </c>
      <c r="G378" s="152" t="s">
        <v>159</v>
      </c>
      <c r="H378" s="42" t="s">
        <v>668</v>
      </c>
      <c r="I378" s="34" t="s">
        <v>701</v>
      </c>
      <c r="J378" s="34" t="s">
        <v>702</v>
      </c>
      <c r="K378" s="34" t="s">
        <v>794</v>
      </c>
    </row>
    <row r="379" spans="1:11" s="69" customFormat="1" ht="25.5" customHeight="1">
      <c r="A379" s="46">
        <v>375</v>
      </c>
      <c r="B379" s="47" t="s">
        <v>662</v>
      </c>
      <c r="C379" s="48" t="s">
        <v>662</v>
      </c>
      <c r="D379" s="51"/>
      <c r="E379" s="48" t="s">
        <v>669</v>
      </c>
      <c r="F379" s="151" t="s">
        <v>159</v>
      </c>
      <c r="G379" s="151">
        <v>300000</v>
      </c>
      <c r="H379" s="48" t="s">
        <v>670</v>
      </c>
      <c r="I379" s="51" t="s">
        <v>715</v>
      </c>
      <c r="J379" s="51" t="s">
        <v>717</v>
      </c>
      <c r="K379" s="51"/>
    </row>
    <row r="380" spans="1:11" ht="25.5" customHeight="1">
      <c r="A380" s="40">
        <v>376</v>
      </c>
      <c r="B380" s="41" t="s">
        <v>671</v>
      </c>
      <c r="C380" s="42" t="s">
        <v>671</v>
      </c>
      <c r="D380" s="34"/>
      <c r="E380" s="42" t="s">
        <v>672</v>
      </c>
      <c r="F380" s="152">
        <v>150000</v>
      </c>
      <c r="G380" s="152" t="s">
        <v>159</v>
      </c>
      <c r="H380" s="42" t="s">
        <v>661</v>
      </c>
      <c r="I380" s="34" t="s">
        <v>611</v>
      </c>
      <c r="J380" s="34" t="s">
        <v>696</v>
      </c>
      <c r="K380" s="34" t="s">
        <v>794</v>
      </c>
    </row>
    <row r="381" spans="1:11" ht="25.5" customHeight="1">
      <c r="A381" s="40">
        <v>377</v>
      </c>
      <c r="B381" s="41" t="s">
        <v>671</v>
      </c>
      <c r="C381" s="42" t="s">
        <v>671</v>
      </c>
      <c r="D381" s="34"/>
      <c r="E381" s="42" t="s">
        <v>673</v>
      </c>
      <c r="F381" s="152">
        <v>142750</v>
      </c>
      <c r="G381" s="152" t="s">
        <v>159</v>
      </c>
      <c r="H381" s="42" t="s">
        <v>674</v>
      </c>
      <c r="I381" s="34" t="s">
        <v>722</v>
      </c>
      <c r="J381" s="34" t="s">
        <v>703</v>
      </c>
      <c r="K381" s="34" t="s">
        <v>794</v>
      </c>
    </row>
    <row r="382" spans="1:11" s="69" customFormat="1" ht="25.5" customHeight="1">
      <c r="A382" s="46">
        <v>378</v>
      </c>
      <c r="B382" s="47" t="s">
        <v>675</v>
      </c>
      <c r="C382" s="48" t="s">
        <v>675</v>
      </c>
      <c r="D382" s="51"/>
      <c r="E382" s="51" t="s">
        <v>301</v>
      </c>
      <c r="F382" s="151" t="s">
        <v>159</v>
      </c>
      <c r="G382" s="151">
        <v>100000</v>
      </c>
      <c r="H382" s="48" t="s">
        <v>676</v>
      </c>
      <c r="I382" s="51" t="s">
        <v>58</v>
      </c>
      <c r="J382" s="51" t="s">
        <v>59</v>
      </c>
      <c r="K382" s="51"/>
    </row>
    <row r="383" spans="1:11" s="69" customFormat="1" ht="25.5" customHeight="1">
      <c r="A383" s="46">
        <v>379</v>
      </c>
      <c r="B383" s="47" t="s">
        <v>677</v>
      </c>
      <c r="C383" s="48" t="s">
        <v>677</v>
      </c>
      <c r="D383" s="51"/>
      <c r="E383" s="48" t="s">
        <v>678</v>
      </c>
      <c r="F383" s="151" t="s">
        <v>159</v>
      </c>
      <c r="G383" s="151">
        <v>150000</v>
      </c>
      <c r="H383" s="48" t="s">
        <v>679</v>
      </c>
      <c r="I383" s="51" t="s">
        <v>705</v>
      </c>
      <c r="J383" s="51" t="s">
        <v>704</v>
      </c>
      <c r="K383" s="51"/>
    </row>
    <row r="384" spans="1:11" s="69" customFormat="1" ht="25.5" customHeight="1">
      <c r="A384" s="46">
        <v>380</v>
      </c>
      <c r="B384" s="47" t="s">
        <v>677</v>
      </c>
      <c r="C384" s="48" t="s">
        <v>677</v>
      </c>
      <c r="D384" s="51"/>
      <c r="E384" s="48" t="s">
        <v>680</v>
      </c>
      <c r="F384" s="151" t="s">
        <v>159</v>
      </c>
      <c r="G384" s="151">
        <v>150000</v>
      </c>
      <c r="H384" s="48" t="s">
        <v>681</v>
      </c>
      <c r="I384" s="51" t="s">
        <v>706</v>
      </c>
      <c r="J384" s="51" t="s">
        <v>704</v>
      </c>
      <c r="K384" s="51" t="s">
        <v>794</v>
      </c>
    </row>
    <row r="385" spans="1:11" ht="25.5" customHeight="1">
      <c r="A385" s="40">
        <v>381</v>
      </c>
      <c r="B385" s="41" t="s">
        <v>682</v>
      </c>
      <c r="C385" s="42" t="s">
        <v>682</v>
      </c>
      <c r="D385" s="34"/>
      <c r="E385" s="42" t="s">
        <v>683</v>
      </c>
      <c r="F385" s="152">
        <v>80000</v>
      </c>
      <c r="G385" s="152" t="s">
        <v>159</v>
      </c>
      <c r="H385" s="42" t="s">
        <v>684</v>
      </c>
      <c r="I385" s="34" t="s">
        <v>614</v>
      </c>
      <c r="J385" s="34" t="s">
        <v>597</v>
      </c>
      <c r="K385" s="34" t="s">
        <v>823</v>
      </c>
    </row>
    <row r="386" spans="1:11" s="69" customFormat="1" ht="25.5" customHeight="1">
      <c r="A386" s="46">
        <v>382</v>
      </c>
      <c r="B386" s="47" t="s">
        <v>685</v>
      </c>
      <c r="C386" s="48" t="s">
        <v>685</v>
      </c>
      <c r="D386" s="51"/>
      <c r="E386" s="48" t="s">
        <v>686</v>
      </c>
      <c r="F386" s="151" t="s">
        <v>159</v>
      </c>
      <c r="G386" s="141">
        <v>200000</v>
      </c>
      <c r="H386" s="48" t="s">
        <v>687</v>
      </c>
      <c r="I386" s="51" t="s">
        <v>708</v>
      </c>
      <c r="J386" s="51" t="s">
        <v>707</v>
      </c>
      <c r="K386" s="51"/>
    </row>
    <row r="387" spans="1:11" ht="25.5" customHeight="1">
      <c r="A387" s="40">
        <v>383</v>
      </c>
      <c r="B387" s="41" t="s">
        <v>685</v>
      </c>
      <c r="C387" s="42" t="s">
        <v>685</v>
      </c>
      <c r="D387" s="34"/>
      <c r="E387" s="42" t="s">
        <v>688</v>
      </c>
      <c r="F387" s="152">
        <v>35000</v>
      </c>
      <c r="G387" s="152" t="s">
        <v>159</v>
      </c>
      <c r="H387" s="42" t="s">
        <v>689</v>
      </c>
      <c r="I387" s="34" t="s">
        <v>709</v>
      </c>
      <c r="J387" s="34" t="s">
        <v>725</v>
      </c>
      <c r="K387" s="34"/>
    </row>
    <row r="388" spans="1:11" ht="25.5" customHeight="1">
      <c r="A388" s="40">
        <v>384</v>
      </c>
      <c r="B388" s="41" t="s">
        <v>685</v>
      </c>
      <c r="C388" s="42" t="s">
        <v>685</v>
      </c>
      <c r="D388" s="34"/>
      <c r="E388" s="42" t="s">
        <v>690</v>
      </c>
      <c r="F388" s="152" t="s">
        <v>159</v>
      </c>
      <c r="G388" s="152">
        <v>300000</v>
      </c>
      <c r="H388" s="42" t="s">
        <v>691</v>
      </c>
      <c r="I388" s="34" t="s">
        <v>710</v>
      </c>
      <c r="J388" s="34" t="s">
        <v>697</v>
      </c>
      <c r="K388" s="34"/>
    </row>
    <row r="389" spans="1:11" ht="25.5" customHeight="1">
      <c r="A389" s="40">
        <v>385</v>
      </c>
      <c r="B389" s="41" t="s">
        <v>685</v>
      </c>
      <c r="C389" s="42" t="s">
        <v>685</v>
      </c>
      <c r="D389" s="34"/>
      <c r="E389" s="42" t="s">
        <v>692</v>
      </c>
      <c r="F389" s="152">
        <v>12200</v>
      </c>
      <c r="G389" s="152" t="s">
        <v>159</v>
      </c>
      <c r="H389" s="42" t="s">
        <v>693</v>
      </c>
      <c r="I389" s="34" t="s">
        <v>711</v>
      </c>
      <c r="J389" s="34" t="s">
        <v>712</v>
      </c>
      <c r="K389" s="34" t="s">
        <v>794</v>
      </c>
    </row>
    <row r="390" spans="1:11" ht="25.5" customHeight="1">
      <c r="A390" s="40">
        <v>386</v>
      </c>
      <c r="B390" s="41" t="s">
        <v>685</v>
      </c>
      <c r="C390" s="42" t="s">
        <v>685</v>
      </c>
      <c r="D390" s="34"/>
      <c r="E390" s="42" t="s">
        <v>694</v>
      </c>
      <c r="F390" s="152">
        <v>500000</v>
      </c>
      <c r="G390" s="152" t="s">
        <v>159</v>
      </c>
      <c r="H390" s="42" t="s">
        <v>695</v>
      </c>
      <c r="I390" s="34" t="s">
        <v>713</v>
      </c>
      <c r="J390" s="34" t="s">
        <v>601</v>
      </c>
      <c r="K390" s="34" t="s">
        <v>830</v>
      </c>
    </row>
    <row r="391" spans="1:11" ht="25.5" customHeight="1">
      <c r="A391" s="40">
        <v>387</v>
      </c>
      <c r="B391" s="41" t="s">
        <v>2555</v>
      </c>
      <c r="C391" s="42" t="s">
        <v>2555</v>
      </c>
      <c r="D391" s="42"/>
      <c r="E391" s="42" t="s">
        <v>2556</v>
      </c>
      <c r="F391" s="135">
        <v>148500</v>
      </c>
      <c r="G391" s="134" t="s">
        <v>159</v>
      </c>
      <c r="H391" s="45" t="s">
        <v>2557</v>
      </c>
      <c r="I391" s="34" t="s">
        <v>598</v>
      </c>
      <c r="J391" s="34" t="s">
        <v>725</v>
      </c>
      <c r="K391" s="34"/>
    </row>
    <row r="392" spans="1:11" ht="25.5" customHeight="1">
      <c r="A392" s="40">
        <v>388</v>
      </c>
      <c r="B392" s="41" t="s">
        <v>2555</v>
      </c>
      <c r="C392" s="42" t="s">
        <v>2555</v>
      </c>
      <c r="D392" s="42"/>
      <c r="E392" s="42" t="s">
        <v>2558</v>
      </c>
      <c r="F392" s="135">
        <v>260000</v>
      </c>
      <c r="G392" s="134" t="s">
        <v>159</v>
      </c>
      <c r="H392" s="45" t="s">
        <v>2559</v>
      </c>
      <c r="I392" s="34" t="s">
        <v>351</v>
      </c>
      <c r="J392" s="34" t="s">
        <v>350</v>
      </c>
      <c r="K392" s="34"/>
    </row>
    <row r="393" spans="1:11" ht="25.5" customHeight="1">
      <c r="A393" s="40">
        <v>389</v>
      </c>
      <c r="B393" s="41" t="s">
        <v>2555</v>
      </c>
      <c r="C393" s="42" t="s">
        <v>2555</v>
      </c>
      <c r="D393" s="42"/>
      <c r="E393" s="42" t="s">
        <v>2560</v>
      </c>
      <c r="F393" s="135">
        <v>515000</v>
      </c>
      <c r="G393" s="134" t="s">
        <v>159</v>
      </c>
      <c r="H393" s="43">
        <v>886850.9</v>
      </c>
      <c r="I393" s="34" t="s">
        <v>349</v>
      </c>
      <c r="J393" s="34" t="s">
        <v>350</v>
      </c>
      <c r="K393" s="34" t="s">
        <v>823</v>
      </c>
    </row>
    <row r="394" spans="1:11" ht="25.5" customHeight="1">
      <c r="A394" s="40">
        <v>390</v>
      </c>
      <c r="B394" s="41" t="s">
        <v>2555</v>
      </c>
      <c r="C394" s="42" t="s">
        <v>2555</v>
      </c>
      <c r="D394" s="42"/>
      <c r="E394" s="42" t="s">
        <v>2561</v>
      </c>
      <c r="F394" s="135">
        <v>230000</v>
      </c>
      <c r="G394" s="134" t="s">
        <v>159</v>
      </c>
      <c r="H394" s="43">
        <v>656850.9</v>
      </c>
      <c r="I394" s="34" t="s">
        <v>714</v>
      </c>
      <c r="J394" s="34" t="s">
        <v>723</v>
      </c>
      <c r="K394" s="34" t="s">
        <v>823</v>
      </c>
    </row>
    <row r="395" spans="1:11" s="69" customFormat="1" ht="25.5" customHeight="1">
      <c r="A395" s="46">
        <v>391</v>
      </c>
      <c r="B395" s="47" t="s">
        <v>2562</v>
      </c>
      <c r="C395" s="48" t="s">
        <v>2562</v>
      </c>
      <c r="D395" s="121"/>
      <c r="E395" s="48" t="s">
        <v>2563</v>
      </c>
      <c r="F395" s="136" t="s">
        <v>159</v>
      </c>
      <c r="G395" s="137">
        <v>10</v>
      </c>
      <c r="H395" s="49">
        <v>656860.9</v>
      </c>
      <c r="I395" s="51" t="s">
        <v>716</v>
      </c>
      <c r="J395" s="51" t="s">
        <v>61</v>
      </c>
      <c r="K395" s="51"/>
    </row>
    <row r="396" spans="1:11" s="69" customFormat="1" ht="25.5" customHeight="1">
      <c r="A396" s="46">
        <v>392</v>
      </c>
      <c r="B396" s="47" t="s">
        <v>2562</v>
      </c>
      <c r="C396" s="48" t="s">
        <v>2562</v>
      </c>
      <c r="D396" s="121"/>
      <c r="E396" s="48" t="s">
        <v>2564</v>
      </c>
      <c r="F396" s="136" t="s">
        <v>159</v>
      </c>
      <c r="G396" s="137">
        <v>300000</v>
      </c>
      <c r="H396" s="49">
        <v>956860.9</v>
      </c>
      <c r="I396" s="51" t="s">
        <v>716</v>
      </c>
      <c r="J396" s="51" t="s">
        <v>61</v>
      </c>
      <c r="K396" s="51"/>
    </row>
    <row r="397" spans="1:11" ht="25.5" customHeight="1">
      <c r="A397" s="40">
        <v>393</v>
      </c>
      <c r="B397" s="41" t="s">
        <v>2565</v>
      </c>
      <c r="C397" s="42" t="s">
        <v>2566</v>
      </c>
      <c r="D397" s="42"/>
      <c r="E397" s="42" t="s">
        <v>2567</v>
      </c>
      <c r="F397" s="135">
        <v>100000</v>
      </c>
      <c r="G397" s="134"/>
      <c r="H397" s="52">
        <v>856860.9</v>
      </c>
      <c r="I397" s="34" t="s">
        <v>475</v>
      </c>
      <c r="J397" s="34" t="s">
        <v>725</v>
      </c>
      <c r="K397" s="34"/>
    </row>
    <row r="398" spans="1:11" ht="25.5" customHeight="1">
      <c r="A398" s="40">
        <v>394</v>
      </c>
      <c r="B398" s="41" t="s">
        <v>2566</v>
      </c>
      <c r="C398" s="42" t="s">
        <v>2566</v>
      </c>
      <c r="D398" s="42"/>
      <c r="E398" s="42" t="s">
        <v>2568</v>
      </c>
      <c r="F398" s="135">
        <v>41790</v>
      </c>
      <c r="G398" s="134"/>
      <c r="H398" s="43">
        <v>815070.9</v>
      </c>
      <c r="I398" s="34" t="s">
        <v>612</v>
      </c>
      <c r="J398" s="34" t="s">
        <v>602</v>
      </c>
      <c r="K398" s="34" t="s">
        <v>823</v>
      </c>
    </row>
    <row r="399" spans="1:11" ht="25.5" customHeight="1">
      <c r="A399" s="40">
        <v>395</v>
      </c>
      <c r="B399" s="41" t="s">
        <v>2569</v>
      </c>
      <c r="C399" s="42" t="s">
        <v>2569</v>
      </c>
      <c r="D399" s="42"/>
      <c r="E399" s="42" t="s">
        <v>2570</v>
      </c>
      <c r="F399" s="135">
        <v>10000</v>
      </c>
      <c r="G399" s="134"/>
      <c r="H399" s="43">
        <v>805070.9</v>
      </c>
      <c r="I399" s="34" t="s">
        <v>724</v>
      </c>
      <c r="J399" s="34" t="s">
        <v>733</v>
      </c>
      <c r="K399" s="34"/>
    </row>
    <row r="400" spans="1:11" ht="25.5" customHeight="1">
      <c r="A400" s="40">
        <v>396</v>
      </c>
      <c r="B400" s="41" t="s">
        <v>2569</v>
      </c>
      <c r="C400" s="42" t="s">
        <v>2569</v>
      </c>
      <c r="D400" s="42"/>
      <c r="E400" s="42" t="s">
        <v>2571</v>
      </c>
      <c r="F400" s="160">
        <v>30000</v>
      </c>
      <c r="G400" s="134"/>
      <c r="H400" s="43">
        <v>775070.9</v>
      </c>
      <c r="I400" s="34" t="s">
        <v>149</v>
      </c>
      <c r="J400" s="34" t="s">
        <v>603</v>
      </c>
      <c r="K400" s="34"/>
    </row>
    <row r="401" spans="1:11" ht="25.5" customHeight="1">
      <c r="A401" s="40">
        <v>397</v>
      </c>
      <c r="B401" s="41" t="s">
        <v>2569</v>
      </c>
      <c r="C401" s="42" t="s">
        <v>2569</v>
      </c>
      <c r="D401" s="42"/>
      <c r="E401" s="42" t="s">
        <v>2572</v>
      </c>
      <c r="F401" s="135">
        <v>88000</v>
      </c>
      <c r="G401" s="134"/>
      <c r="H401" s="43">
        <v>687070.9</v>
      </c>
      <c r="I401" s="34" t="s">
        <v>731</v>
      </c>
      <c r="J401" s="34" t="s">
        <v>732</v>
      </c>
      <c r="K401" s="34"/>
    </row>
    <row r="402" spans="1:11" ht="25.5" customHeight="1">
      <c r="A402" s="40">
        <v>398</v>
      </c>
      <c r="B402" s="41" t="s">
        <v>2573</v>
      </c>
      <c r="C402" s="42" t="s">
        <v>2573</v>
      </c>
      <c r="D402" s="42"/>
      <c r="E402" s="42" t="s">
        <v>2574</v>
      </c>
      <c r="F402" s="160">
        <v>30000</v>
      </c>
      <c r="G402" s="134"/>
      <c r="H402" s="43">
        <v>657070.9</v>
      </c>
      <c r="I402" s="34" t="s">
        <v>604</v>
      </c>
      <c r="J402" s="34" t="s">
        <v>603</v>
      </c>
      <c r="K402" s="34"/>
    </row>
    <row r="403" spans="1:11" s="69" customFormat="1" ht="25.5" customHeight="1">
      <c r="A403" s="46">
        <v>399</v>
      </c>
      <c r="B403" s="47" t="s">
        <v>2575</v>
      </c>
      <c r="C403" s="48" t="s">
        <v>2575</v>
      </c>
      <c r="D403" s="48"/>
      <c r="E403" s="48" t="s">
        <v>2576</v>
      </c>
      <c r="F403" s="136" t="s">
        <v>159</v>
      </c>
      <c r="G403" s="137">
        <v>45000</v>
      </c>
      <c r="H403" s="49">
        <v>702070.9</v>
      </c>
      <c r="I403" s="51" t="s">
        <v>730</v>
      </c>
      <c r="J403" s="51" t="s">
        <v>55</v>
      </c>
      <c r="K403" s="51"/>
    </row>
    <row r="404" spans="1:11" s="69" customFormat="1" ht="25.5" customHeight="1">
      <c r="A404" s="46">
        <v>400</v>
      </c>
      <c r="B404" s="47" t="s">
        <v>2575</v>
      </c>
      <c r="C404" s="48" t="s">
        <v>2575</v>
      </c>
      <c r="D404" s="48"/>
      <c r="E404" s="48" t="s">
        <v>2577</v>
      </c>
      <c r="F404" s="136" t="s">
        <v>159</v>
      </c>
      <c r="G404" s="137">
        <v>70000</v>
      </c>
      <c r="H404" s="49">
        <v>772070.9</v>
      </c>
      <c r="I404" s="51" t="s">
        <v>616</v>
      </c>
      <c r="J404" s="51" t="s">
        <v>55</v>
      </c>
      <c r="K404" s="51" t="s">
        <v>823</v>
      </c>
    </row>
    <row r="405" spans="1:11" s="69" customFormat="1" ht="25.5" customHeight="1">
      <c r="A405" s="46">
        <v>401</v>
      </c>
      <c r="B405" s="47" t="s">
        <v>2578</v>
      </c>
      <c r="C405" s="48" t="s">
        <v>2578</v>
      </c>
      <c r="D405" s="48"/>
      <c r="E405" s="48" t="s">
        <v>2579</v>
      </c>
      <c r="F405" s="136" t="s">
        <v>159</v>
      </c>
      <c r="G405" s="137">
        <v>100000</v>
      </c>
      <c r="H405" s="49">
        <v>872070.9</v>
      </c>
      <c r="I405" s="51" t="s">
        <v>121</v>
      </c>
      <c r="J405" s="51" t="s">
        <v>726</v>
      </c>
      <c r="K405" s="51"/>
    </row>
    <row r="406" spans="1:11" ht="25.5" customHeight="1">
      <c r="A406" s="40">
        <v>402</v>
      </c>
      <c r="B406" s="41" t="s">
        <v>2578</v>
      </c>
      <c r="C406" s="42" t="s">
        <v>2578</v>
      </c>
      <c r="D406" s="42"/>
      <c r="E406" s="42" t="s">
        <v>2580</v>
      </c>
      <c r="F406" s="135">
        <v>41980</v>
      </c>
      <c r="G406" s="134" t="s">
        <v>159</v>
      </c>
      <c r="H406" s="43">
        <v>830090.9</v>
      </c>
      <c r="I406" s="34" t="s">
        <v>612</v>
      </c>
      <c r="J406" s="34" t="s">
        <v>602</v>
      </c>
      <c r="K406" s="34" t="s">
        <v>823</v>
      </c>
    </row>
    <row r="407" spans="1:11" ht="25.5" customHeight="1">
      <c r="A407" s="40">
        <v>403</v>
      </c>
      <c r="B407" s="41" t="s">
        <v>2578</v>
      </c>
      <c r="C407" s="42" t="s">
        <v>2578</v>
      </c>
      <c r="D407" s="42"/>
      <c r="E407" s="42" t="s">
        <v>2581</v>
      </c>
      <c r="F407" s="135">
        <v>100000</v>
      </c>
      <c r="G407" s="134" t="s">
        <v>159</v>
      </c>
      <c r="H407" s="43">
        <v>730090.9</v>
      </c>
      <c r="I407" s="34" t="s">
        <v>727</v>
      </c>
      <c r="J407" s="34" t="s">
        <v>728</v>
      </c>
      <c r="K407" s="34" t="s">
        <v>794</v>
      </c>
    </row>
    <row r="408" spans="1:11" ht="25.5" customHeight="1">
      <c r="A408" s="40">
        <v>404</v>
      </c>
      <c r="B408" s="41" t="s">
        <v>2582</v>
      </c>
      <c r="C408" s="42" t="s">
        <v>2582</v>
      </c>
      <c r="D408" s="42"/>
      <c r="E408" s="42" t="s">
        <v>2583</v>
      </c>
      <c r="F408" s="135">
        <v>21000</v>
      </c>
      <c r="G408" s="134" t="s">
        <v>159</v>
      </c>
      <c r="H408" s="43">
        <v>709090.9</v>
      </c>
      <c r="I408" s="34" t="s">
        <v>612</v>
      </c>
      <c r="J408" s="34" t="s">
        <v>602</v>
      </c>
      <c r="K408" s="34" t="s">
        <v>794</v>
      </c>
    </row>
    <row r="409" spans="1:11" ht="25.5" customHeight="1">
      <c r="A409" s="40">
        <v>405</v>
      </c>
      <c r="B409" s="41" t="s">
        <v>2582</v>
      </c>
      <c r="C409" s="42" t="s">
        <v>2582</v>
      </c>
      <c r="D409" s="42"/>
      <c r="E409" s="42" t="s">
        <v>2584</v>
      </c>
      <c r="F409" s="135">
        <v>23000</v>
      </c>
      <c r="G409" s="134" t="s">
        <v>159</v>
      </c>
      <c r="H409" s="43">
        <v>686090.9</v>
      </c>
      <c r="I409" s="34" t="s">
        <v>611</v>
      </c>
      <c r="J409" s="34" t="s">
        <v>602</v>
      </c>
      <c r="K409" s="34" t="s">
        <v>794</v>
      </c>
    </row>
    <row r="410" spans="1:11" s="69" customFormat="1" ht="25.5" customHeight="1">
      <c r="A410" s="46">
        <v>406</v>
      </c>
      <c r="B410" s="47" t="s">
        <v>2585</v>
      </c>
      <c r="C410" s="48" t="s">
        <v>2585</v>
      </c>
      <c r="D410" s="48"/>
      <c r="E410" s="48" t="s">
        <v>2586</v>
      </c>
      <c r="F410" s="136" t="s">
        <v>159</v>
      </c>
      <c r="G410" s="137">
        <v>60000</v>
      </c>
      <c r="H410" s="49">
        <v>746090.9</v>
      </c>
      <c r="I410" s="51" t="s">
        <v>378</v>
      </c>
      <c r="J410" s="51" t="s">
        <v>112</v>
      </c>
      <c r="K410" s="51"/>
    </row>
    <row r="411" spans="1:11" ht="25.5" customHeight="1">
      <c r="A411" s="40">
        <v>407</v>
      </c>
      <c r="B411" s="41" t="s">
        <v>2585</v>
      </c>
      <c r="C411" s="42" t="s">
        <v>2585</v>
      </c>
      <c r="D411" s="42"/>
      <c r="E411" s="42" t="s">
        <v>2587</v>
      </c>
      <c r="F411" s="135">
        <v>270000</v>
      </c>
      <c r="G411" s="134" t="s">
        <v>159</v>
      </c>
      <c r="H411" s="43">
        <v>476090.9</v>
      </c>
      <c r="I411" s="34" t="s">
        <v>614</v>
      </c>
      <c r="J411" s="34" t="s">
        <v>597</v>
      </c>
      <c r="K411" s="34" t="s">
        <v>794</v>
      </c>
    </row>
    <row r="412" spans="1:11" s="69" customFormat="1" ht="25.5" customHeight="1">
      <c r="A412" s="46">
        <v>408</v>
      </c>
      <c r="B412" s="47" t="s">
        <v>2588</v>
      </c>
      <c r="C412" s="48" t="s">
        <v>2589</v>
      </c>
      <c r="D412" s="48"/>
      <c r="E412" s="54" t="s">
        <v>1347</v>
      </c>
      <c r="F412" s="136" t="s">
        <v>159</v>
      </c>
      <c r="G412" s="137">
        <v>100000</v>
      </c>
      <c r="H412" s="49">
        <v>576090.9</v>
      </c>
      <c r="I412" s="51" t="s">
        <v>729</v>
      </c>
      <c r="J412" s="51" t="s">
        <v>465</v>
      </c>
      <c r="K412" s="51"/>
    </row>
    <row r="413" spans="1:11" s="69" customFormat="1" ht="25.5" customHeight="1">
      <c r="A413" s="46">
        <v>409</v>
      </c>
      <c r="B413" s="47" t="s">
        <v>2589</v>
      </c>
      <c r="C413" s="48" t="s">
        <v>2589</v>
      </c>
      <c r="D413" s="48"/>
      <c r="E413" s="48" t="s">
        <v>2590</v>
      </c>
      <c r="F413" s="136" t="s">
        <v>159</v>
      </c>
      <c r="G413" s="137">
        <v>203000</v>
      </c>
      <c r="H413" s="49">
        <v>779090.9</v>
      </c>
      <c r="I413" s="51" t="s">
        <v>474</v>
      </c>
      <c r="J413" s="51" t="s">
        <v>90</v>
      </c>
      <c r="K413" s="51" t="s">
        <v>794</v>
      </c>
    </row>
    <row r="414" spans="1:11" ht="25.5" customHeight="1">
      <c r="A414" s="40">
        <v>410</v>
      </c>
      <c r="B414" s="41" t="s">
        <v>2589</v>
      </c>
      <c r="C414" s="42" t="s">
        <v>2589</v>
      </c>
      <c r="D414" s="42"/>
      <c r="E414" s="42" t="s">
        <v>2591</v>
      </c>
      <c r="F414" s="135">
        <v>100000</v>
      </c>
      <c r="G414" s="134" t="s">
        <v>159</v>
      </c>
      <c r="H414" s="43">
        <v>679090.9</v>
      </c>
      <c r="I414" s="34" t="s">
        <v>475</v>
      </c>
      <c r="J414" s="34" t="s">
        <v>725</v>
      </c>
      <c r="K414" s="34"/>
    </row>
    <row r="415" spans="1:11" s="69" customFormat="1" ht="25.5" customHeight="1">
      <c r="A415" s="46">
        <v>411</v>
      </c>
      <c r="B415" s="47" t="s">
        <v>2592</v>
      </c>
      <c r="C415" s="48" t="s">
        <v>2592</v>
      </c>
      <c r="D415" s="48"/>
      <c r="E415" s="48" t="s">
        <v>2593</v>
      </c>
      <c r="F415" s="136" t="s">
        <v>159</v>
      </c>
      <c r="G415" s="137">
        <v>100000</v>
      </c>
      <c r="H415" s="49">
        <v>779090.9</v>
      </c>
      <c r="I415" s="51" t="s">
        <v>729</v>
      </c>
      <c r="J415" s="51" t="s">
        <v>465</v>
      </c>
      <c r="K415" s="51"/>
    </row>
    <row r="416" spans="1:11" s="69" customFormat="1" ht="25.5" customHeight="1">
      <c r="A416" s="46">
        <v>412</v>
      </c>
      <c r="B416" s="47" t="s">
        <v>2592</v>
      </c>
      <c r="C416" s="48" t="s">
        <v>2592</v>
      </c>
      <c r="D416" s="48"/>
      <c r="E416" s="48" t="s">
        <v>2594</v>
      </c>
      <c r="F416" s="136" t="s">
        <v>159</v>
      </c>
      <c r="G416" s="137">
        <v>75000</v>
      </c>
      <c r="H416" s="49">
        <v>854090.9</v>
      </c>
      <c r="I416" s="51" t="s">
        <v>147</v>
      </c>
      <c r="J416" s="51" t="s">
        <v>107</v>
      </c>
      <c r="K416" s="51"/>
    </row>
    <row r="417" spans="1:11" ht="25.5" customHeight="1">
      <c r="A417" s="40">
        <v>413</v>
      </c>
      <c r="B417" s="41" t="s">
        <v>2592</v>
      </c>
      <c r="C417" s="42" t="s">
        <v>2592</v>
      </c>
      <c r="D417" s="42"/>
      <c r="E417" s="42" t="s">
        <v>2595</v>
      </c>
      <c r="F417" s="135">
        <v>250000</v>
      </c>
      <c r="G417" s="134" t="s">
        <v>159</v>
      </c>
      <c r="H417" s="43">
        <v>604090.9</v>
      </c>
      <c r="I417" s="34" t="s">
        <v>713</v>
      </c>
      <c r="J417" s="34" t="s">
        <v>601</v>
      </c>
      <c r="K417" s="34" t="s">
        <v>830</v>
      </c>
    </row>
    <row r="418" spans="1:11" s="69" customFormat="1" ht="25.5" customHeight="1">
      <c r="A418" s="46">
        <v>414</v>
      </c>
      <c r="B418" s="47" t="s">
        <v>2596</v>
      </c>
      <c r="C418" s="48" t="s">
        <v>2596</v>
      </c>
      <c r="D418" s="48"/>
      <c r="E418" s="54" t="s">
        <v>1348</v>
      </c>
      <c r="F418" s="136" t="s">
        <v>159</v>
      </c>
      <c r="G418" s="137">
        <v>100000</v>
      </c>
      <c r="H418" s="49">
        <v>704090.9</v>
      </c>
      <c r="I418" s="51" t="s">
        <v>729</v>
      </c>
      <c r="J418" s="51" t="s">
        <v>465</v>
      </c>
      <c r="K418" s="51"/>
    </row>
    <row r="419" spans="1:11" s="69" customFormat="1" ht="25.5" customHeight="1">
      <c r="A419" s="46">
        <v>415</v>
      </c>
      <c r="B419" s="47" t="s">
        <v>2596</v>
      </c>
      <c r="C419" s="48" t="s">
        <v>2596</v>
      </c>
      <c r="D419" s="48"/>
      <c r="E419" s="48" t="s">
        <v>2597</v>
      </c>
      <c r="F419" s="136" t="s">
        <v>159</v>
      </c>
      <c r="G419" s="137">
        <v>56000</v>
      </c>
      <c r="H419" s="49">
        <v>760090.9</v>
      </c>
      <c r="I419" s="51" t="s">
        <v>342</v>
      </c>
      <c r="J419" s="51" t="s">
        <v>96</v>
      </c>
      <c r="K419" s="51"/>
    </row>
    <row r="420" spans="1:11" ht="25.5" customHeight="1">
      <c r="A420" s="40">
        <v>416</v>
      </c>
      <c r="B420" s="41" t="s">
        <v>2596</v>
      </c>
      <c r="C420" s="42" t="s">
        <v>2596</v>
      </c>
      <c r="D420" s="42"/>
      <c r="E420" s="42" t="s">
        <v>2598</v>
      </c>
      <c r="F420" s="135">
        <v>60000</v>
      </c>
      <c r="G420" s="134" t="s">
        <v>159</v>
      </c>
      <c r="H420" s="43">
        <v>700090.9</v>
      </c>
      <c r="I420" s="34" t="s">
        <v>614</v>
      </c>
      <c r="J420" s="34" t="s">
        <v>597</v>
      </c>
      <c r="K420" s="34" t="s">
        <v>794</v>
      </c>
    </row>
    <row r="421" spans="1:11" s="69" customFormat="1" ht="25.5" customHeight="1">
      <c r="A421" s="46">
        <v>417</v>
      </c>
      <c r="B421" s="47" t="s">
        <v>2596</v>
      </c>
      <c r="C421" s="48" t="s">
        <v>2596</v>
      </c>
      <c r="D421" s="48"/>
      <c r="E421" s="48" t="s">
        <v>2599</v>
      </c>
      <c r="F421" s="136" t="s">
        <v>159</v>
      </c>
      <c r="G421" s="137">
        <v>695000</v>
      </c>
      <c r="H421" s="50" t="s">
        <v>2600</v>
      </c>
      <c r="I421" s="51" t="s">
        <v>708</v>
      </c>
      <c r="J421" s="51" t="s">
        <v>707</v>
      </c>
      <c r="K421" s="51"/>
    </row>
    <row r="422" spans="1:11" ht="25.5" customHeight="1">
      <c r="A422" s="40">
        <v>418</v>
      </c>
      <c r="B422" s="41" t="s">
        <v>2596</v>
      </c>
      <c r="C422" s="42" t="s">
        <v>2596</v>
      </c>
      <c r="D422" s="42"/>
      <c r="E422" s="42" t="s">
        <v>2601</v>
      </c>
      <c r="F422" s="135">
        <v>35000</v>
      </c>
      <c r="G422" s="134" t="s">
        <v>159</v>
      </c>
      <c r="H422" s="45" t="s">
        <v>2602</v>
      </c>
      <c r="I422" s="34" t="s">
        <v>709</v>
      </c>
      <c r="J422" s="34" t="s">
        <v>734</v>
      </c>
      <c r="K422" s="34" t="s">
        <v>794</v>
      </c>
    </row>
    <row r="423" spans="1:11" s="69" customFormat="1" ht="25.5" customHeight="1">
      <c r="A423" s="46">
        <v>419</v>
      </c>
      <c r="B423" s="47" t="s">
        <v>2603</v>
      </c>
      <c r="C423" s="48" t="s">
        <v>2603</v>
      </c>
      <c r="D423" s="48"/>
      <c r="E423" s="48" t="s">
        <v>2604</v>
      </c>
      <c r="F423" s="137">
        <v>164000</v>
      </c>
      <c r="G423" s="136" t="s">
        <v>159</v>
      </c>
      <c r="H423" s="50" t="s">
        <v>2605</v>
      </c>
      <c r="I423" s="51" t="s">
        <v>83</v>
      </c>
      <c r="J423" s="51" t="s">
        <v>735</v>
      </c>
      <c r="K423" s="51" t="s">
        <v>823</v>
      </c>
    </row>
    <row r="424" spans="1:11" ht="25.5" customHeight="1">
      <c r="A424" s="46">
        <v>420</v>
      </c>
      <c r="B424" s="47" t="s">
        <v>2603</v>
      </c>
      <c r="C424" s="48" t="s">
        <v>2603</v>
      </c>
      <c r="D424" s="48"/>
      <c r="E424" s="48" t="s">
        <v>2606</v>
      </c>
      <c r="F424" s="137">
        <v>200000</v>
      </c>
      <c r="G424" s="136" t="s">
        <v>159</v>
      </c>
      <c r="H424" s="49">
        <v>996090.9</v>
      </c>
      <c r="I424" s="51" t="s">
        <v>45</v>
      </c>
      <c r="J424" s="51" t="s">
        <v>736</v>
      </c>
      <c r="K424" s="51" t="s">
        <v>794</v>
      </c>
    </row>
    <row r="425" spans="1:11" ht="25.5" customHeight="1">
      <c r="A425" s="46">
        <v>421</v>
      </c>
      <c r="B425" s="47" t="s">
        <v>2603</v>
      </c>
      <c r="C425" s="48" t="s">
        <v>2603</v>
      </c>
      <c r="D425" s="48"/>
      <c r="E425" s="48" t="s">
        <v>2607</v>
      </c>
      <c r="F425" s="137">
        <v>35000</v>
      </c>
      <c r="G425" s="136" t="s">
        <v>159</v>
      </c>
      <c r="H425" s="49">
        <v>961090.9</v>
      </c>
      <c r="I425" s="51" t="s">
        <v>379</v>
      </c>
      <c r="J425" s="51" t="s">
        <v>736</v>
      </c>
      <c r="K425" s="51" t="s">
        <v>830</v>
      </c>
    </row>
    <row r="426" spans="1:11" ht="25.5" customHeight="1">
      <c r="A426" s="46">
        <v>422</v>
      </c>
      <c r="B426" s="47" t="s">
        <v>2603</v>
      </c>
      <c r="C426" s="48" t="s">
        <v>2603</v>
      </c>
      <c r="D426" s="48"/>
      <c r="E426" s="48" t="s">
        <v>2608</v>
      </c>
      <c r="F426" s="137">
        <v>20000</v>
      </c>
      <c r="G426" s="136" t="s">
        <v>159</v>
      </c>
      <c r="H426" s="49">
        <v>941090.9</v>
      </c>
      <c r="I426" s="51" t="s">
        <v>324</v>
      </c>
      <c r="J426" s="51" t="s">
        <v>736</v>
      </c>
      <c r="K426" s="51" t="s">
        <v>830</v>
      </c>
    </row>
    <row r="427" spans="1:11" ht="25.5" customHeight="1">
      <c r="A427" s="46">
        <v>423</v>
      </c>
      <c r="B427" s="47" t="s">
        <v>2603</v>
      </c>
      <c r="C427" s="48" t="s">
        <v>2603</v>
      </c>
      <c r="D427" s="48"/>
      <c r="E427" s="48" t="s">
        <v>2609</v>
      </c>
      <c r="F427" s="137">
        <v>45000</v>
      </c>
      <c r="G427" s="136" t="s">
        <v>159</v>
      </c>
      <c r="H427" s="49">
        <v>896090.9</v>
      </c>
      <c r="I427" s="51" t="s">
        <v>324</v>
      </c>
      <c r="J427" s="51" t="s">
        <v>736</v>
      </c>
      <c r="K427" s="51"/>
    </row>
    <row r="428" spans="1:11" ht="25.5" customHeight="1">
      <c r="A428" s="40">
        <v>424</v>
      </c>
      <c r="B428" s="41" t="s">
        <v>2603</v>
      </c>
      <c r="C428" s="42" t="s">
        <v>2603</v>
      </c>
      <c r="D428" s="42"/>
      <c r="E428" s="42" t="s">
        <v>2610</v>
      </c>
      <c r="F428" s="135">
        <v>19500</v>
      </c>
      <c r="G428" s="134" t="s">
        <v>159</v>
      </c>
      <c r="H428" s="43">
        <v>876590.9</v>
      </c>
      <c r="I428" s="34" t="s">
        <v>737</v>
      </c>
      <c r="J428" s="34" t="s">
        <v>738</v>
      </c>
      <c r="K428" s="34" t="s">
        <v>830</v>
      </c>
    </row>
    <row r="429" spans="1:11" s="69" customFormat="1" ht="25.5" customHeight="1">
      <c r="A429" s="46">
        <v>425</v>
      </c>
      <c r="B429" s="47" t="s">
        <v>2603</v>
      </c>
      <c r="C429" s="48" t="s">
        <v>2603</v>
      </c>
      <c r="D429" s="48"/>
      <c r="E429" s="48" t="s">
        <v>2611</v>
      </c>
      <c r="F429" s="136" t="s">
        <v>159</v>
      </c>
      <c r="G429" s="137">
        <v>300000</v>
      </c>
      <c r="H429" s="50" t="s">
        <v>2612</v>
      </c>
      <c r="I429" s="51" t="s">
        <v>313</v>
      </c>
      <c r="J429" s="51" t="s">
        <v>312</v>
      </c>
      <c r="K429" s="51"/>
    </row>
    <row r="430" spans="1:11" s="69" customFormat="1" ht="25.5" customHeight="1">
      <c r="A430" s="46">
        <v>426</v>
      </c>
      <c r="B430" s="47" t="s">
        <v>2603</v>
      </c>
      <c r="C430" s="48" t="s">
        <v>2603</v>
      </c>
      <c r="D430" s="48"/>
      <c r="E430" s="54" t="s">
        <v>1349</v>
      </c>
      <c r="F430" s="137">
        <v>300000</v>
      </c>
      <c r="G430" s="136" t="s">
        <v>159</v>
      </c>
      <c r="H430" s="49">
        <v>876590.9</v>
      </c>
      <c r="I430" s="51" t="s">
        <v>313</v>
      </c>
      <c r="J430" s="51" t="s">
        <v>739</v>
      </c>
      <c r="K430" s="51" t="s">
        <v>830</v>
      </c>
    </row>
    <row r="431" spans="1:11" ht="25.5" customHeight="1">
      <c r="A431" s="40">
        <v>427</v>
      </c>
      <c r="B431" s="41" t="s">
        <v>2613</v>
      </c>
      <c r="C431" s="42" t="s">
        <v>2613</v>
      </c>
      <c r="D431" s="42"/>
      <c r="E431" s="42" t="s">
        <v>2614</v>
      </c>
      <c r="F431" s="135">
        <v>30000</v>
      </c>
      <c r="G431" s="134" t="s">
        <v>159</v>
      </c>
      <c r="H431" s="43">
        <v>846590.9</v>
      </c>
      <c r="I431" s="34" t="s">
        <v>605</v>
      </c>
      <c r="J431" s="34" t="s">
        <v>603</v>
      </c>
      <c r="K431" s="34"/>
    </row>
    <row r="432" spans="1:11" ht="25.5" customHeight="1">
      <c r="A432" s="40">
        <v>428</v>
      </c>
      <c r="B432" s="41" t="s">
        <v>2615</v>
      </c>
      <c r="C432" s="42" t="s">
        <v>2615</v>
      </c>
      <c r="D432" s="42"/>
      <c r="E432" s="42" t="s">
        <v>2616</v>
      </c>
      <c r="F432" s="134" t="s">
        <v>159</v>
      </c>
      <c r="G432" s="135">
        <v>404000</v>
      </c>
      <c r="H432" s="45" t="s">
        <v>2617</v>
      </c>
      <c r="I432" s="34" t="s">
        <v>349</v>
      </c>
      <c r="J432" s="34" t="s">
        <v>740</v>
      </c>
      <c r="K432" s="34" t="s">
        <v>794</v>
      </c>
    </row>
    <row r="433" spans="1:11" ht="25.5" customHeight="1">
      <c r="A433" s="40">
        <v>429</v>
      </c>
      <c r="B433" s="41" t="s">
        <v>2615</v>
      </c>
      <c r="C433" s="42" t="s">
        <v>2615</v>
      </c>
      <c r="D433" s="42"/>
      <c r="E433" s="42" t="s">
        <v>2618</v>
      </c>
      <c r="F433" s="160">
        <v>30000</v>
      </c>
      <c r="G433" s="134" t="s">
        <v>159</v>
      </c>
      <c r="H433" s="45" t="s">
        <v>2619</v>
      </c>
      <c r="I433" s="34" t="s">
        <v>369</v>
      </c>
      <c r="J433" s="34" t="s">
        <v>603</v>
      </c>
      <c r="K433" s="34"/>
    </row>
    <row r="434" spans="1:11" s="69" customFormat="1" ht="25.5" customHeight="1">
      <c r="A434" s="46">
        <v>430</v>
      </c>
      <c r="B434" s="47" t="s">
        <v>2620</v>
      </c>
      <c r="C434" s="48" t="s">
        <v>2620</v>
      </c>
      <c r="D434" s="48"/>
      <c r="E434" s="48" t="s">
        <v>2621</v>
      </c>
      <c r="F434" s="136" t="s">
        <v>159</v>
      </c>
      <c r="G434" s="137">
        <v>100000</v>
      </c>
      <c r="H434" s="50" t="s">
        <v>2622</v>
      </c>
      <c r="I434" s="51" t="s">
        <v>748</v>
      </c>
      <c r="J434" s="51" t="s">
        <v>105</v>
      </c>
      <c r="K434" s="51" t="s">
        <v>794</v>
      </c>
    </row>
    <row r="435" spans="1:11" s="69" customFormat="1" ht="25.5" customHeight="1">
      <c r="A435" s="46">
        <v>431</v>
      </c>
      <c r="B435" s="47" t="s">
        <v>2623</v>
      </c>
      <c r="C435" s="48" t="s">
        <v>2623</v>
      </c>
      <c r="D435" s="48"/>
      <c r="E435" s="54" t="s">
        <v>1350</v>
      </c>
      <c r="F435" s="136" t="s">
        <v>159</v>
      </c>
      <c r="G435" s="137">
        <v>207250</v>
      </c>
      <c r="H435" s="50" t="s">
        <v>2624</v>
      </c>
      <c r="I435" s="51" t="s">
        <v>50</v>
      </c>
      <c r="J435" s="51" t="s">
        <v>51</v>
      </c>
      <c r="K435" s="51" t="s">
        <v>794</v>
      </c>
    </row>
    <row r="436" spans="1:11" ht="25.5" customHeight="1">
      <c r="A436" s="40">
        <v>432</v>
      </c>
      <c r="B436" s="41" t="s">
        <v>2623</v>
      </c>
      <c r="C436" s="42" t="s">
        <v>2623</v>
      </c>
      <c r="D436" s="42"/>
      <c r="E436" s="42" t="s">
        <v>2625</v>
      </c>
      <c r="F436" s="135">
        <v>45000</v>
      </c>
      <c r="G436" s="134" t="s">
        <v>159</v>
      </c>
      <c r="H436" s="45" t="s">
        <v>2626</v>
      </c>
      <c r="I436" s="34" t="s">
        <v>731</v>
      </c>
      <c r="J436" s="34" t="s">
        <v>733</v>
      </c>
      <c r="K436" s="34"/>
    </row>
    <row r="437" spans="1:11" ht="25.5" customHeight="1">
      <c r="A437" s="40">
        <v>433</v>
      </c>
      <c r="B437" s="41" t="s">
        <v>2623</v>
      </c>
      <c r="C437" s="42" t="s">
        <v>2623</v>
      </c>
      <c r="D437" s="42"/>
      <c r="E437" s="42" t="s">
        <v>2627</v>
      </c>
      <c r="F437" s="160">
        <v>30000</v>
      </c>
      <c r="G437" s="134" t="s">
        <v>159</v>
      </c>
      <c r="H437" s="45" t="s">
        <v>2628</v>
      </c>
      <c r="I437" s="34" t="s">
        <v>37</v>
      </c>
      <c r="J437" s="34" t="s">
        <v>603</v>
      </c>
      <c r="K437" s="34"/>
    </row>
    <row r="438" spans="1:11" ht="25.5" customHeight="1">
      <c r="A438" s="40">
        <v>434</v>
      </c>
      <c r="B438" s="41" t="s">
        <v>2623</v>
      </c>
      <c r="C438" s="42" t="s">
        <v>2623</v>
      </c>
      <c r="D438" s="42"/>
      <c r="E438" s="42" t="s">
        <v>2629</v>
      </c>
      <c r="F438" s="160">
        <v>30000</v>
      </c>
      <c r="G438" s="134" t="s">
        <v>159</v>
      </c>
      <c r="H438" s="45" t="s">
        <v>2630</v>
      </c>
      <c r="I438" s="34" t="s">
        <v>365</v>
      </c>
      <c r="J438" s="34" t="s">
        <v>603</v>
      </c>
      <c r="K438" s="34"/>
    </row>
    <row r="439" spans="1:11" ht="25.5" customHeight="1">
      <c r="A439" s="40">
        <v>435</v>
      </c>
      <c r="B439" s="41" t="s">
        <v>2623</v>
      </c>
      <c r="C439" s="42" t="s">
        <v>2623</v>
      </c>
      <c r="D439" s="42"/>
      <c r="E439" s="42" t="s">
        <v>2631</v>
      </c>
      <c r="F439" s="160">
        <v>30000</v>
      </c>
      <c r="G439" s="134" t="s">
        <v>159</v>
      </c>
      <c r="H439" s="45" t="s">
        <v>2632</v>
      </c>
      <c r="I439" s="34" t="s">
        <v>741</v>
      </c>
      <c r="J439" s="34" t="s">
        <v>603</v>
      </c>
      <c r="K439" s="34"/>
    </row>
    <row r="440" spans="1:11" ht="25.5" customHeight="1">
      <c r="A440" s="40">
        <v>436</v>
      </c>
      <c r="B440" s="41" t="s">
        <v>2623</v>
      </c>
      <c r="C440" s="42" t="s">
        <v>2623</v>
      </c>
      <c r="D440" s="42"/>
      <c r="E440" s="42" t="s">
        <v>2633</v>
      </c>
      <c r="F440" s="160">
        <v>30000</v>
      </c>
      <c r="G440" s="134" t="s">
        <v>159</v>
      </c>
      <c r="H440" s="45" t="s">
        <v>2634</v>
      </c>
      <c r="I440" s="34" t="s">
        <v>606</v>
      </c>
      <c r="J440" s="55" t="s">
        <v>603</v>
      </c>
      <c r="K440" s="34"/>
    </row>
    <row r="441" spans="1:11" ht="25.5" customHeight="1">
      <c r="A441" s="40">
        <v>437</v>
      </c>
      <c r="B441" s="41" t="s">
        <v>2623</v>
      </c>
      <c r="C441" s="42" t="s">
        <v>2623</v>
      </c>
      <c r="D441" s="42"/>
      <c r="E441" s="42" t="s">
        <v>2635</v>
      </c>
      <c r="F441" s="135">
        <v>30000</v>
      </c>
      <c r="G441" s="134" t="s">
        <v>159</v>
      </c>
      <c r="H441" s="45" t="s">
        <v>2636</v>
      </c>
      <c r="I441" s="34" t="s">
        <v>411</v>
      </c>
      <c r="J441" s="34" t="s">
        <v>603</v>
      </c>
      <c r="K441" s="34"/>
    </row>
    <row r="442" spans="1:11" ht="25.5" customHeight="1">
      <c r="A442" s="40">
        <v>438</v>
      </c>
      <c r="B442" s="41" t="s">
        <v>2623</v>
      </c>
      <c r="C442" s="42" t="s">
        <v>2623</v>
      </c>
      <c r="D442" s="42"/>
      <c r="E442" s="42" t="s">
        <v>2637</v>
      </c>
      <c r="F442" s="135">
        <v>30000</v>
      </c>
      <c r="G442" s="134" t="s">
        <v>159</v>
      </c>
      <c r="H442" s="45" t="s">
        <v>2638</v>
      </c>
      <c r="I442" s="34" t="s">
        <v>86</v>
      </c>
      <c r="J442" s="34" t="s">
        <v>603</v>
      </c>
      <c r="K442" s="34"/>
    </row>
    <row r="443" spans="1:11" ht="25.5" customHeight="1">
      <c r="A443" s="40">
        <v>439</v>
      </c>
      <c r="B443" s="41" t="s">
        <v>2623</v>
      </c>
      <c r="C443" s="42" t="s">
        <v>2623</v>
      </c>
      <c r="D443" s="42"/>
      <c r="E443" s="42" t="s">
        <v>2639</v>
      </c>
      <c r="F443" s="135">
        <v>30000</v>
      </c>
      <c r="G443" s="134" t="s">
        <v>159</v>
      </c>
      <c r="H443" s="45" t="s">
        <v>2640</v>
      </c>
      <c r="I443" s="34" t="s">
        <v>607</v>
      </c>
      <c r="J443" s="34" t="s">
        <v>603</v>
      </c>
      <c r="K443" s="34"/>
    </row>
    <row r="444" spans="1:11" ht="25.5" customHeight="1">
      <c r="A444" s="40">
        <v>440</v>
      </c>
      <c r="B444" s="41" t="s">
        <v>2623</v>
      </c>
      <c r="C444" s="42" t="s">
        <v>2623</v>
      </c>
      <c r="D444" s="42"/>
      <c r="E444" s="42" t="s">
        <v>2641</v>
      </c>
      <c r="F444" s="135">
        <v>30000</v>
      </c>
      <c r="G444" s="134" t="s">
        <v>159</v>
      </c>
      <c r="H444" s="45" t="s">
        <v>2642</v>
      </c>
      <c r="I444" s="34" t="s">
        <v>700</v>
      </c>
      <c r="J444" s="34" t="s">
        <v>603</v>
      </c>
      <c r="K444" s="34"/>
    </row>
    <row r="445" spans="1:11" ht="25.5" customHeight="1">
      <c r="A445" s="40">
        <v>441</v>
      </c>
      <c r="B445" s="41" t="s">
        <v>2623</v>
      </c>
      <c r="C445" s="42" t="s">
        <v>2623</v>
      </c>
      <c r="D445" s="42"/>
      <c r="E445" s="42" t="s">
        <v>2643</v>
      </c>
      <c r="F445" s="135">
        <v>100000</v>
      </c>
      <c r="G445" s="134" t="s">
        <v>159</v>
      </c>
      <c r="H445" s="45" t="s">
        <v>2644</v>
      </c>
      <c r="I445" s="34" t="s">
        <v>700</v>
      </c>
      <c r="J445" s="34" t="s">
        <v>794</v>
      </c>
      <c r="K445" s="34"/>
    </row>
    <row r="446" spans="1:11" ht="25.5" customHeight="1">
      <c r="A446" s="40">
        <v>442</v>
      </c>
      <c r="B446" s="41" t="s">
        <v>2623</v>
      </c>
      <c r="C446" s="42" t="s">
        <v>2623</v>
      </c>
      <c r="D446" s="42"/>
      <c r="E446" s="42" t="s">
        <v>2645</v>
      </c>
      <c r="F446" s="135">
        <v>100000</v>
      </c>
      <c r="G446" s="134" t="s">
        <v>159</v>
      </c>
      <c r="H446" s="45" t="s">
        <v>2646</v>
      </c>
      <c r="I446" s="34" t="s">
        <v>2</v>
      </c>
      <c r="J446" s="34" t="s">
        <v>603</v>
      </c>
      <c r="K446" s="34"/>
    </row>
    <row r="447" spans="1:11" ht="25.5" customHeight="1">
      <c r="A447" s="40">
        <v>443</v>
      </c>
      <c r="B447" s="41" t="s">
        <v>2623</v>
      </c>
      <c r="C447" s="42" t="s">
        <v>2623</v>
      </c>
      <c r="D447" s="42"/>
      <c r="E447" s="42" t="s">
        <v>2647</v>
      </c>
      <c r="F447" s="135">
        <v>100000</v>
      </c>
      <c r="G447" s="134" t="s">
        <v>159</v>
      </c>
      <c r="H447" s="43">
        <v>942840.9</v>
      </c>
      <c r="I447" s="34" t="s">
        <v>4</v>
      </c>
      <c r="J447" s="34" t="s">
        <v>603</v>
      </c>
      <c r="K447" s="34"/>
    </row>
    <row r="448" spans="1:11" ht="25.5" customHeight="1">
      <c r="A448" s="40">
        <v>444</v>
      </c>
      <c r="B448" s="41" t="s">
        <v>2623</v>
      </c>
      <c r="C448" s="42" t="s">
        <v>2623</v>
      </c>
      <c r="D448" s="42"/>
      <c r="E448" s="42" t="s">
        <v>2648</v>
      </c>
      <c r="F448" s="135">
        <v>306453</v>
      </c>
      <c r="G448" s="134" t="s">
        <v>159</v>
      </c>
      <c r="H448" s="43">
        <v>636387.9</v>
      </c>
      <c r="I448" s="34" t="s">
        <v>742</v>
      </c>
      <c r="J448" s="34" t="s">
        <v>743</v>
      </c>
      <c r="K448" s="34" t="s">
        <v>794</v>
      </c>
    </row>
    <row r="449" spans="1:11" ht="25.5" customHeight="1">
      <c r="A449" s="40">
        <v>445</v>
      </c>
      <c r="B449" s="41" t="s">
        <v>2649</v>
      </c>
      <c r="C449" s="42" t="s">
        <v>2649</v>
      </c>
      <c r="D449" s="42"/>
      <c r="E449" s="42" t="s">
        <v>2650</v>
      </c>
      <c r="F449" s="135">
        <v>75000</v>
      </c>
      <c r="G449" s="134" t="s">
        <v>159</v>
      </c>
      <c r="H449" s="43">
        <v>561387.9</v>
      </c>
      <c r="I449" s="34" t="s">
        <v>614</v>
      </c>
      <c r="J449" s="34" t="s">
        <v>597</v>
      </c>
      <c r="K449" s="34" t="s">
        <v>794</v>
      </c>
    </row>
    <row r="450" spans="1:11" ht="25.5" customHeight="1">
      <c r="A450" s="40">
        <v>446</v>
      </c>
      <c r="B450" s="41" t="s">
        <v>2651</v>
      </c>
      <c r="C450" s="42" t="s">
        <v>2651</v>
      </c>
      <c r="D450" s="42"/>
      <c r="E450" s="42" t="s">
        <v>2652</v>
      </c>
      <c r="F450" s="135">
        <v>1000</v>
      </c>
      <c r="G450" s="134" t="s">
        <v>159</v>
      </c>
      <c r="H450" s="43">
        <v>560387.9</v>
      </c>
      <c r="I450" s="34" t="s">
        <v>742</v>
      </c>
      <c r="J450" s="34" t="s">
        <v>743</v>
      </c>
      <c r="K450" s="34" t="s">
        <v>794</v>
      </c>
    </row>
    <row r="451" spans="1:11" s="69" customFormat="1" ht="25.5" customHeight="1">
      <c r="A451" s="46">
        <v>447</v>
      </c>
      <c r="B451" s="47" t="s">
        <v>2651</v>
      </c>
      <c r="C451" s="48" t="s">
        <v>2651</v>
      </c>
      <c r="D451" s="48"/>
      <c r="E451" s="48" t="s">
        <v>2653</v>
      </c>
      <c r="F451" s="136" t="s">
        <v>159</v>
      </c>
      <c r="G451" s="137">
        <v>14000</v>
      </c>
      <c r="H451" s="49">
        <v>574387.9</v>
      </c>
      <c r="I451" s="51" t="s">
        <v>144</v>
      </c>
      <c r="J451" s="51" t="s">
        <v>143</v>
      </c>
      <c r="K451" s="51"/>
    </row>
    <row r="452" spans="1:11" ht="25.5" customHeight="1">
      <c r="A452" s="40">
        <v>448</v>
      </c>
      <c r="B452" s="41" t="s">
        <v>2651</v>
      </c>
      <c r="C452" s="42" t="s">
        <v>2651</v>
      </c>
      <c r="D452" s="42"/>
      <c r="E452" s="42" t="s">
        <v>2654</v>
      </c>
      <c r="F452" s="135">
        <v>20000</v>
      </c>
      <c r="G452" s="134" t="s">
        <v>159</v>
      </c>
      <c r="H452" s="43">
        <v>554387.9</v>
      </c>
      <c r="I452" s="34" t="s">
        <v>715</v>
      </c>
      <c r="J452" s="34" t="s">
        <v>603</v>
      </c>
      <c r="K452" s="34"/>
    </row>
    <row r="453" spans="1:11" s="69" customFormat="1" ht="25.5" customHeight="1">
      <c r="A453" s="46">
        <v>449</v>
      </c>
      <c r="B453" s="47" t="s">
        <v>2655</v>
      </c>
      <c r="C453" s="48" t="s">
        <v>2655</v>
      </c>
      <c r="D453" s="48"/>
      <c r="E453" s="48" t="s">
        <v>2656</v>
      </c>
      <c r="F453" s="136" t="s">
        <v>159</v>
      </c>
      <c r="G453" s="137">
        <v>110000</v>
      </c>
      <c r="H453" s="49">
        <v>664387.9</v>
      </c>
      <c r="I453" s="51" t="s">
        <v>375</v>
      </c>
      <c r="J453" s="51" t="s">
        <v>3137</v>
      </c>
      <c r="K453" s="51"/>
    </row>
    <row r="454" spans="1:11" ht="25.5" customHeight="1">
      <c r="A454" s="40">
        <v>450</v>
      </c>
      <c r="B454" s="41" t="s">
        <v>2655</v>
      </c>
      <c r="C454" s="42" t="s">
        <v>2655</v>
      </c>
      <c r="D454" s="42"/>
      <c r="E454" s="42" t="s">
        <v>2657</v>
      </c>
      <c r="F454" s="135">
        <v>50000</v>
      </c>
      <c r="G454" s="134" t="s">
        <v>159</v>
      </c>
      <c r="H454" s="43">
        <v>614387.9</v>
      </c>
      <c r="I454" s="34" t="s">
        <v>2</v>
      </c>
      <c r="J454" s="34" t="s">
        <v>603</v>
      </c>
      <c r="K454" s="34"/>
    </row>
    <row r="455" spans="1:11" ht="25.5" customHeight="1">
      <c r="A455" s="40">
        <v>451</v>
      </c>
      <c r="B455" s="41" t="s">
        <v>2658</v>
      </c>
      <c r="C455" s="42" t="s">
        <v>2658</v>
      </c>
      <c r="D455" s="42"/>
      <c r="E455" s="42" t="s">
        <v>2659</v>
      </c>
      <c r="F455" s="135">
        <v>200000</v>
      </c>
      <c r="G455" s="134" t="s">
        <v>159</v>
      </c>
      <c r="H455" s="43">
        <v>414387.9</v>
      </c>
      <c r="I455" s="34" t="s">
        <v>713</v>
      </c>
      <c r="J455" s="34" t="s">
        <v>601</v>
      </c>
      <c r="K455" s="34" t="s">
        <v>794</v>
      </c>
    </row>
    <row r="456" spans="1:11" ht="25.5" customHeight="1">
      <c r="A456" s="40">
        <v>452</v>
      </c>
      <c r="B456" s="41" t="s">
        <v>2660</v>
      </c>
      <c r="C456" s="42" t="s">
        <v>2660</v>
      </c>
      <c r="D456" s="42"/>
      <c r="E456" s="42" t="s">
        <v>2661</v>
      </c>
      <c r="F456" s="135">
        <v>20000</v>
      </c>
      <c r="G456" s="134" t="s">
        <v>159</v>
      </c>
      <c r="H456" s="43">
        <v>394387.9</v>
      </c>
      <c r="I456" s="34" t="s">
        <v>744</v>
      </c>
      <c r="J456" s="34" t="s">
        <v>603</v>
      </c>
      <c r="K456" s="34"/>
    </row>
    <row r="457" spans="1:11" s="69" customFormat="1" ht="25.5" customHeight="1">
      <c r="A457" s="46">
        <v>453</v>
      </c>
      <c r="B457" s="47" t="s">
        <v>2662</v>
      </c>
      <c r="C457" s="48" t="s">
        <v>2662</v>
      </c>
      <c r="D457" s="48"/>
      <c r="E457" s="48" t="s">
        <v>2663</v>
      </c>
      <c r="F457" s="136" t="s">
        <v>159</v>
      </c>
      <c r="G457" s="137">
        <v>600000</v>
      </c>
      <c r="H457" s="49">
        <v>994387.9</v>
      </c>
      <c r="I457" s="51" t="s">
        <v>745</v>
      </c>
      <c r="J457" s="51" t="s">
        <v>101</v>
      </c>
      <c r="K457" s="51"/>
    </row>
    <row r="458" spans="1:11" s="69" customFormat="1" ht="25.5" customHeight="1">
      <c r="A458" s="46">
        <v>454</v>
      </c>
      <c r="B458" s="47" t="s">
        <v>2664</v>
      </c>
      <c r="C458" s="48" t="s">
        <v>2664</v>
      </c>
      <c r="D458" s="48"/>
      <c r="E458" s="48" t="s">
        <v>2665</v>
      </c>
      <c r="F458" s="136" t="s">
        <v>159</v>
      </c>
      <c r="G458" s="137">
        <v>10000</v>
      </c>
      <c r="H458" s="50" t="s">
        <v>2666</v>
      </c>
      <c r="I458" s="51" t="s">
        <v>365</v>
      </c>
      <c r="J458" s="51" t="s">
        <v>746</v>
      </c>
      <c r="K458" s="51"/>
    </row>
    <row r="459" spans="1:11" s="69" customFormat="1" ht="25.5" customHeight="1">
      <c r="A459" s="46">
        <v>455</v>
      </c>
      <c r="B459" s="47" t="s">
        <v>2667</v>
      </c>
      <c r="C459" s="48" t="s">
        <v>2668</v>
      </c>
      <c r="D459" s="48"/>
      <c r="E459" s="48" t="s">
        <v>2669</v>
      </c>
      <c r="F459" s="137">
        <v>100000</v>
      </c>
      <c r="G459" s="136" t="s">
        <v>159</v>
      </c>
      <c r="H459" s="49">
        <v>904387.9</v>
      </c>
      <c r="I459" s="51" t="s">
        <v>106</v>
      </c>
      <c r="J459" s="51" t="s">
        <v>758</v>
      </c>
      <c r="K459" s="51" t="s">
        <v>794</v>
      </c>
    </row>
    <row r="460" spans="1:11" s="69" customFormat="1" ht="25.5" customHeight="1">
      <c r="A460" s="46">
        <v>456</v>
      </c>
      <c r="B460" s="47" t="s">
        <v>2667</v>
      </c>
      <c r="C460" s="48" t="s">
        <v>2668</v>
      </c>
      <c r="D460" s="48"/>
      <c r="E460" s="48" t="s">
        <v>2670</v>
      </c>
      <c r="F460" s="137">
        <v>381000</v>
      </c>
      <c r="G460" s="136" t="s">
        <v>159</v>
      </c>
      <c r="H460" s="49">
        <v>523387.9</v>
      </c>
      <c r="I460" s="51" t="s">
        <v>331</v>
      </c>
      <c r="J460" s="51" t="s">
        <v>747</v>
      </c>
      <c r="K460" s="51" t="s">
        <v>794</v>
      </c>
    </row>
    <row r="461" spans="1:11" ht="25.5" customHeight="1">
      <c r="A461" s="40">
        <v>457</v>
      </c>
      <c r="B461" s="41" t="s">
        <v>2668</v>
      </c>
      <c r="C461" s="42" t="s">
        <v>2668</v>
      </c>
      <c r="D461" s="42"/>
      <c r="E461" s="42" t="s">
        <v>2671</v>
      </c>
      <c r="F461" s="135">
        <v>20000</v>
      </c>
      <c r="G461" s="134" t="s">
        <v>159</v>
      </c>
      <c r="H461" s="43">
        <v>503387.9</v>
      </c>
      <c r="I461" s="34" t="s">
        <v>731</v>
      </c>
      <c r="J461" s="34" t="s">
        <v>733</v>
      </c>
      <c r="K461" s="34"/>
    </row>
    <row r="462" spans="1:11" ht="25.5" customHeight="1">
      <c r="A462" s="40">
        <v>458</v>
      </c>
      <c r="B462" s="41" t="s">
        <v>2668</v>
      </c>
      <c r="C462" s="42" t="s">
        <v>2668</v>
      </c>
      <c r="D462" s="42"/>
      <c r="E462" s="42" t="s">
        <v>2672</v>
      </c>
      <c r="F462" s="135">
        <v>90000</v>
      </c>
      <c r="G462" s="134" t="s">
        <v>159</v>
      </c>
      <c r="H462" s="43">
        <v>413387.9</v>
      </c>
      <c r="I462" s="34" t="s">
        <v>614</v>
      </c>
      <c r="J462" s="34" t="s">
        <v>597</v>
      </c>
      <c r="K462" s="34" t="s">
        <v>794</v>
      </c>
    </row>
    <row r="463" spans="1:11" ht="25.5" customHeight="1">
      <c r="A463" s="40">
        <v>459</v>
      </c>
      <c r="B463" s="41" t="s">
        <v>2668</v>
      </c>
      <c r="C463" s="42" t="s">
        <v>2668</v>
      </c>
      <c r="D463" s="42"/>
      <c r="E463" s="42" t="s">
        <v>2673</v>
      </c>
      <c r="F463" s="135">
        <v>30000</v>
      </c>
      <c r="G463" s="134" t="s">
        <v>159</v>
      </c>
      <c r="H463" s="43">
        <v>383387.9</v>
      </c>
      <c r="I463" s="34" t="s">
        <v>605</v>
      </c>
      <c r="J463" s="34" t="s">
        <v>603</v>
      </c>
      <c r="K463" s="34"/>
    </row>
    <row r="464" spans="1:11" s="69" customFormat="1" ht="25.5" customHeight="1">
      <c r="A464" s="46">
        <v>460</v>
      </c>
      <c r="B464" s="47" t="s">
        <v>2674</v>
      </c>
      <c r="C464" s="48" t="s">
        <v>2674</v>
      </c>
      <c r="D464" s="46">
        <v>903</v>
      </c>
      <c r="E464" s="54" t="s">
        <v>1351</v>
      </c>
      <c r="F464" s="137">
        <v>200000</v>
      </c>
      <c r="G464" s="136" t="s">
        <v>159</v>
      </c>
      <c r="H464" s="49">
        <v>183387.9</v>
      </c>
      <c r="I464" s="51" t="s">
        <v>100</v>
      </c>
      <c r="J464" s="51" t="s">
        <v>758</v>
      </c>
      <c r="K464" s="51" t="s">
        <v>794</v>
      </c>
    </row>
    <row r="465" spans="1:24" s="69" customFormat="1" ht="25.5" customHeight="1">
      <c r="A465" s="46">
        <v>461</v>
      </c>
      <c r="B465" s="47" t="s">
        <v>2674</v>
      </c>
      <c r="C465" s="48" t="s">
        <v>2674</v>
      </c>
      <c r="D465" s="48"/>
      <c r="E465" s="48" t="s">
        <v>2675</v>
      </c>
      <c r="F465" s="136" t="s">
        <v>159</v>
      </c>
      <c r="G465" s="137">
        <v>200000</v>
      </c>
      <c r="H465" s="49">
        <v>383387.9</v>
      </c>
      <c r="I465" s="51" t="s">
        <v>66</v>
      </c>
      <c r="J465" s="51" t="s">
        <v>751</v>
      </c>
      <c r="K465" s="51" t="s">
        <v>823</v>
      </c>
    </row>
    <row r="466" spans="1:24" s="69" customFormat="1" ht="25.5" customHeight="1">
      <c r="A466" s="46">
        <v>462</v>
      </c>
      <c r="B466" s="47" t="s">
        <v>2674</v>
      </c>
      <c r="C466" s="48" t="s">
        <v>2674</v>
      </c>
      <c r="D466" s="48"/>
      <c r="E466" s="48" t="s">
        <v>2676</v>
      </c>
      <c r="F466" s="136" t="s">
        <v>159</v>
      </c>
      <c r="G466" s="137">
        <v>300000</v>
      </c>
      <c r="H466" s="49">
        <v>683387.9</v>
      </c>
      <c r="I466" s="51" t="s">
        <v>78</v>
      </c>
      <c r="J466" s="51" t="s">
        <v>80</v>
      </c>
      <c r="K466" s="51" t="s">
        <v>830</v>
      </c>
    </row>
    <row r="467" spans="1:24" ht="25.5" customHeight="1">
      <c r="A467" s="40">
        <v>463</v>
      </c>
      <c r="B467" s="41" t="s">
        <v>2677</v>
      </c>
      <c r="C467" s="42" t="s">
        <v>2677</v>
      </c>
      <c r="D467" s="42"/>
      <c r="E467" s="42" t="s">
        <v>2678</v>
      </c>
      <c r="F467" s="135">
        <v>100000</v>
      </c>
      <c r="G467" s="134" t="s">
        <v>159</v>
      </c>
      <c r="H467" s="43">
        <v>583387.9</v>
      </c>
      <c r="I467" s="34" t="s">
        <v>475</v>
      </c>
      <c r="J467" s="34" t="s">
        <v>733</v>
      </c>
      <c r="K467" s="34"/>
    </row>
    <row r="468" spans="1:24" ht="25.5" customHeight="1">
      <c r="A468" s="40">
        <v>464</v>
      </c>
      <c r="B468" s="41" t="s">
        <v>2679</v>
      </c>
      <c r="C468" s="42" t="s">
        <v>2679</v>
      </c>
      <c r="D468" s="42"/>
      <c r="E468" s="42" t="s">
        <v>2680</v>
      </c>
      <c r="F468" s="160">
        <v>10000</v>
      </c>
      <c r="G468" s="134" t="s">
        <v>159</v>
      </c>
      <c r="H468" s="43">
        <v>573387.9</v>
      </c>
      <c r="I468" s="34" t="s">
        <v>604</v>
      </c>
      <c r="J468" s="34" t="s">
        <v>603</v>
      </c>
      <c r="K468" s="34"/>
    </row>
    <row r="469" spans="1:24" ht="25.5" customHeight="1">
      <c r="A469" s="40">
        <v>465</v>
      </c>
      <c r="B469" s="41" t="s">
        <v>2679</v>
      </c>
      <c r="C469" s="42" t="s">
        <v>2679</v>
      </c>
      <c r="D469" s="42"/>
      <c r="E469" s="42" t="s">
        <v>2681</v>
      </c>
      <c r="F469" s="160">
        <v>20000</v>
      </c>
      <c r="G469" s="134" t="s">
        <v>159</v>
      </c>
      <c r="H469" s="43">
        <v>553387.9</v>
      </c>
      <c r="I469" s="34" t="s">
        <v>604</v>
      </c>
      <c r="J469" s="34" t="s">
        <v>603</v>
      </c>
      <c r="K469" s="34"/>
    </row>
    <row r="470" spans="1:24" s="69" customFormat="1" ht="25.5" customHeight="1">
      <c r="A470" s="46">
        <v>466</v>
      </c>
      <c r="B470" s="47" t="s">
        <v>2682</v>
      </c>
      <c r="C470" s="48" t="s">
        <v>2683</v>
      </c>
      <c r="D470" s="48"/>
      <c r="E470" s="48" t="s">
        <v>2684</v>
      </c>
      <c r="F470" s="136" t="s">
        <v>159</v>
      </c>
      <c r="G470" s="137">
        <v>40000</v>
      </c>
      <c r="H470" s="49">
        <v>593387.9</v>
      </c>
      <c r="I470" s="51" t="s">
        <v>104</v>
      </c>
      <c r="J470" s="51" t="s">
        <v>105</v>
      </c>
      <c r="K470" s="51" t="s">
        <v>794</v>
      </c>
    </row>
    <row r="471" spans="1:24" ht="25.5" customHeight="1">
      <c r="A471" s="40">
        <v>467</v>
      </c>
      <c r="B471" s="41" t="s">
        <v>2685</v>
      </c>
      <c r="C471" s="42" t="s">
        <v>2683</v>
      </c>
      <c r="D471" s="42"/>
      <c r="E471" s="42" t="s">
        <v>2686</v>
      </c>
      <c r="F471" s="135">
        <v>21240</v>
      </c>
      <c r="G471" s="134" t="s">
        <v>159</v>
      </c>
      <c r="H471" s="43">
        <v>572147.9</v>
      </c>
      <c r="I471" s="34" t="s">
        <v>749</v>
      </c>
      <c r="J471" s="34" t="s">
        <v>750</v>
      </c>
      <c r="K471" s="34" t="s">
        <v>794</v>
      </c>
    </row>
    <row r="472" spans="1:24" s="69" customFormat="1" ht="25.5" customHeight="1">
      <c r="A472" s="46">
        <v>468</v>
      </c>
      <c r="B472" s="47" t="s">
        <v>2685</v>
      </c>
      <c r="C472" s="48" t="s">
        <v>2683</v>
      </c>
      <c r="D472" s="48"/>
      <c r="E472" s="48" t="s">
        <v>2687</v>
      </c>
      <c r="F472" s="136" t="s">
        <v>159</v>
      </c>
      <c r="G472" s="137">
        <v>200000</v>
      </c>
      <c r="H472" s="49">
        <v>772147.9</v>
      </c>
      <c r="I472" s="51" t="s">
        <v>748</v>
      </c>
      <c r="J472" s="51" t="s">
        <v>105</v>
      </c>
      <c r="K472" s="51" t="s">
        <v>794</v>
      </c>
    </row>
    <row r="473" spans="1:24" s="69" customFormat="1" ht="25.5" customHeight="1">
      <c r="A473" s="46">
        <v>469</v>
      </c>
      <c r="B473" s="47" t="s">
        <v>2683</v>
      </c>
      <c r="C473" s="48" t="s">
        <v>2683</v>
      </c>
      <c r="D473" s="48"/>
      <c r="E473" s="48" t="s">
        <v>2688</v>
      </c>
      <c r="F473" s="137">
        <v>51000</v>
      </c>
      <c r="G473" s="136" t="s">
        <v>159</v>
      </c>
      <c r="H473" s="49">
        <v>721147.9</v>
      </c>
      <c r="I473" s="51" t="s">
        <v>331</v>
      </c>
      <c r="J473" s="51" t="s">
        <v>747</v>
      </c>
      <c r="K473" s="51" t="s">
        <v>794</v>
      </c>
    </row>
    <row r="474" spans="1:24" ht="25.5" customHeight="1">
      <c r="A474" s="40">
        <v>470</v>
      </c>
      <c r="B474" s="41" t="s">
        <v>2689</v>
      </c>
      <c r="C474" s="42" t="s">
        <v>2689</v>
      </c>
      <c r="D474" s="42"/>
      <c r="E474" s="42" t="s">
        <v>2690</v>
      </c>
      <c r="F474" s="160">
        <v>30000</v>
      </c>
      <c r="G474" s="134" t="s">
        <v>159</v>
      </c>
      <c r="H474" s="43">
        <v>691147.9</v>
      </c>
      <c r="I474" s="34" t="s">
        <v>149</v>
      </c>
      <c r="J474" s="34" t="s">
        <v>603</v>
      </c>
      <c r="K474" s="34"/>
    </row>
    <row r="475" spans="1:24" ht="25.5" customHeight="1">
      <c r="A475" s="40">
        <v>471</v>
      </c>
      <c r="B475" s="41" t="s">
        <v>2689</v>
      </c>
      <c r="C475" s="42" t="s">
        <v>2689</v>
      </c>
      <c r="D475" s="42"/>
      <c r="E475" s="42" t="s">
        <v>2691</v>
      </c>
      <c r="F475" s="135">
        <v>45000</v>
      </c>
      <c r="G475" s="134" t="s">
        <v>159</v>
      </c>
      <c r="H475" s="43">
        <v>646147.9</v>
      </c>
      <c r="I475" s="34" t="s">
        <v>614</v>
      </c>
      <c r="J475" s="34" t="s">
        <v>597</v>
      </c>
      <c r="K475" s="34" t="s">
        <v>794</v>
      </c>
    </row>
    <row r="476" spans="1:24" ht="25.5" customHeight="1">
      <c r="A476" s="40">
        <v>472</v>
      </c>
      <c r="B476" s="41" t="s">
        <v>2692</v>
      </c>
      <c r="C476" s="42" t="s">
        <v>2692</v>
      </c>
      <c r="D476" s="42"/>
      <c r="E476" s="42" t="s">
        <v>2693</v>
      </c>
      <c r="F476" s="135">
        <v>100000</v>
      </c>
      <c r="G476" s="134" t="s">
        <v>159</v>
      </c>
      <c r="H476" s="43">
        <v>546147.9</v>
      </c>
      <c r="I476" s="34" t="s">
        <v>2</v>
      </c>
      <c r="J476" s="34" t="s">
        <v>603</v>
      </c>
      <c r="K476" s="34"/>
    </row>
    <row r="477" spans="1:24" ht="25.5" customHeight="1">
      <c r="A477" s="40">
        <v>473</v>
      </c>
      <c r="B477" s="41" t="s">
        <v>2692</v>
      </c>
      <c r="C477" s="42" t="s">
        <v>2692</v>
      </c>
      <c r="D477" s="42"/>
      <c r="E477" s="42" t="s">
        <v>2694</v>
      </c>
      <c r="F477" s="135">
        <v>100000</v>
      </c>
      <c r="G477" s="134" t="s">
        <v>159</v>
      </c>
      <c r="H477" s="43">
        <v>446147.9</v>
      </c>
      <c r="I477" s="34" t="s">
        <v>4</v>
      </c>
      <c r="J477" s="34" t="s">
        <v>603</v>
      </c>
      <c r="K477" s="34"/>
    </row>
    <row r="478" spans="1:24" s="69" customFormat="1" ht="25.5" customHeight="1">
      <c r="A478" s="46">
        <v>474</v>
      </c>
      <c r="B478" s="47" t="s">
        <v>2695</v>
      </c>
      <c r="C478" s="48" t="s">
        <v>2695</v>
      </c>
      <c r="D478" s="48"/>
      <c r="E478" s="48" t="s">
        <v>2696</v>
      </c>
      <c r="F478" s="136" t="s">
        <v>159</v>
      </c>
      <c r="G478" s="137">
        <v>275000</v>
      </c>
      <c r="H478" s="49">
        <v>721147.9</v>
      </c>
      <c r="I478" s="51" t="s">
        <v>759</v>
      </c>
      <c r="J478" s="51" t="s">
        <v>769</v>
      </c>
      <c r="K478" s="51"/>
    </row>
    <row r="479" spans="1:24" s="69" customFormat="1" ht="25.5" customHeight="1">
      <c r="A479" s="46">
        <v>475</v>
      </c>
      <c r="B479" s="47" t="s">
        <v>2695</v>
      </c>
      <c r="C479" s="48" t="s">
        <v>2695</v>
      </c>
      <c r="D479" s="48"/>
      <c r="E479" s="48" t="s">
        <v>2697</v>
      </c>
      <c r="F479" s="136" t="s">
        <v>159</v>
      </c>
      <c r="G479" s="137">
        <v>300000</v>
      </c>
      <c r="H479" s="50" t="s">
        <v>2698</v>
      </c>
      <c r="I479" s="51" t="s">
        <v>125</v>
      </c>
      <c r="J479" s="51" t="s">
        <v>114</v>
      </c>
      <c r="K479" s="51"/>
    </row>
    <row r="480" spans="1:24" ht="25.5" customHeight="1">
      <c r="A480" s="40">
        <v>476</v>
      </c>
      <c r="B480" s="41" t="s">
        <v>2699</v>
      </c>
      <c r="C480" s="42" t="s">
        <v>2699</v>
      </c>
      <c r="D480" s="42"/>
      <c r="E480" s="42" t="s">
        <v>2700</v>
      </c>
      <c r="F480" s="135">
        <v>100000</v>
      </c>
      <c r="G480" s="134" t="s">
        <v>159</v>
      </c>
      <c r="H480" s="43">
        <v>921147.9</v>
      </c>
      <c r="I480" s="34" t="s">
        <v>713</v>
      </c>
      <c r="J480" s="34" t="s">
        <v>601</v>
      </c>
      <c r="K480" s="34" t="s">
        <v>794</v>
      </c>
      <c r="N480" s="56"/>
      <c r="O480" s="57"/>
      <c r="P480" s="58"/>
      <c r="Q480" s="59"/>
      <c r="R480" s="59"/>
      <c r="S480" s="60"/>
      <c r="T480" s="60"/>
      <c r="U480" s="61"/>
      <c r="V480" s="34"/>
      <c r="W480" s="34"/>
      <c r="X480" s="34"/>
    </row>
    <row r="481" spans="1:11" s="69" customFormat="1" ht="25.5" customHeight="1">
      <c r="A481" s="46">
        <v>477</v>
      </c>
      <c r="B481" s="47" t="s">
        <v>2699</v>
      </c>
      <c r="C481" s="48" t="s">
        <v>2699</v>
      </c>
      <c r="D481" s="48"/>
      <c r="E481" s="48" t="s">
        <v>2701</v>
      </c>
      <c r="F481" s="136" t="s">
        <v>159</v>
      </c>
      <c r="G481" s="137">
        <v>300000</v>
      </c>
      <c r="H481" s="50" t="s">
        <v>2702</v>
      </c>
      <c r="I481" s="51" t="s">
        <v>125</v>
      </c>
      <c r="J481" s="51" t="s">
        <v>114</v>
      </c>
      <c r="K481" s="51"/>
    </row>
    <row r="482" spans="1:11" s="69" customFormat="1" ht="25.5" customHeight="1">
      <c r="A482" s="46">
        <v>478</v>
      </c>
      <c r="B482" s="47" t="s">
        <v>2699</v>
      </c>
      <c r="C482" s="48" t="s">
        <v>2699</v>
      </c>
      <c r="D482" s="48"/>
      <c r="E482" s="48" t="s">
        <v>2703</v>
      </c>
      <c r="F482" s="137">
        <v>229500</v>
      </c>
      <c r="G482" s="136" t="s">
        <v>159</v>
      </c>
      <c r="H482" s="49">
        <v>991647.9</v>
      </c>
      <c r="I482" s="51" t="s">
        <v>106</v>
      </c>
      <c r="J482" s="51" t="s">
        <v>760</v>
      </c>
      <c r="K482" s="51" t="s">
        <v>794</v>
      </c>
    </row>
    <row r="483" spans="1:11" ht="25.5" customHeight="1">
      <c r="A483" s="40">
        <v>479</v>
      </c>
      <c r="B483" s="41" t="s">
        <v>2704</v>
      </c>
      <c r="C483" s="42" t="s">
        <v>2704</v>
      </c>
      <c r="D483" s="42"/>
      <c r="E483" s="42" t="s">
        <v>2705</v>
      </c>
      <c r="F483" s="135">
        <v>60000</v>
      </c>
      <c r="G483" s="134" t="s">
        <v>159</v>
      </c>
      <c r="H483" s="43">
        <v>931647.9</v>
      </c>
      <c r="I483" s="34" t="s">
        <v>609</v>
      </c>
      <c r="J483" s="34" t="s">
        <v>146</v>
      </c>
      <c r="K483" s="34" t="s">
        <v>823</v>
      </c>
    </row>
    <row r="484" spans="1:11" ht="25.5" customHeight="1">
      <c r="A484" s="40">
        <v>480</v>
      </c>
      <c r="B484" s="41" t="s">
        <v>2704</v>
      </c>
      <c r="C484" s="42" t="s">
        <v>2704</v>
      </c>
      <c r="D484" s="42"/>
      <c r="E484" s="42" t="s">
        <v>2706</v>
      </c>
      <c r="F484" s="135">
        <v>14000</v>
      </c>
      <c r="G484" s="134" t="s">
        <v>159</v>
      </c>
      <c r="H484" s="43">
        <v>917647.9</v>
      </c>
      <c r="I484" s="34" t="s">
        <v>347</v>
      </c>
      <c r="J484" s="34" t="s">
        <v>761</v>
      </c>
      <c r="K484" s="34" t="s">
        <v>794</v>
      </c>
    </row>
    <row r="485" spans="1:11" s="69" customFormat="1" ht="25.5" customHeight="1">
      <c r="A485" s="46">
        <v>481</v>
      </c>
      <c r="B485" s="47" t="s">
        <v>2707</v>
      </c>
      <c r="C485" s="48" t="s">
        <v>2707</v>
      </c>
      <c r="D485" s="46">
        <v>901</v>
      </c>
      <c r="E485" s="54" t="s">
        <v>1352</v>
      </c>
      <c r="F485" s="137">
        <v>10000</v>
      </c>
      <c r="G485" s="136" t="s">
        <v>159</v>
      </c>
      <c r="H485" s="49">
        <v>907647.9</v>
      </c>
      <c r="I485" s="51" t="s">
        <v>762</v>
      </c>
      <c r="J485" s="51" t="s">
        <v>770</v>
      </c>
      <c r="K485" s="51" t="s">
        <v>794</v>
      </c>
    </row>
    <row r="486" spans="1:11" s="69" customFormat="1" ht="25.5" customHeight="1">
      <c r="A486" s="46">
        <v>482</v>
      </c>
      <c r="B486" s="47" t="s">
        <v>2708</v>
      </c>
      <c r="C486" s="48" t="s">
        <v>2709</v>
      </c>
      <c r="D486" s="48"/>
      <c r="E486" s="48" t="s">
        <v>2710</v>
      </c>
      <c r="F486" s="136" t="s">
        <v>159</v>
      </c>
      <c r="G486" s="137">
        <v>25000</v>
      </c>
      <c r="H486" s="49">
        <v>932647.9</v>
      </c>
      <c r="I486" s="51" t="s">
        <v>93</v>
      </c>
      <c r="J486" s="51" t="s">
        <v>94</v>
      </c>
      <c r="K486" s="51" t="s">
        <v>823</v>
      </c>
    </row>
    <row r="487" spans="1:11" s="69" customFormat="1" ht="25.5" customHeight="1">
      <c r="A487" s="46">
        <v>483</v>
      </c>
      <c r="B487" s="47" t="s">
        <v>2711</v>
      </c>
      <c r="C487" s="48" t="s">
        <v>2711</v>
      </c>
      <c r="D487" s="46">
        <v>904</v>
      </c>
      <c r="E487" s="54" t="s">
        <v>1351</v>
      </c>
      <c r="F487" s="137">
        <v>129500</v>
      </c>
      <c r="G487" s="136" t="s">
        <v>159</v>
      </c>
      <c r="H487" s="49">
        <v>803147.9</v>
      </c>
      <c r="I487" s="51" t="s">
        <v>100</v>
      </c>
      <c r="J487" s="51" t="s">
        <v>763</v>
      </c>
      <c r="K487" s="51" t="s">
        <v>794</v>
      </c>
    </row>
    <row r="488" spans="1:11" s="69" customFormat="1" ht="25.5" customHeight="1">
      <c r="A488" s="46">
        <v>484</v>
      </c>
      <c r="B488" s="47" t="s">
        <v>2711</v>
      </c>
      <c r="C488" s="48" t="s">
        <v>2711</v>
      </c>
      <c r="D488" s="48"/>
      <c r="E488" s="48" t="s">
        <v>2712</v>
      </c>
      <c r="F488" s="136" t="s">
        <v>159</v>
      </c>
      <c r="G488" s="137">
        <v>200000</v>
      </c>
      <c r="H488" s="50" t="s">
        <v>2713</v>
      </c>
      <c r="I488" s="51" t="s">
        <v>764</v>
      </c>
      <c r="J488" s="51" t="s">
        <v>112</v>
      </c>
      <c r="K488" s="51"/>
    </row>
    <row r="489" spans="1:11" ht="25.5" customHeight="1">
      <c r="A489" s="40">
        <v>485</v>
      </c>
      <c r="B489" s="41" t="s">
        <v>2714</v>
      </c>
      <c r="C489" s="42" t="s">
        <v>2714</v>
      </c>
      <c r="D489" s="42"/>
      <c r="E489" s="42" t="s">
        <v>2715</v>
      </c>
      <c r="F489" s="135">
        <v>49500</v>
      </c>
      <c r="G489" s="134" t="s">
        <v>159</v>
      </c>
      <c r="H489" s="43">
        <v>953647.9</v>
      </c>
      <c r="I489" s="34" t="s">
        <v>475</v>
      </c>
      <c r="J489" s="34" t="s">
        <v>725</v>
      </c>
      <c r="K489" s="34"/>
    </row>
    <row r="490" spans="1:11" ht="25.5" customHeight="1">
      <c r="A490" s="40">
        <v>486</v>
      </c>
      <c r="B490" s="41" t="s">
        <v>2714</v>
      </c>
      <c r="C490" s="42" t="s">
        <v>2714</v>
      </c>
      <c r="D490" s="42"/>
      <c r="E490" s="42" t="s">
        <v>2716</v>
      </c>
      <c r="F490" s="135">
        <v>80000</v>
      </c>
      <c r="G490" s="134" t="s">
        <v>159</v>
      </c>
      <c r="H490" s="43">
        <v>873647.9</v>
      </c>
      <c r="I490" s="34" t="s">
        <v>614</v>
      </c>
      <c r="J490" s="34" t="s">
        <v>597</v>
      </c>
      <c r="K490" s="34" t="s">
        <v>794</v>
      </c>
    </row>
    <row r="491" spans="1:11" s="69" customFormat="1" ht="25.5" customHeight="1">
      <c r="A491" s="46">
        <v>487</v>
      </c>
      <c r="B491" s="47" t="s">
        <v>2717</v>
      </c>
      <c r="C491" s="48" t="s">
        <v>2717</v>
      </c>
      <c r="D491" s="48"/>
      <c r="E491" s="48" t="s">
        <v>2718</v>
      </c>
      <c r="F491" s="136" t="s">
        <v>159</v>
      </c>
      <c r="G491" s="137">
        <v>100000</v>
      </c>
      <c r="H491" s="49">
        <v>973647.9</v>
      </c>
      <c r="I491" s="51" t="s">
        <v>121</v>
      </c>
      <c r="J491" s="51" t="s">
        <v>765</v>
      </c>
      <c r="K491" s="51"/>
    </row>
    <row r="492" spans="1:11" s="69" customFormat="1" ht="25.5" customHeight="1">
      <c r="A492" s="46">
        <v>488</v>
      </c>
      <c r="B492" s="47" t="s">
        <v>2717</v>
      </c>
      <c r="C492" s="48" t="s">
        <v>2717</v>
      </c>
      <c r="D492" s="48"/>
      <c r="E492" s="48" t="s">
        <v>2719</v>
      </c>
      <c r="F492" s="136" t="s">
        <v>159</v>
      </c>
      <c r="G492" s="137">
        <v>50000</v>
      </c>
      <c r="H492" s="50" t="s">
        <v>2720</v>
      </c>
      <c r="I492" s="51" t="s">
        <v>773</v>
      </c>
      <c r="J492" s="51" t="s">
        <v>3138</v>
      </c>
      <c r="K492" s="51"/>
    </row>
    <row r="493" spans="1:11" ht="25.5" customHeight="1">
      <c r="A493" s="40">
        <v>489</v>
      </c>
      <c r="B493" s="41" t="s">
        <v>2721</v>
      </c>
      <c r="C493" s="42" t="s">
        <v>2721</v>
      </c>
      <c r="D493" s="42"/>
      <c r="E493" s="42" t="s">
        <v>2722</v>
      </c>
      <c r="F493" s="135">
        <v>20000</v>
      </c>
      <c r="G493" s="134" t="s">
        <v>159</v>
      </c>
      <c r="H493" s="45" t="s">
        <v>2723</v>
      </c>
      <c r="I493" s="34" t="s">
        <v>744</v>
      </c>
      <c r="J493" s="34" t="s">
        <v>603</v>
      </c>
      <c r="K493" s="34"/>
    </row>
    <row r="494" spans="1:11" ht="25.5" customHeight="1">
      <c r="A494" s="40">
        <v>490</v>
      </c>
      <c r="B494" s="41" t="s">
        <v>2721</v>
      </c>
      <c r="C494" s="42" t="s">
        <v>2721</v>
      </c>
      <c r="D494" s="42"/>
      <c r="E494" s="42" t="s">
        <v>2724</v>
      </c>
      <c r="F494" s="135">
        <v>20000</v>
      </c>
      <c r="G494" s="134" t="s">
        <v>159</v>
      </c>
      <c r="H494" s="43">
        <v>983647.9</v>
      </c>
      <c r="I494" s="34" t="s">
        <v>715</v>
      </c>
      <c r="J494" s="34" t="s">
        <v>603</v>
      </c>
      <c r="K494" s="34"/>
    </row>
    <row r="495" spans="1:11" ht="25.5" customHeight="1">
      <c r="A495" s="40">
        <v>491</v>
      </c>
      <c r="B495" s="41" t="s">
        <v>2725</v>
      </c>
      <c r="C495" s="42" t="s">
        <v>2725</v>
      </c>
      <c r="D495" s="42"/>
      <c r="E495" s="42" t="s">
        <v>2726</v>
      </c>
      <c r="F495" s="160">
        <v>30000</v>
      </c>
      <c r="G495" s="134" t="s">
        <v>159</v>
      </c>
      <c r="H495" s="43">
        <v>953647.9</v>
      </c>
      <c r="I495" s="34" t="s">
        <v>37</v>
      </c>
      <c r="J495" s="34" t="s">
        <v>603</v>
      </c>
      <c r="K495" s="34"/>
    </row>
    <row r="496" spans="1:11" ht="25.5" customHeight="1">
      <c r="A496" s="40">
        <v>492</v>
      </c>
      <c r="B496" s="41" t="s">
        <v>2725</v>
      </c>
      <c r="C496" s="42" t="s">
        <v>2725</v>
      </c>
      <c r="D496" s="42"/>
      <c r="E496" s="42" t="s">
        <v>2727</v>
      </c>
      <c r="F496" s="135">
        <v>49500</v>
      </c>
      <c r="G496" s="134" t="s">
        <v>159</v>
      </c>
      <c r="H496" s="43">
        <v>904147.9</v>
      </c>
      <c r="I496" s="34" t="s">
        <v>475</v>
      </c>
      <c r="J496" s="34" t="s">
        <v>725</v>
      </c>
      <c r="K496" s="34"/>
    </row>
    <row r="497" spans="1:11" ht="25.5" customHeight="1">
      <c r="A497" s="40">
        <v>493</v>
      </c>
      <c r="B497" s="41" t="s">
        <v>2725</v>
      </c>
      <c r="C497" s="42" t="s">
        <v>2725</v>
      </c>
      <c r="D497" s="42"/>
      <c r="E497" s="42" t="s">
        <v>2728</v>
      </c>
      <c r="F497" s="135">
        <v>310000</v>
      </c>
      <c r="G497" s="134" t="s">
        <v>159</v>
      </c>
      <c r="H497" s="43">
        <v>594147.9</v>
      </c>
      <c r="I497" s="34" t="s">
        <v>713</v>
      </c>
      <c r="J497" s="34" t="s">
        <v>601</v>
      </c>
      <c r="K497" s="34" t="s">
        <v>794</v>
      </c>
    </row>
    <row r="498" spans="1:11" ht="25.5" customHeight="1">
      <c r="A498" s="40">
        <v>494</v>
      </c>
      <c r="B498" s="41" t="s">
        <v>2725</v>
      </c>
      <c r="C498" s="42" t="s">
        <v>2725</v>
      </c>
      <c r="D498" s="42"/>
      <c r="E498" s="42" t="s">
        <v>2729</v>
      </c>
      <c r="F498" s="135">
        <v>310000</v>
      </c>
      <c r="G498" s="134" t="s">
        <v>159</v>
      </c>
      <c r="H498" s="43">
        <v>284147.90000000002</v>
      </c>
      <c r="I498" s="34" t="s">
        <v>713</v>
      </c>
      <c r="J498" s="34" t="s">
        <v>601</v>
      </c>
      <c r="K498" s="34" t="s">
        <v>823</v>
      </c>
    </row>
    <row r="499" spans="1:11" ht="25.5" customHeight="1">
      <c r="A499" s="40">
        <v>495</v>
      </c>
      <c r="B499" s="41" t="s">
        <v>2725</v>
      </c>
      <c r="C499" s="42" t="s">
        <v>2725</v>
      </c>
      <c r="D499" s="42"/>
      <c r="E499" s="42" t="s">
        <v>2730</v>
      </c>
      <c r="F499" s="134" t="s">
        <v>159</v>
      </c>
      <c r="G499" s="135">
        <v>310000</v>
      </c>
      <c r="H499" s="43">
        <v>594147.9</v>
      </c>
      <c r="I499" s="34" t="s">
        <v>713</v>
      </c>
      <c r="J499" s="34" t="s">
        <v>767</v>
      </c>
      <c r="K499" s="34" t="s">
        <v>823</v>
      </c>
    </row>
    <row r="500" spans="1:11" ht="25.5" customHeight="1">
      <c r="A500" s="40">
        <v>496</v>
      </c>
      <c r="B500" s="41" t="s">
        <v>2725</v>
      </c>
      <c r="C500" s="42" t="s">
        <v>2725</v>
      </c>
      <c r="D500" s="42"/>
      <c r="E500" s="42" t="s">
        <v>2731</v>
      </c>
      <c r="F500" s="160">
        <v>30000</v>
      </c>
      <c r="G500" s="134" t="s">
        <v>159</v>
      </c>
      <c r="H500" s="43">
        <v>564147.9</v>
      </c>
      <c r="I500" s="34" t="s">
        <v>149</v>
      </c>
      <c r="J500" s="34" t="s">
        <v>603</v>
      </c>
      <c r="K500" s="34"/>
    </row>
    <row r="501" spans="1:11" s="69" customFormat="1" ht="25.5" customHeight="1">
      <c r="A501" s="46">
        <v>497</v>
      </c>
      <c r="B501" s="47" t="s">
        <v>2732</v>
      </c>
      <c r="C501" s="48" t="s">
        <v>2733</v>
      </c>
      <c r="D501" s="48"/>
      <c r="E501" s="48" t="s">
        <v>2734</v>
      </c>
      <c r="F501" s="136" t="s">
        <v>159</v>
      </c>
      <c r="G501" s="137">
        <v>10000</v>
      </c>
      <c r="H501" s="49">
        <v>574147.9</v>
      </c>
      <c r="I501" s="51" t="s">
        <v>775</v>
      </c>
      <c r="J501" s="51" t="s">
        <v>768</v>
      </c>
      <c r="K501" s="51" t="s">
        <v>823</v>
      </c>
    </row>
    <row r="502" spans="1:11" ht="25.5" customHeight="1">
      <c r="A502" s="40">
        <v>498</v>
      </c>
      <c r="B502" s="41" t="s">
        <v>2733</v>
      </c>
      <c r="C502" s="42" t="s">
        <v>2733</v>
      </c>
      <c r="D502" s="42"/>
      <c r="E502" s="42" t="s">
        <v>2735</v>
      </c>
      <c r="F502" s="134" t="s">
        <v>159</v>
      </c>
      <c r="G502" s="135">
        <v>260000</v>
      </c>
      <c r="H502" s="43">
        <v>834147.9</v>
      </c>
      <c r="I502" s="34" t="s">
        <v>352</v>
      </c>
      <c r="J502" s="34" t="s">
        <v>740</v>
      </c>
      <c r="K502" s="34" t="s">
        <v>794</v>
      </c>
    </row>
    <row r="503" spans="1:11" s="69" customFormat="1" ht="25.5" customHeight="1">
      <c r="A503" s="46">
        <v>499</v>
      </c>
      <c r="B503" s="47" t="s">
        <v>2733</v>
      </c>
      <c r="C503" s="48" t="s">
        <v>2733</v>
      </c>
      <c r="D503" s="48"/>
      <c r="E503" s="48" t="s">
        <v>2736</v>
      </c>
      <c r="F503" s="136" t="s">
        <v>159</v>
      </c>
      <c r="G503" s="137">
        <v>10000</v>
      </c>
      <c r="H503" s="49">
        <v>844147.9</v>
      </c>
      <c r="I503" s="51" t="s">
        <v>775</v>
      </c>
      <c r="J503" s="51" t="s">
        <v>771</v>
      </c>
      <c r="K503" s="51"/>
    </row>
    <row r="504" spans="1:11" s="69" customFormat="1" ht="25.5" customHeight="1">
      <c r="A504" s="46">
        <v>500</v>
      </c>
      <c r="B504" s="47" t="s">
        <v>2733</v>
      </c>
      <c r="C504" s="48" t="s">
        <v>2733</v>
      </c>
      <c r="D504" s="48"/>
      <c r="E504" s="48" t="s">
        <v>2737</v>
      </c>
      <c r="F504" s="136" t="s">
        <v>159</v>
      </c>
      <c r="G504" s="137">
        <v>10000</v>
      </c>
      <c r="H504" s="49">
        <v>854147.9</v>
      </c>
      <c r="I504" s="51" t="s">
        <v>774</v>
      </c>
      <c r="J504" s="51" t="s">
        <v>772</v>
      </c>
      <c r="K504" s="51"/>
    </row>
    <row r="505" spans="1:11" ht="25.5" customHeight="1">
      <c r="A505" s="40">
        <v>501</v>
      </c>
      <c r="B505" s="41" t="s">
        <v>2733</v>
      </c>
      <c r="C505" s="42" t="s">
        <v>2733</v>
      </c>
      <c r="D505" s="42"/>
      <c r="E505" s="42" t="s">
        <v>2738</v>
      </c>
      <c r="F505" s="134" t="s">
        <v>159</v>
      </c>
      <c r="G505" s="135">
        <v>600000</v>
      </c>
      <c r="H505" s="45" t="s">
        <v>2739</v>
      </c>
      <c r="I505" s="34" t="s">
        <v>351</v>
      </c>
      <c r="J505" s="34" t="s">
        <v>740</v>
      </c>
      <c r="K505" s="34" t="s">
        <v>823</v>
      </c>
    </row>
    <row r="506" spans="1:11" ht="25.5" customHeight="1">
      <c r="A506" s="40">
        <v>502</v>
      </c>
      <c r="B506" s="41" t="s">
        <v>2733</v>
      </c>
      <c r="C506" s="42" t="s">
        <v>2733</v>
      </c>
      <c r="D506" s="42"/>
      <c r="E506" s="42" t="s">
        <v>2740</v>
      </c>
      <c r="F506" s="134" t="s">
        <v>159</v>
      </c>
      <c r="G506" s="135">
        <v>520000</v>
      </c>
      <c r="H506" s="45" t="s">
        <v>2741</v>
      </c>
      <c r="I506" s="34" t="s">
        <v>349</v>
      </c>
      <c r="J506" s="34" t="s">
        <v>740</v>
      </c>
      <c r="K506" s="34" t="s">
        <v>794</v>
      </c>
    </row>
    <row r="507" spans="1:11" ht="25.5" customHeight="1">
      <c r="A507" s="40">
        <v>503</v>
      </c>
      <c r="B507" s="41" t="s">
        <v>2733</v>
      </c>
      <c r="C507" s="42" t="s">
        <v>2733</v>
      </c>
      <c r="D507" s="42"/>
      <c r="E507" s="42" t="s">
        <v>2742</v>
      </c>
      <c r="F507" s="160">
        <v>30000</v>
      </c>
      <c r="G507" s="134" t="s">
        <v>159</v>
      </c>
      <c r="H507" s="45" t="s">
        <v>2743</v>
      </c>
      <c r="I507" s="34" t="s">
        <v>604</v>
      </c>
      <c r="J507" s="34" t="s">
        <v>603</v>
      </c>
      <c r="K507" s="34"/>
    </row>
    <row r="508" spans="1:11" ht="25.5" customHeight="1">
      <c r="A508" s="40">
        <v>504</v>
      </c>
      <c r="B508" s="41" t="s">
        <v>2733</v>
      </c>
      <c r="C508" s="42" t="s">
        <v>2733</v>
      </c>
      <c r="D508" s="42"/>
      <c r="E508" s="38" t="s">
        <v>1353</v>
      </c>
      <c r="F508" s="135">
        <v>520000</v>
      </c>
      <c r="G508" s="134" t="s">
        <v>159</v>
      </c>
      <c r="H508" s="45" t="s">
        <v>2744</v>
      </c>
      <c r="I508" s="34" t="s">
        <v>349</v>
      </c>
      <c r="J508" s="34" t="s">
        <v>350</v>
      </c>
      <c r="K508" s="34" t="s">
        <v>823</v>
      </c>
    </row>
    <row r="509" spans="1:11" s="69" customFormat="1" ht="25.5" customHeight="1">
      <c r="A509" s="40">
        <v>505</v>
      </c>
      <c r="B509" s="47" t="s">
        <v>2745</v>
      </c>
      <c r="C509" s="48" t="s">
        <v>2745</v>
      </c>
      <c r="D509" s="48"/>
      <c r="E509" s="48" t="s">
        <v>2746</v>
      </c>
      <c r="F509" s="137">
        <v>200000</v>
      </c>
      <c r="G509" s="136" t="s">
        <v>159</v>
      </c>
      <c r="H509" s="50" t="s">
        <v>2747</v>
      </c>
      <c r="I509" s="51" t="s">
        <v>58</v>
      </c>
      <c r="J509" s="51" t="s">
        <v>778</v>
      </c>
      <c r="K509" s="51" t="s">
        <v>794</v>
      </c>
    </row>
    <row r="510" spans="1:11" s="69" customFormat="1" ht="25.5" customHeight="1">
      <c r="A510" s="40">
        <v>506</v>
      </c>
      <c r="B510" s="47" t="s">
        <v>2748</v>
      </c>
      <c r="C510" s="48" t="s">
        <v>2748</v>
      </c>
      <c r="D510" s="48"/>
      <c r="E510" s="48" t="s">
        <v>2749</v>
      </c>
      <c r="F510" s="136" t="s">
        <v>159</v>
      </c>
      <c r="G510" s="137">
        <v>300000</v>
      </c>
      <c r="H510" s="50" t="s">
        <v>2750</v>
      </c>
      <c r="I510" s="51" t="s">
        <v>779</v>
      </c>
      <c r="J510" s="51" t="s">
        <v>31</v>
      </c>
      <c r="K510" s="51" t="s">
        <v>794</v>
      </c>
    </row>
    <row r="511" spans="1:11" ht="25.5" customHeight="1">
      <c r="A511" s="40">
        <v>507</v>
      </c>
      <c r="B511" s="41" t="s">
        <v>2751</v>
      </c>
      <c r="C511" s="42" t="s">
        <v>2751</v>
      </c>
      <c r="D511" s="42"/>
      <c r="E511" s="42" t="s">
        <v>2752</v>
      </c>
      <c r="F511" s="135">
        <v>80000</v>
      </c>
      <c r="G511" s="134" t="s">
        <v>159</v>
      </c>
      <c r="H511" s="45" t="s">
        <v>2753</v>
      </c>
      <c r="I511" s="34" t="s">
        <v>614</v>
      </c>
      <c r="J511" s="34" t="s">
        <v>597</v>
      </c>
      <c r="K511" s="34" t="s">
        <v>794</v>
      </c>
    </row>
    <row r="512" spans="1:11" ht="25.5" customHeight="1">
      <c r="A512" s="40">
        <v>508</v>
      </c>
      <c r="B512" s="41" t="s">
        <v>2751</v>
      </c>
      <c r="C512" s="42" t="s">
        <v>2751</v>
      </c>
      <c r="D512" s="42"/>
      <c r="E512" s="42" t="s">
        <v>2754</v>
      </c>
      <c r="F512" s="135">
        <v>150000</v>
      </c>
      <c r="G512" s="134" t="s">
        <v>159</v>
      </c>
      <c r="H512" s="45" t="s">
        <v>2755</v>
      </c>
      <c r="I512" s="34" t="s">
        <v>2</v>
      </c>
      <c r="J512" s="34" t="s">
        <v>603</v>
      </c>
      <c r="K512" s="34"/>
    </row>
    <row r="513" spans="1:11" ht="25.5" customHeight="1">
      <c r="A513" s="40">
        <v>509</v>
      </c>
      <c r="B513" s="41" t="s">
        <v>2751</v>
      </c>
      <c r="C513" s="42" t="s">
        <v>2751</v>
      </c>
      <c r="D513" s="42"/>
      <c r="E513" s="42" t="s">
        <v>2756</v>
      </c>
      <c r="F513" s="135">
        <v>100000</v>
      </c>
      <c r="G513" s="134" t="s">
        <v>159</v>
      </c>
      <c r="H513" s="45" t="s">
        <v>2757</v>
      </c>
      <c r="I513" s="34" t="s">
        <v>4</v>
      </c>
      <c r="J513" s="34" t="s">
        <v>603</v>
      </c>
      <c r="K513" s="34"/>
    </row>
    <row r="514" spans="1:11" ht="25.5" customHeight="1">
      <c r="A514" s="40">
        <v>510</v>
      </c>
      <c r="B514" s="41" t="s">
        <v>2758</v>
      </c>
      <c r="C514" s="42" t="s">
        <v>2758</v>
      </c>
      <c r="D514" s="42"/>
      <c r="E514" s="42" t="s">
        <v>2759</v>
      </c>
      <c r="F514" s="134" t="s">
        <v>159</v>
      </c>
      <c r="G514" s="135">
        <v>200000</v>
      </c>
      <c r="H514" s="45" t="s">
        <v>2760</v>
      </c>
      <c r="I514" s="34" t="s">
        <v>411</v>
      </c>
      <c r="J514" s="34" t="s">
        <v>780</v>
      </c>
      <c r="K514" s="34"/>
    </row>
    <row r="515" spans="1:11" ht="25.5" customHeight="1">
      <c r="A515" s="40">
        <v>511</v>
      </c>
      <c r="B515" s="41" t="s">
        <v>2758</v>
      </c>
      <c r="C515" s="42" t="s">
        <v>2758</v>
      </c>
      <c r="D515" s="42"/>
      <c r="E515" s="42" t="s">
        <v>2761</v>
      </c>
      <c r="F515" s="134" t="s">
        <v>159</v>
      </c>
      <c r="G515" s="135">
        <v>520000</v>
      </c>
      <c r="H515" s="45" t="s">
        <v>2762</v>
      </c>
      <c r="I515" s="34" t="s">
        <v>349</v>
      </c>
      <c r="J515" s="34" t="s">
        <v>740</v>
      </c>
      <c r="K515" s="34" t="s">
        <v>794</v>
      </c>
    </row>
    <row r="516" spans="1:11" s="69" customFormat="1" ht="25.5" customHeight="1">
      <c r="A516" s="40">
        <v>512</v>
      </c>
      <c r="B516" s="47" t="s">
        <v>2763</v>
      </c>
      <c r="C516" s="48" t="s">
        <v>2763</v>
      </c>
      <c r="D516" s="48"/>
      <c r="E516" s="48" t="s">
        <v>2764</v>
      </c>
      <c r="F516" s="136" t="s">
        <v>159</v>
      </c>
      <c r="G516" s="137">
        <v>907000</v>
      </c>
      <c r="H516" s="50" t="s">
        <v>2765</v>
      </c>
      <c r="I516" s="51" t="s">
        <v>781</v>
      </c>
      <c r="J516" s="51" t="s">
        <v>782</v>
      </c>
      <c r="K516" s="51"/>
    </row>
    <row r="517" spans="1:11" s="69" customFormat="1" ht="25.5" customHeight="1">
      <c r="A517" s="40">
        <v>513</v>
      </c>
      <c r="B517" s="47" t="s">
        <v>2766</v>
      </c>
      <c r="C517" s="48" t="s">
        <v>2766</v>
      </c>
      <c r="D517" s="48"/>
      <c r="E517" s="48" t="s">
        <v>2767</v>
      </c>
      <c r="F517" s="136" t="s">
        <v>159</v>
      </c>
      <c r="G517" s="137">
        <v>100000</v>
      </c>
      <c r="H517" s="50" t="s">
        <v>2768</v>
      </c>
      <c r="I517" s="51" t="s">
        <v>327</v>
      </c>
      <c r="J517" s="51" t="s">
        <v>771</v>
      </c>
      <c r="K517" s="51"/>
    </row>
    <row r="518" spans="1:11" s="69" customFormat="1" ht="25.5" customHeight="1">
      <c r="A518" s="40">
        <v>514</v>
      </c>
      <c r="B518" s="47" t="s">
        <v>2766</v>
      </c>
      <c r="C518" s="48" t="s">
        <v>2766</v>
      </c>
      <c r="D518" s="48"/>
      <c r="E518" s="48" t="s">
        <v>2769</v>
      </c>
      <c r="F518" s="136" t="s">
        <v>159</v>
      </c>
      <c r="G518" s="137">
        <v>8000</v>
      </c>
      <c r="H518" s="50" t="s">
        <v>2770</v>
      </c>
      <c r="I518" s="51" t="s">
        <v>818</v>
      </c>
      <c r="J518" s="51" t="s">
        <v>783</v>
      </c>
      <c r="K518" s="51"/>
    </row>
    <row r="519" spans="1:11" s="69" customFormat="1" ht="25.5" customHeight="1">
      <c r="A519" s="40">
        <v>515</v>
      </c>
      <c r="B519" s="47" t="s">
        <v>2771</v>
      </c>
      <c r="C519" s="48" t="s">
        <v>2771</v>
      </c>
      <c r="D519" s="48"/>
      <c r="E519" s="48" t="s">
        <v>2772</v>
      </c>
      <c r="F519" s="137">
        <v>30000</v>
      </c>
      <c r="G519" s="136" t="s">
        <v>159</v>
      </c>
      <c r="H519" s="50" t="s">
        <v>2773</v>
      </c>
      <c r="I519" s="51" t="s">
        <v>618</v>
      </c>
      <c r="J519" s="51" t="s">
        <v>784</v>
      </c>
      <c r="K519" s="51" t="s">
        <v>823</v>
      </c>
    </row>
    <row r="520" spans="1:11" s="69" customFormat="1" ht="25.5" customHeight="1">
      <c r="A520" s="40">
        <v>516</v>
      </c>
      <c r="B520" s="47" t="s">
        <v>2771</v>
      </c>
      <c r="C520" s="48" t="s">
        <v>2771</v>
      </c>
      <c r="D520" s="48"/>
      <c r="E520" s="48" t="s">
        <v>2774</v>
      </c>
      <c r="F520" s="137">
        <v>170000</v>
      </c>
      <c r="G520" s="136" t="s">
        <v>159</v>
      </c>
      <c r="H520" s="50" t="s">
        <v>2775</v>
      </c>
      <c r="I520" s="51" t="s">
        <v>616</v>
      </c>
      <c r="J520" s="51" t="s">
        <v>784</v>
      </c>
      <c r="K520" s="51" t="s">
        <v>794</v>
      </c>
    </row>
    <row r="521" spans="1:11" s="69" customFormat="1" ht="25.5" customHeight="1">
      <c r="A521" s="40">
        <v>517</v>
      </c>
      <c r="B521" s="47" t="s">
        <v>2771</v>
      </c>
      <c r="C521" s="48" t="s">
        <v>2771</v>
      </c>
      <c r="D521" s="48"/>
      <c r="E521" s="48" t="s">
        <v>2776</v>
      </c>
      <c r="F521" s="137">
        <v>45000</v>
      </c>
      <c r="G521" s="136" t="s">
        <v>159</v>
      </c>
      <c r="H521" s="50" t="s">
        <v>2777</v>
      </c>
      <c r="I521" s="51" t="s">
        <v>730</v>
      </c>
      <c r="J521" s="51" t="s">
        <v>784</v>
      </c>
      <c r="K521" s="51" t="s">
        <v>794</v>
      </c>
    </row>
    <row r="522" spans="1:11" s="69" customFormat="1" ht="25.5" customHeight="1">
      <c r="A522" s="40">
        <v>518</v>
      </c>
      <c r="B522" s="47" t="s">
        <v>2771</v>
      </c>
      <c r="C522" s="48" t="s">
        <v>2771</v>
      </c>
      <c r="D522" s="48"/>
      <c r="E522" s="48" t="s">
        <v>2776</v>
      </c>
      <c r="F522" s="136" t="s">
        <v>159</v>
      </c>
      <c r="G522" s="137">
        <v>45000</v>
      </c>
      <c r="H522" s="50" t="s">
        <v>2775</v>
      </c>
      <c r="I522" s="51" t="s">
        <v>730</v>
      </c>
      <c r="J522" s="51" t="s">
        <v>55</v>
      </c>
      <c r="K522" s="51" t="s">
        <v>794</v>
      </c>
    </row>
    <row r="523" spans="1:11" s="69" customFormat="1" ht="25.5" customHeight="1">
      <c r="A523" s="40">
        <v>519</v>
      </c>
      <c r="B523" s="47" t="s">
        <v>2771</v>
      </c>
      <c r="C523" s="48" t="s">
        <v>2771</v>
      </c>
      <c r="D523" s="48"/>
      <c r="E523" s="48" t="s">
        <v>2778</v>
      </c>
      <c r="F523" s="137">
        <v>80000</v>
      </c>
      <c r="G523" s="136" t="s">
        <v>159</v>
      </c>
      <c r="H523" s="50" t="s">
        <v>2779</v>
      </c>
      <c r="I523" s="51" t="s">
        <v>785</v>
      </c>
      <c r="J523" s="51" t="s">
        <v>784</v>
      </c>
      <c r="K523" s="51" t="s">
        <v>794</v>
      </c>
    </row>
    <row r="524" spans="1:11" s="69" customFormat="1" ht="25.5" customHeight="1">
      <c r="A524" s="40">
        <v>520</v>
      </c>
      <c r="B524" s="47" t="s">
        <v>2771</v>
      </c>
      <c r="C524" s="48" t="s">
        <v>2771</v>
      </c>
      <c r="D524" s="48"/>
      <c r="E524" s="48" t="s">
        <v>2780</v>
      </c>
      <c r="F524" s="137">
        <v>45000</v>
      </c>
      <c r="G524" s="136" t="s">
        <v>159</v>
      </c>
      <c r="H524" s="50" t="s">
        <v>2781</v>
      </c>
      <c r="I524" s="51" t="s">
        <v>730</v>
      </c>
      <c r="J524" s="51" t="s">
        <v>784</v>
      </c>
      <c r="K524" s="51" t="s">
        <v>794</v>
      </c>
    </row>
    <row r="525" spans="1:11" ht="25.5" customHeight="1">
      <c r="A525" s="40">
        <v>521</v>
      </c>
      <c r="B525" s="41" t="s">
        <v>2782</v>
      </c>
      <c r="C525" s="42" t="s">
        <v>2782</v>
      </c>
      <c r="D525" s="42"/>
      <c r="E525" s="42" t="s">
        <v>2783</v>
      </c>
      <c r="F525" s="134" t="s">
        <v>159</v>
      </c>
      <c r="G525" s="135">
        <v>200000</v>
      </c>
      <c r="H525" s="45" t="s">
        <v>2784</v>
      </c>
      <c r="I525" s="34" t="s">
        <v>599</v>
      </c>
      <c r="J525" s="34" t="s">
        <v>786</v>
      </c>
      <c r="K525" s="34"/>
    </row>
    <row r="526" spans="1:11" ht="25.5" customHeight="1">
      <c r="A526" s="40">
        <v>522</v>
      </c>
      <c r="B526" s="41" t="s">
        <v>2782</v>
      </c>
      <c r="C526" s="42" t="s">
        <v>2782</v>
      </c>
      <c r="D526" s="42"/>
      <c r="E526" s="42" t="s">
        <v>2785</v>
      </c>
      <c r="F526" s="134" t="s">
        <v>159</v>
      </c>
      <c r="G526" s="135">
        <v>100000</v>
      </c>
      <c r="H526" s="45" t="s">
        <v>2786</v>
      </c>
      <c r="I526" s="34" t="s">
        <v>700</v>
      </c>
      <c r="J526" s="34" t="s">
        <v>787</v>
      </c>
      <c r="K526" s="34"/>
    </row>
    <row r="527" spans="1:11" s="69" customFormat="1" ht="25.5" customHeight="1">
      <c r="A527" s="40">
        <v>523</v>
      </c>
      <c r="B527" s="47" t="s">
        <v>2782</v>
      </c>
      <c r="C527" s="48" t="s">
        <v>2782</v>
      </c>
      <c r="D527" s="48"/>
      <c r="E527" s="48" t="s">
        <v>2787</v>
      </c>
      <c r="F527" s="136" t="s">
        <v>159</v>
      </c>
      <c r="G527" s="137">
        <v>315000</v>
      </c>
      <c r="H527" s="50" t="s">
        <v>2788</v>
      </c>
      <c r="I527" s="51" t="s">
        <v>376</v>
      </c>
      <c r="J527" s="51" t="s">
        <v>336</v>
      </c>
      <c r="K527" s="51" t="s">
        <v>823</v>
      </c>
    </row>
    <row r="528" spans="1:11" s="69" customFormat="1" ht="25.5" customHeight="1">
      <c r="A528" s="40">
        <v>524</v>
      </c>
      <c r="B528" s="47" t="s">
        <v>2782</v>
      </c>
      <c r="C528" s="48" t="s">
        <v>2782</v>
      </c>
      <c r="D528" s="48"/>
      <c r="E528" s="48" t="s">
        <v>2789</v>
      </c>
      <c r="F528" s="136" t="s">
        <v>159</v>
      </c>
      <c r="G528" s="137">
        <v>300000</v>
      </c>
      <c r="H528" s="50" t="s">
        <v>2790</v>
      </c>
      <c r="I528" s="51" t="s">
        <v>313</v>
      </c>
      <c r="J528" s="51" t="s">
        <v>312</v>
      </c>
      <c r="K528" s="51"/>
    </row>
    <row r="529" spans="1:11" s="69" customFormat="1" ht="25.5" customHeight="1">
      <c r="A529" s="40">
        <v>525</v>
      </c>
      <c r="B529" s="47" t="s">
        <v>2782</v>
      </c>
      <c r="C529" s="48" t="s">
        <v>2782</v>
      </c>
      <c r="D529" s="48"/>
      <c r="E529" s="54" t="s">
        <v>1354</v>
      </c>
      <c r="F529" s="137">
        <v>300000</v>
      </c>
      <c r="G529" s="136" t="s">
        <v>159</v>
      </c>
      <c r="H529" s="50" t="s">
        <v>2788</v>
      </c>
      <c r="I529" s="51" t="s">
        <v>313</v>
      </c>
      <c r="J529" s="51" t="s">
        <v>739</v>
      </c>
      <c r="K529" s="51" t="s">
        <v>794</v>
      </c>
    </row>
    <row r="530" spans="1:11" ht="25.5" customHeight="1">
      <c r="A530" s="40">
        <v>526</v>
      </c>
      <c r="B530" s="41" t="s">
        <v>2782</v>
      </c>
      <c r="C530" s="42" t="s">
        <v>2782</v>
      </c>
      <c r="D530" s="42"/>
      <c r="E530" s="38" t="s">
        <v>1355</v>
      </c>
      <c r="F530" s="135">
        <v>118</v>
      </c>
      <c r="G530" s="134" t="s">
        <v>159</v>
      </c>
      <c r="H530" s="45" t="s">
        <v>2791</v>
      </c>
      <c r="I530" s="34" t="s">
        <v>38</v>
      </c>
      <c r="J530" s="34" t="s">
        <v>788</v>
      </c>
      <c r="K530" s="34" t="s">
        <v>794</v>
      </c>
    </row>
    <row r="531" spans="1:11" s="69" customFormat="1" ht="25.5" customHeight="1">
      <c r="A531" s="40">
        <v>527</v>
      </c>
      <c r="B531" s="47" t="s">
        <v>2792</v>
      </c>
      <c r="C531" s="48" t="s">
        <v>2792</v>
      </c>
      <c r="D531" s="48"/>
      <c r="E531" s="48" t="s">
        <v>2793</v>
      </c>
      <c r="F531" s="136" t="s">
        <v>159</v>
      </c>
      <c r="G531" s="137">
        <v>11000</v>
      </c>
      <c r="H531" s="50" t="s">
        <v>2794</v>
      </c>
      <c r="I531" s="51" t="s">
        <v>789</v>
      </c>
      <c r="J531" s="51" t="s">
        <v>811</v>
      </c>
      <c r="K531" s="51" t="s">
        <v>794</v>
      </c>
    </row>
    <row r="532" spans="1:11" s="69" customFormat="1" ht="25.5" customHeight="1">
      <c r="A532" s="40">
        <v>528</v>
      </c>
      <c r="B532" s="47" t="s">
        <v>2792</v>
      </c>
      <c r="C532" s="48" t="s">
        <v>2792</v>
      </c>
      <c r="D532" s="48"/>
      <c r="E532" s="48" t="s">
        <v>2795</v>
      </c>
      <c r="F532" s="136" t="s">
        <v>159</v>
      </c>
      <c r="G532" s="137">
        <v>10000</v>
      </c>
      <c r="H532" s="50" t="s">
        <v>2796</v>
      </c>
      <c r="I532" s="51" t="s">
        <v>812</v>
      </c>
      <c r="J532" s="51" t="s">
        <v>813</v>
      </c>
      <c r="K532" s="51"/>
    </row>
    <row r="533" spans="1:11" s="69" customFormat="1" ht="25.5" customHeight="1">
      <c r="A533" s="40">
        <v>529</v>
      </c>
      <c r="B533" s="47" t="s">
        <v>2797</v>
      </c>
      <c r="C533" s="48" t="s">
        <v>2797</v>
      </c>
      <c r="D533" s="48"/>
      <c r="E533" s="48" t="s">
        <v>2798</v>
      </c>
      <c r="F533" s="136" t="s">
        <v>159</v>
      </c>
      <c r="G533" s="137">
        <v>5000</v>
      </c>
      <c r="H533" s="50" t="s">
        <v>2799</v>
      </c>
      <c r="I533" s="51" t="s">
        <v>790</v>
      </c>
      <c r="J533" s="51" t="s">
        <v>791</v>
      </c>
      <c r="K533" s="51" t="s">
        <v>830</v>
      </c>
    </row>
    <row r="534" spans="1:11" s="69" customFormat="1" ht="25.5" customHeight="1">
      <c r="A534" s="40">
        <v>530</v>
      </c>
      <c r="B534" s="47" t="s">
        <v>2797</v>
      </c>
      <c r="C534" s="48" t="s">
        <v>2797</v>
      </c>
      <c r="D534" s="48"/>
      <c r="E534" s="48" t="s">
        <v>2800</v>
      </c>
      <c r="F534" s="136" t="s">
        <v>159</v>
      </c>
      <c r="G534" s="137">
        <v>45000</v>
      </c>
      <c r="H534" s="50" t="s">
        <v>2801</v>
      </c>
      <c r="I534" s="51" t="s">
        <v>790</v>
      </c>
      <c r="J534" s="51" t="s">
        <v>151</v>
      </c>
      <c r="K534" s="51"/>
    </row>
    <row r="535" spans="1:11" ht="25.5" customHeight="1">
      <c r="A535" s="40">
        <v>531</v>
      </c>
      <c r="B535" s="41" t="s">
        <v>2802</v>
      </c>
      <c r="C535" s="42" t="s">
        <v>2802</v>
      </c>
      <c r="D535" s="42"/>
      <c r="E535" s="42" t="s">
        <v>2803</v>
      </c>
      <c r="F535" s="135">
        <v>806000</v>
      </c>
      <c r="G535" s="134" t="s">
        <v>159</v>
      </c>
      <c r="H535" s="45" t="s">
        <v>2804</v>
      </c>
      <c r="I535" s="34" t="s">
        <v>792</v>
      </c>
      <c r="J535" s="34" t="s">
        <v>350</v>
      </c>
      <c r="K535" s="34" t="s">
        <v>827</v>
      </c>
    </row>
    <row r="536" spans="1:11" ht="25.5" customHeight="1">
      <c r="A536" s="40">
        <v>532</v>
      </c>
      <c r="B536" s="41" t="s">
        <v>2802</v>
      </c>
      <c r="C536" s="42" t="s">
        <v>2802</v>
      </c>
      <c r="D536" s="42"/>
      <c r="E536" s="42" t="s">
        <v>2805</v>
      </c>
      <c r="F536" s="135">
        <v>306000</v>
      </c>
      <c r="G536" s="134" t="s">
        <v>159</v>
      </c>
      <c r="H536" s="45" t="s">
        <v>2806</v>
      </c>
      <c r="I536" s="34" t="s">
        <v>356</v>
      </c>
      <c r="J536" s="34" t="s">
        <v>350</v>
      </c>
      <c r="K536" s="34" t="s">
        <v>794</v>
      </c>
    </row>
    <row r="537" spans="1:11" s="69" customFormat="1" ht="25.5" customHeight="1">
      <c r="A537" s="40">
        <v>533</v>
      </c>
      <c r="B537" s="47" t="s">
        <v>2807</v>
      </c>
      <c r="C537" s="48" t="s">
        <v>2808</v>
      </c>
      <c r="D537" s="48"/>
      <c r="E537" s="48" t="s">
        <v>2809</v>
      </c>
      <c r="F537" s="136" t="s">
        <v>159</v>
      </c>
      <c r="G537" s="137">
        <v>5000</v>
      </c>
      <c r="H537" s="50" t="s">
        <v>2810</v>
      </c>
      <c r="I537" s="51" t="s">
        <v>815</v>
      </c>
      <c r="J537" s="51" t="s">
        <v>814</v>
      </c>
      <c r="K537" s="51"/>
    </row>
    <row r="538" spans="1:11" ht="25.5" customHeight="1">
      <c r="A538" s="40">
        <v>534</v>
      </c>
      <c r="B538" s="41" t="s">
        <v>2807</v>
      </c>
      <c r="C538" s="42" t="s">
        <v>2808</v>
      </c>
      <c r="D538" s="42"/>
      <c r="E538" s="42" t="s">
        <v>2811</v>
      </c>
      <c r="F538" s="134" t="s">
        <v>159</v>
      </c>
      <c r="G538" s="135">
        <v>100000</v>
      </c>
      <c r="H538" s="45" t="s">
        <v>2812</v>
      </c>
      <c r="I538" s="34" t="s">
        <v>116</v>
      </c>
      <c r="J538" s="34" t="s">
        <v>697</v>
      </c>
      <c r="K538" s="34"/>
    </row>
    <row r="539" spans="1:11" s="69" customFormat="1" ht="25.5" customHeight="1">
      <c r="A539" s="40">
        <v>535</v>
      </c>
      <c r="B539" s="47" t="s">
        <v>2813</v>
      </c>
      <c r="C539" s="48" t="s">
        <v>2813</v>
      </c>
      <c r="D539" s="48"/>
      <c r="E539" s="48" t="s">
        <v>2814</v>
      </c>
      <c r="F539" s="136" t="s">
        <v>159</v>
      </c>
      <c r="G539" s="137">
        <v>391000</v>
      </c>
      <c r="H539" s="50" t="s">
        <v>2815</v>
      </c>
      <c r="I539" s="51" t="s">
        <v>137</v>
      </c>
      <c r="J539" s="51" t="s">
        <v>809</v>
      </c>
      <c r="K539" s="51" t="s">
        <v>823</v>
      </c>
    </row>
    <row r="540" spans="1:11" ht="25.5" customHeight="1">
      <c r="A540" s="40">
        <v>536</v>
      </c>
      <c r="B540" s="41" t="s">
        <v>2816</v>
      </c>
      <c r="C540" s="42" t="s">
        <v>2816</v>
      </c>
      <c r="D540" s="42"/>
      <c r="E540" s="42" t="s">
        <v>2817</v>
      </c>
      <c r="F540" s="135">
        <v>700000</v>
      </c>
      <c r="G540" s="134" t="s">
        <v>159</v>
      </c>
      <c r="H540" s="45" t="s">
        <v>2818</v>
      </c>
      <c r="I540" s="34" t="s">
        <v>793</v>
      </c>
      <c r="J540" s="34" t="s">
        <v>794</v>
      </c>
      <c r="K540" s="34"/>
    </row>
    <row r="541" spans="1:11" s="69" customFormat="1" ht="25.5" customHeight="1">
      <c r="A541" s="40">
        <v>537</v>
      </c>
      <c r="B541" s="47" t="s">
        <v>2819</v>
      </c>
      <c r="C541" s="48" t="s">
        <v>2819</v>
      </c>
      <c r="D541" s="48"/>
      <c r="E541" s="48" t="s">
        <v>2820</v>
      </c>
      <c r="F541" s="136" t="s">
        <v>159</v>
      </c>
      <c r="G541" s="137">
        <v>128000</v>
      </c>
      <c r="H541" s="50" t="s">
        <v>2821</v>
      </c>
      <c r="I541" s="51" t="s">
        <v>373</v>
      </c>
      <c r="J541" s="51" t="s">
        <v>795</v>
      </c>
      <c r="K541" s="51"/>
    </row>
    <row r="542" spans="1:11" s="69" customFormat="1" ht="25.5" customHeight="1">
      <c r="A542" s="40">
        <v>538</v>
      </c>
      <c r="B542" s="47" t="s">
        <v>2822</v>
      </c>
      <c r="C542" s="48" t="s">
        <v>2822</v>
      </c>
      <c r="D542" s="48"/>
      <c r="E542" s="48" t="s">
        <v>2823</v>
      </c>
      <c r="F542" s="136" t="s">
        <v>159</v>
      </c>
      <c r="G542" s="137">
        <v>10000</v>
      </c>
      <c r="H542" s="50" t="s">
        <v>2824</v>
      </c>
      <c r="I542" s="51" t="s">
        <v>872</v>
      </c>
      <c r="J542" s="51" t="s">
        <v>816</v>
      </c>
      <c r="K542" s="51"/>
    </row>
    <row r="543" spans="1:11" ht="25.5" customHeight="1">
      <c r="A543" s="40">
        <v>539</v>
      </c>
      <c r="B543" s="41" t="s">
        <v>2825</v>
      </c>
      <c r="C543" s="42" t="s">
        <v>2826</v>
      </c>
      <c r="D543" s="42"/>
      <c r="E543" s="42" t="s">
        <v>2827</v>
      </c>
      <c r="F543" s="134" t="s">
        <v>159</v>
      </c>
      <c r="G543" s="135">
        <v>30000</v>
      </c>
      <c r="H543" s="45" t="s">
        <v>2828</v>
      </c>
      <c r="I543" s="34" t="s">
        <v>147</v>
      </c>
      <c r="J543" s="34" t="s">
        <v>697</v>
      </c>
      <c r="K543" s="34"/>
    </row>
    <row r="544" spans="1:11" ht="25.5" customHeight="1">
      <c r="A544" s="40">
        <v>540</v>
      </c>
      <c r="B544" s="41" t="s">
        <v>2825</v>
      </c>
      <c r="C544" s="42" t="s">
        <v>2826</v>
      </c>
      <c r="D544" s="42"/>
      <c r="E544" s="42" t="s">
        <v>2829</v>
      </c>
      <c r="F544" s="134" t="s">
        <v>159</v>
      </c>
      <c r="G544" s="135">
        <v>40000</v>
      </c>
      <c r="H544" s="45" t="s">
        <v>2830</v>
      </c>
      <c r="I544" s="34" t="s">
        <v>147</v>
      </c>
      <c r="J544" s="34" t="s">
        <v>697</v>
      </c>
      <c r="K544" s="34"/>
    </row>
    <row r="545" spans="1:11" ht="25.5" customHeight="1">
      <c r="A545" s="40">
        <v>541</v>
      </c>
      <c r="B545" s="41" t="s">
        <v>2825</v>
      </c>
      <c r="C545" s="42" t="s">
        <v>2826</v>
      </c>
      <c r="D545" s="42"/>
      <c r="E545" s="42" t="s">
        <v>2831</v>
      </c>
      <c r="F545" s="134" t="s">
        <v>159</v>
      </c>
      <c r="G545" s="135">
        <v>30000</v>
      </c>
      <c r="H545" s="45" t="s">
        <v>2832</v>
      </c>
      <c r="I545" s="34" t="s">
        <v>147</v>
      </c>
      <c r="J545" s="34" t="s">
        <v>697</v>
      </c>
      <c r="K545" s="34"/>
    </row>
    <row r="546" spans="1:11" s="69" customFormat="1" ht="25.5" customHeight="1">
      <c r="A546" s="40">
        <v>542</v>
      </c>
      <c r="B546" s="47" t="s">
        <v>2825</v>
      </c>
      <c r="C546" s="48" t="s">
        <v>2826</v>
      </c>
      <c r="D546" s="48"/>
      <c r="E546" s="48" t="s">
        <v>2833</v>
      </c>
      <c r="F546" s="136" t="s">
        <v>159</v>
      </c>
      <c r="G546" s="137">
        <v>1</v>
      </c>
      <c r="H546" s="50" t="s">
        <v>2834</v>
      </c>
      <c r="I546" s="51" t="s">
        <v>796</v>
      </c>
      <c r="J546" s="51" t="s">
        <v>3130</v>
      </c>
      <c r="K546" s="51"/>
    </row>
    <row r="547" spans="1:11" ht="25.5" customHeight="1">
      <c r="A547" s="40">
        <v>543</v>
      </c>
      <c r="B547" s="41" t="s">
        <v>2825</v>
      </c>
      <c r="C547" s="42" t="s">
        <v>2826</v>
      </c>
      <c r="D547" s="42"/>
      <c r="E547" s="42" t="s">
        <v>2835</v>
      </c>
      <c r="F547" s="135">
        <v>150000</v>
      </c>
      <c r="G547" s="134" t="s">
        <v>159</v>
      </c>
      <c r="H547" s="45" t="s">
        <v>2836</v>
      </c>
      <c r="I547" s="34" t="s">
        <v>2</v>
      </c>
      <c r="J547" s="34" t="s">
        <v>603</v>
      </c>
      <c r="K547" s="34"/>
    </row>
    <row r="548" spans="1:11" ht="25.5" customHeight="1">
      <c r="A548" s="40">
        <v>544</v>
      </c>
      <c r="B548" s="41" t="s">
        <v>2826</v>
      </c>
      <c r="C548" s="42" t="s">
        <v>2826</v>
      </c>
      <c r="D548" s="42"/>
      <c r="E548" s="42" t="s">
        <v>2837</v>
      </c>
      <c r="F548" s="135">
        <v>20000</v>
      </c>
      <c r="G548" s="134" t="s">
        <v>159</v>
      </c>
      <c r="H548" s="45" t="s">
        <v>2838</v>
      </c>
      <c r="I548" s="34" t="s">
        <v>715</v>
      </c>
      <c r="J548" s="34" t="s">
        <v>603</v>
      </c>
      <c r="K548" s="34"/>
    </row>
    <row r="549" spans="1:11" s="69" customFormat="1" ht="25.5" customHeight="1">
      <c r="A549" s="40">
        <v>545</v>
      </c>
      <c r="B549" s="47" t="s">
        <v>2826</v>
      </c>
      <c r="C549" s="48" t="s">
        <v>2826</v>
      </c>
      <c r="D549" s="48"/>
      <c r="E549" s="48" t="s">
        <v>2839</v>
      </c>
      <c r="F549" s="136" t="s">
        <v>159</v>
      </c>
      <c r="G549" s="137">
        <v>99000</v>
      </c>
      <c r="H549" s="50" t="s">
        <v>2840</v>
      </c>
      <c r="I549" s="51" t="s">
        <v>796</v>
      </c>
      <c r="J549" s="51" t="s">
        <v>3130</v>
      </c>
      <c r="K549" s="51"/>
    </row>
    <row r="550" spans="1:11" s="69" customFormat="1" ht="25.5" customHeight="1">
      <c r="A550" s="40">
        <v>546</v>
      </c>
      <c r="B550" s="47" t="s">
        <v>2826</v>
      </c>
      <c r="C550" s="48" t="s">
        <v>2826</v>
      </c>
      <c r="D550" s="48"/>
      <c r="E550" s="48" t="s">
        <v>2841</v>
      </c>
      <c r="F550" s="136" t="s">
        <v>159</v>
      </c>
      <c r="G550" s="137">
        <v>100000</v>
      </c>
      <c r="H550" s="50" t="s">
        <v>2842</v>
      </c>
      <c r="I550" s="51" t="s">
        <v>796</v>
      </c>
      <c r="J550" s="51" t="s">
        <v>3130</v>
      </c>
      <c r="K550" s="51"/>
    </row>
    <row r="551" spans="1:11" ht="25.5" customHeight="1">
      <c r="A551" s="40">
        <v>547</v>
      </c>
      <c r="B551" s="41" t="s">
        <v>2843</v>
      </c>
      <c r="C551" s="42" t="s">
        <v>2843</v>
      </c>
      <c r="D551" s="42"/>
      <c r="E551" s="42" t="s">
        <v>2844</v>
      </c>
      <c r="F551" s="134" t="s">
        <v>159</v>
      </c>
      <c r="G551" s="135">
        <v>30000</v>
      </c>
      <c r="H551" s="45" t="s">
        <v>2845</v>
      </c>
      <c r="I551" s="34" t="s">
        <v>147</v>
      </c>
      <c r="J551" s="34" t="s">
        <v>697</v>
      </c>
      <c r="K551" s="34"/>
    </row>
    <row r="552" spans="1:11" ht="25.5" customHeight="1">
      <c r="A552" s="40">
        <v>548</v>
      </c>
      <c r="B552" s="41" t="s">
        <v>2843</v>
      </c>
      <c r="C552" s="42" t="s">
        <v>2843</v>
      </c>
      <c r="D552" s="42"/>
      <c r="E552" s="42" t="s">
        <v>2846</v>
      </c>
      <c r="F552" s="134" t="s">
        <v>159</v>
      </c>
      <c r="G552" s="135">
        <v>40000</v>
      </c>
      <c r="H552" s="45" t="s">
        <v>2847</v>
      </c>
      <c r="I552" s="34" t="s">
        <v>147</v>
      </c>
      <c r="J552" s="34" t="s">
        <v>697</v>
      </c>
      <c r="K552" s="34"/>
    </row>
    <row r="553" spans="1:11" ht="25.5" customHeight="1">
      <c r="A553" s="40">
        <v>549</v>
      </c>
      <c r="B553" s="41" t="s">
        <v>2843</v>
      </c>
      <c r="C553" s="42" t="s">
        <v>2843</v>
      </c>
      <c r="D553" s="42"/>
      <c r="E553" s="42" t="s">
        <v>2848</v>
      </c>
      <c r="F553" s="134" t="s">
        <v>159</v>
      </c>
      <c r="G553" s="135">
        <v>30000</v>
      </c>
      <c r="H553" s="45" t="s">
        <v>2849</v>
      </c>
      <c r="I553" s="34" t="s">
        <v>147</v>
      </c>
      <c r="J553" s="34" t="s">
        <v>697</v>
      </c>
      <c r="K553" s="34"/>
    </row>
    <row r="554" spans="1:11" s="69" customFormat="1" ht="25.5" customHeight="1">
      <c r="A554" s="40">
        <v>550</v>
      </c>
      <c r="B554" s="47" t="s">
        <v>2843</v>
      </c>
      <c r="C554" s="48" t="s">
        <v>2843</v>
      </c>
      <c r="D554" s="48"/>
      <c r="E554" s="48" t="s">
        <v>2850</v>
      </c>
      <c r="F554" s="136" t="s">
        <v>159</v>
      </c>
      <c r="G554" s="137">
        <v>80000</v>
      </c>
      <c r="H554" s="50" t="s">
        <v>2851</v>
      </c>
      <c r="I554" s="51" t="s">
        <v>800</v>
      </c>
      <c r="J554" s="51" t="s">
        <v>3130</v>
      </c>
      <c r="K554" s="51"/>
    </row>
    <row r="555" spans="1:11" s="69" customFormat="1" ht="25.5" customHeight="1">
      <c r="A555" s="40">
        <v>551</v>
      </c>
      <c r="B555" s="47" t="s">
        <v>2843</v>
      </c>
      <c r="C555" s="48" t="s">
        <v>2843</v>
      </c>
      <c r="D555" s="48"/>
      <c r="E555" s="48" t="s">
        <v>2852</v>
      </c>
      <c r="F555" s="136" t="s">
        <v>159</v>
      </c>
      <c r="G555" s="137">
        <v>51000</v>
      </c>
      <c r="H555" s="50" t="s">
        <v>2853</v>
      </c>
      <c r="I555" s="51" t="s">
        <v>796</v>
      </c>
      <c r="J555" s="51" t="s">
        <v>3130</v>
      </c>
      <c r="K555" s="51"/>
    </row>
    <row r="556" spans="1:11" s="69" customFormat="1" ht="25.5" customHeight="1">
      <c r="A556" s="40">
        <v>552</v>
      </c>
      <c r="B556" s="47" t="s">
        <v>2854</v>
      </c>
      <c r="C556" s="48" t="s">
        <v>2854</v>
      </c>
      <c r="D556" s="48"/>
      <c r="E556" s="48" t="s">
        <v>2855</v>
      </c>
      <c r="F556" s="136" t="s">
        <v>159</v>
      </c>
      <c r="G556" s="137">
        <v>200000</v>
      </c>
      <c r="H556" s="50" t="s">
        <v>2856</v>
      </c>
      <c r="I556" s="51" t="s">
        <v>797</v>
      </c>
      <c r="J556" s="51" t="s">
        <v>799</v>
      </c>
      <c r="K556" s="51" t="s">
        <v>823</v>
      </c>
    </row>
    <row r="557" spans="1:11" s="69" customFormat="1" ht="25.5" customHeight="1">
      <c r="A557" s="40">
        <v>553</v>
      </c>
      <c r="B557" s="47" t="s">
        <v>2854</v>
      </c>
      <c r="C557" s="48" t="s">
        <v>2854</v>
      </c>
      <c r="D557" s="48"/>
      <c r="E557" s="48" t="s">
        <v>2857</v>
      </c>
      <c r="F557" s="136" t="s">
        <v>159</v>
      </c>
      <c r="G557" s="137">
        <v>50000</v>
      </c>
      <c r="H557" s="50" t="s">
        <v>2858</v>
      </c>
      <c r="I557" s="51" t="s">
        <v>790</v>
      </c>
      <c r="J557" s="51" t="s">
        <v>791</v>
      </c>
      <c r="K557" s="51"/>
    </row>
    <row r="558" spans="1:11" s="69" customFormat="1" ht="25.5" customHeight="1">
      <c r="A558" s="40">
        <v>554</v>
      </c>
      <c r="B558" s="47" t="s">
        <v>2854</v>
      </c>
      <c r="C558" s="48" t="s">
        <v>2854</v>
      </c>
      <c r="D558" s="48"/>
      <c r="E558" s="48" t="s">
        <v>2859</v>
      </c>
      <c r="F558" s="136" t="s">
        <v>159</v>
      </c>
      <c r="G558" s="137">
        <v>50000</v>
      </c>
      <c r="H558" s="50" t="s">
        <v>2860</v>
      </c>
      <c r="I558" s="51" t="s">
        <v>801</v>
      </c>
      <c r="J558" s="51" t="s">
        <v>151</v>
      </c>
      <c r="K558" s="51"/>
    </row>
    <row r="559" spans="1:11" s="69" customFormat="1" ht="25.5" customHeight="1">
      <c r="A559" s="40">
        <v>555</v>
      </c>
      <c r="B559" s="47" t="s">
        <v>2854</v>
      </c>
      <c r="C559" s="48" t="s">
        <v>2854</v>
      </c>
      <c r="D559" s="48"/>
      <c r="E559" s="54" t="s">
        <v>1356</v>
      </c>
      <c r="F559" s="136" t="s">
        <v>159</v>
      </c>
      <c r="G559" s="137">
        <v>25000</v>
      </c>
      <c r="H559" s="50" t="s">
        <v>2861</v>
      </c>
      <c r="I559" s="51" t="s">
        <v>790</v>
      </c>
      <c r="J559" s="51" t="s">
        <v>791</v>
      </c>
      <c r="K559" s="51"/>
    </row>
    <row r="560" spans="1:11" s="69" customFormat="1" ht="25.5" customHeight="1">
      <c r="A560" s="40">
        <v>556</v>
      </c>
      <c r="B560" s="47" t="s">
        <v>2854</v>
      </c>
      <c r="C560" s="48" t="s">
        <v>2854</v>
      </c>
      <c r="D560" s="48"/>
      <c r="E560" s="48" t="s">
        <v>2862</v>
      </c>
      <c r="F560" s="136" t="s">
        <v>159</v>
      </c>
      <c r="G560" s="137">
        <v>50000</v>
      </c>
      <c r="H560" s="50" t="s">
        <v>2863</v>
      </c>
      <c r="I560" s="51" t="s">
        <v>801</v>
      </c>
      <c r="J560" s="51" t="s">
        <v>151</v>
      </c>
      <c r="K560" s="51" t="s">
        <v>830</v>
      </c>
    </row>
    <row r="561" spans="1:25" s="69" customFormat="1" ht="25.5" customHeight="1">
      <c r="A561" s="40">
        <v>557</v>
      </c>
      <c r="B561" s="47" t="s">
        <v>2854</v>
      </c>
      <c r="C561" s="48" t="s">
        <v>2854</v>
      </c>
      <c r="D561" s="48"/>
      <c r="E561" s="48" t="s">
        <v>2864</v>
      </c>
      <c r="F561" s="136" t="s">
        <v>159</v>
      </c>
      <c r="G561" s="137">
        <v>25000</v>
      </c>
      <c r="H561" s="50" t="s">
        <v>2865</v>
      </c>
      <c r="I561" s="51" t="s">
        <v>798</v>
      </c>
      <c r="J561" s="51" t="s">
        <v>151</v>
      </c>
      <c r="K561" s="51" t="s">
        <v>823</v>
      </c>
    </row>
    <row r="562" spans="1:25" ht="25.5" customHeight="1">
      <c r="A562" s="40">
        <v>558</v>
      </c>
      <c r="B562" s="41" t="s">
        <v>2866</v>
      </c>
      <c r="C562" s="42" t="s">
        <v>2867</v>
      </c>
      <c r="D562" s="42"/>
      <c r="E562" s="42" t="s">
        <v>2868</v>
      </c>
      <c r="F562" s="135">
        <v>213500</v>
      </c>
      <c r="G562" s="134" t="s">
        <v>159</v>
      </c>
      <c r="H562" s="45" t="s">
        <v>2869</v>
      </c>
      <c r="I562" s="34" t="s">
        <v>713</v>
      </c>
      <c r="J562" s="34" t="s">
        <v>794</v>
      </c>
      <c r="K562" s="34"/>
    </row>
    <row r="563" spans="1:25" ht="25.5" customHeight="1">
      <c r="A563" s="40">
        <v>559</v>
      </c>
      <c r="B563" s="41" t="s">
        <v>2866</v>
      </c>
      <c r="C563" s="42" t="s">
        <v>2867</v>
      </c>
      <c r="D563" s="42"/>
      <c r="E563" s="42" t="s">
        <v>2870</v>
      </c>
      <c r="F563" s="135">
        <v>100000</v>
      </c>
      <c r="G563" s="134" t="s">
        <v>159</v>
      </c>
      <c r="H563" s="45" t="s">
        <v>2871</v>
      </c>
      <c r="I563" s="34" t="s">
        <v>4</v>
      </c>
      <c r="J563" s="34" t="s">
        <v>603</v>
      </c>
      <c r="K563" s="34"/>
    </row>
    <row r="564" spans="1:25" ht="25.5" customHeight="1">
      <c r="A564" s="40">
        <v>560</v>
      </c>
      <c r="B564" s="41" t="s">
        <v>2866</v>
      </c>
      <c r="C564" s="42" t="s">
        <v>2867</v>
      </c>
      <c r="D564" s="42"/>
      <c r="E564" s="42" t="s">
        <v>2872</v>
      </c>
      <c r="F564" s="160">
        <v>30000</v>
      </c>
      <c r="G564" s="134" t="s">
        <v>159</v>
      </c>
      <c r="H564" s="45" t="s">
        <v>2873</v>
      </c>
      <c r="I564" s="34" t="s">
        <v>149</v>
      </c>
      <c r="J564" s="34" t="s">
        <v>603</v>
      </c>
      <c r="K564" s="34"/>
    </row>
    <row r="565" spans="1:25" s="69" customFormat="1" ht="25.5" customHeight="1">
      <c r="A565" s="40">
        <v>561</v>
      </c>
      <c r="B565" s="47" t="s">
        <v>2874</v>
      </c>
      <c r="C565" s="48" t="s">
        <v>2867</v>
      </c>
      <c r="D565" s="48"/>
      <c r="E565" s="48" t="s">
        <v>2875</v>
      </c>
      <c r="F565" s="136" t="s">
        <v>159</v>
      </c>
      <c r="G565" s="137">
        <v>5000</v>
      </c>
      <c r="H565" s="50" t="s">
        <v>2876</v>
      </c>
      <c r="I565" s="51" t="s">
        <v>819</v>
      </c>
      <c r="J565" s="51" t="s">
        <v>746</v>
      </c>
      <c r="K565" s="51"/>
    </row>
    <row r="566" spans="1:25" ht="25.5" customHeight="1">
      <c r="A566" s="40">
        <v>562</v>
      </c>
      <c r="B566" s="41" t="s">
        <v>2867</v>
      </c>
      <c r="C566" s="42" t="s">
        <v>2867</v>
      </c>
      <c r="D566" s="42"/>
      <c r="E566" s="42" t="s">
        <v>2877</v>
      </c>
      <c r="F566" s="134" t="s">
        <v>159</v>
      </c>
      <c r="G566" s="135">
        <v>700000</v>
      </c>
      <c r="H566" s="45" t="s">
        <v>2878</v>
      </c>
      <c r="I566" s="34" t="s">
        <v>793</v>
      </c>
      <c r="J566" s="34" t="s">
        <v>787</v>
      </c>
      <c r="K566" s="34"/>
      <c r="O566" s="56"/>
      <c r="P566" s="57"/>
      <c r="Q566" s="58"/>
      <c r="R566" s="59"/>
      <c r="S566" s="59"/>
      <c r="T566" s="60"/>
      <c r="U566" s="60"/>
      <c r="V566" s="61"/>
      <c r="W566" s="34"/>
      <c r="X566" s="34"/>
      <c r="Y566" s="34"/>
    </row>
    <row r="567" spans="1:25" ht="25.5" customHeight="1">
      <c r="A567" s="40">
        <v>563</v>
      </c>
      <c r="B567" s="41" t="s">
        <v>2867</v>
      </c>
      <c r="C567" s="42" t="s">
        <v>2867</v>
      </c>
      <c r="D567" s="42"/>
      <c r="E567" s="42" t="s">
        <v>2879</v>
      </c>
      <c r="F567" s="134" t="s">
        <v>159</v>
      </c>
      <c r="G567" s="135">
        <v>63000</v>
      </c>
      <c r="H567" s="45" t="s">
        <v>2880</v>
      </c>
      <c r="I567" s="34" t="s">
        <v>820</v>
      </c>
      <c r="J567" s="34" t="s">
        <v>821</v>
      </c>
      <c r="K567" s="34" t="s">
        <v>823</v>
      </c>
    </row>
    <row r="568" spans="1:25" s="69" customFormat="1" ht="25.5" customHeight="1">
      <c r="A568" s="40">
        <v>564</v>
      </c>
      <c r="B568" s="47" t="s">
        <v>2867</v>
      </c>
      <c r="C568" s="48" t="s">
        <v>2867</v>
      </c>
      <c r="D568" s="48"/>
      <c r="E568" s="48" t="s">
        <v>2881</v>
      </c>
      <c r="F568" s="137">
        <v>797501</v>
      </c>
      <c r="G568" s="136" t="s">
        <v>159</v>
      </c>
      <c r="H568" s="50" t="s">
        <v>2882</v>
      </c>
      <c r="I568" s="51" t="s">
        <v>776</v>
      </c>
      <c r="J568" s="51" t="s">
        <v>802</v>
      </c>
      <c r="K568" s="51" t="s">
        <v>794</v>
      </c>
    </row>
    <row r="569" spans="1:25" ht="25.5" customHeight="1">
      <c r="A569" s="40">
        <v>565</v>
      </c>
      <c r="B569" s="41" t="s">
        <v>2867</v>
      </c>
      <c r="C569" s="42" t="s">
        <v>2867</v>
      </c>
      <c r="D569" s="42"/>
      <c r="E569" s="42" t="s">
        <v>2883</v>
      </c>
      <c r="F569" s="135">
        <v>295618</v>
      </c>
      <c r="G569" s="134" t="s">
        <v>159</v>
      </c>
      <c r="H569" s="45" t="s">
        <v>2884</v>
      </c>
      <c r="I569" s="34" t="s">
        <v>345</v>
      </c>
      <c r="J569" s="34" t="s">
        <v>803</v>
      </c>
      <c r="K569" s="34" t="s">
        <v>794</v>
      </c>
    </row>
    <row r="570" spans="1:25" ht="25.5" customHeight="1">
      <c r="A570" s="40">
        <v>566</v>
      </c>
      <c r="B570" s="41" t="s">
        <v>2867</v>
      </c>
      <c r="C570" s="42" t="s">
        <v>2867</v>
      </c>
      <c r="D570" s="42"/>
      <c r="E570" s="42" t="s">
        <v>2885</v>
      </c>
      <c r="F570" s="160">
        <v>30000</v>
      </c>
      <c r="G570" s="134" t="s">
        <v>159</v>
      </c>
      <c r="H570" s="45" t="s">
        <v>2886</v>
      </c>
      <c r="I570" s="34" t="s">
        <v>604</v>
      </c>
      <c r="J570" s="34" t="s">
        <v>603</v>
      </c>
      <c r="K570" s="34"/>
    </row>
    <row r="571" spans="1:25" ht="25.5" customHeight="1">
      <c r="A571" s="40">
        <v>567</v>
      </c>
      <c r="B571" s="41" t="s">
        <v>2867</v>
      </c>
      <c r="C571" s="42" t="s">
        <v>2867</v>
      </c>
      <c r="D571" s="42"/>
      <c r="E571" s="42" t="s">
        <v>2887</v>
      </c>
      <c r="F571" s="135">
        <v>50000</v>
      </c>
      <c r="G571" s="134" t="s">
        <v>159</v>
      </c>
      <c r="H571" s="45" t="s">
        <v>2888</v>
      </c>
      <c r="I571" s="34" t="s">
        <v>614</v>
      </c>
      <c r="J571" s="34" t="s">
        <v>597</v>
      </c>
      <c r="K571" s="34" t="s">
        <v>794</v>
      </c>
    </row>
    <row r="572" spans="1:25" s="69" customFormat="1" ht="25.5" customHeight="1">
      <c r="A572" s="40">
        <v>568</v>
      </c>
      <c r="B572" s="47" t="s">
        <v>2889</v>
      </c>
      <c r="C572" s="48" t="s">
        <v>2889</v>
      </c>
      <c r="D572" s="48"/>
      <c r="E572" s="48" t="s">
        <v>2890</v>
      </c>
      <c r="F572" s="136" t="s">
        <v>159</v>
      </c>
      <c r="G572" s="137">
        <v>10000</v>
      </c>
      <c r="H572" s="50" t="s">
        <v>2891</v>
      </c>
      <c r="I572" s="51" t="s">
        <v>817</v>
      </c>
      <c r="J572" s="51" t="s">
        <v>808</v>
      </c>
      <c r="K572" s="51" t="s">
        <v>822</v>
      </c>
    </row>
    <row r="573" spans="1:25" s="69" customFormat="1" ht="25.5" customHeight="1">
      <c r="A573" s="40">
        <v>569</v>
      </c>
      <c r="B573" s="47" t="s">
        <v>2889</v>
      </c>
      <c r="C573" s="48" t="s">
        <v>2889</v>
      </c>
      <c r="D573" s="48"/>
      <c r="E573" s="48" t="s">
        <v>2892</v>
      </c>
      <c r="F573" s="136" t="s">
        <v>159</v>
      </c>
      <c r="G573" s="137">
        <v>5000</v>
      </c>
      <c r="H573" s="50" t="s">
        <v>2893</v>
      </c>
      <c r="I573" s="51" t="s">
        <v>360</v>
      </c>
      <c r="J573" s="51" t="s">
        <v>804</v>
      </c>
      <c r="K573" s="51" t="s">
        <v>823</v>
      </c>
    </row>
    <row r="574" spans="1:25" s="69" customFormat="1" ht="25.5" customHeight="1">
      <c r="A574" s="40">
        <v>570</v>
      </c>
      <c r="B574" s="47" t="s">
        <v>2894</v>
      </c>
      <c r="C574" s="48" t="s">
        <v>2894</v>
      </c>
      <c r="D574" s="48"/>
      <c r="E574" s="54" t="s">
        <v>3135</v>
      </c>
      <c r="F574" s="136" t="s">
        <v>159</v>
      </c>
      <c r="G574" s="137">
        <v>345000</v>
      </c>
      <c r="H574" s="50" t="s">
        <v>2895</v>
      </c>
      <c r="I574" s="51" t="s">
        <v>805</v>
      </c>
      <c r="J574" s="51" t="s">
        <v>806</v>
      </c>
      <c r="K574" s="51"/>
    </row>
    <row r="575" spans="1:25" s="69" customFormat="1" ht="25.5" customHeight="1">
      <c r="A575" s="40">
        <v>571</v>
      </c>
      <c r="B575" s="47" t="s">
        <v>2896</v>
      </c>
      <c r="C575" s="48" t="s">
        <v>2896</v>
      </c>
      <c r="D575" s="48"/>
      <c r="E575" s="54" t="s">
        <v>1357</v>
      </c>
      <c r="F575" s="136" t="s">
        <v>159</v>
      </c>
      <c r="G575" s="137">
        <v>200000</v>
      </c>
      <c r="H575" s="50" t="s">
        <v>2897</v>
      </c>
      <c r="I575" s="51" t="s">
        <v>807</v>
      </c>
      <c r="J575" s="51" t="s">
        <v>113</v>
      </c>
      <c r="K575" s="51" t="s">
        <v>844</v>
      </c>
    </row>
    <row r="576" spans="1:25" ht="25.5" customHeight="1">
      <c r="A576" s="40">
        <v>572</v>
      </c>
      <c r="B576" s="41" t="s">
        <v>2896</v>
      </c>
      <c r="C576" s="42" t="s">
        <v>2896</v>
      </c>
      <c r="D576" s="42"/>
      <c r="E576" s="42" t="s">
        <v>2898</v>
      </c>
      <c r="F576" s="134" t="s">
        <v>159</v>
      </c>
      <c r="G576" s="135">
        <v>400000</v>
      </c>
      <c r="H576" s="45" t="s">
        <v>2899</v>
      </c>
      <c r="I576" s="34" t="s">
        <v>134</v>
      </c>
      <c r="J576" s="34" t="s">
        <v>786</v>
      </c>
      <c r="K576" s="34"/>
    </row>
    <row r="577" spans="1:26" ht="25.5" customHeight="1">
      <c r="A577" s="40">
        <v>573</v>
      </c>
      <c r="B577" s="41" t="s">
        <v>2896</v>
      </c>
      <c r="C577" s="42" t="s">
        <v>2896</v>
      </c>
      <c r="D577" s="42"/>
      <c r="E577" s="42" t="s">
        <v>2900</v>
      </c>
      <c r="F577" s="134" t="s">
        <v>159</v>
      </c>
      <c r="G577" s="135">
        <v>400000</v>
      </c>
      <c r="H577" s="45" t="s">
        <v>2901</v>
      </c>
      <c r="I577" s="34" t="s">
        <v>134</v>
      </c>
      <c r="J577" s="34" t="s">
        <v>786</v>
      </c>
      <c r="K577" s="34"/>
    </row>
    <row r="578" spans="1:26" s="69" customFormat="1" ht="25.5" customHeight="1">
      <c r="A578" s="40">
        <v>574</v>
      </c>
      <c r="B578" s="47" t="s">
        <v>2896</v>
      </c>
      <c r="C578" s="48" t="s">
        <v>2896</v>
      </c>
      <c r="D578" s="48"/>
      <c r="E578" s="48" t="s">
        <v>2902</v>
      </c>
      <c r="F578" s="136" t="s">
        <v>159</v>
      </c>
      <c r="G578" s="137">
        <v>3000</v>
      </c>
      <c r="H578" s="50" t="s">
        <v>2903</v>
      </c>
      <c r="I578" s="51" t="s">
        <v>848</v>
      </c>
      <c r="J578" s="51" t="s">
        <v>321</v>
      </c>
      <c r="K578" s="51"/>
    </row>
    <row r="579" spans="1:26" s="69" customFormat="1" ht="25.5" customHeight="1">
      <c r="A579" s="40">
        <v>575</v>
      </c>
      <c r="B579" s="47" t="s">
        <v>2896</v>
      </c>
      <c r="C579" s="48" t="s">
        <v>2896</v>
      </c>
      <c r="D579" s="48"/>
      <c r="E579" s="48" t="s">
        <v>2904</v>
      </c>
      <c r="F579" s="136" t="s">
        <v>159</v>
      </c>
      <c r="G579" s="137">
        <v>2100</v>
      </c>
      <c r="H579" s="50" t="s">
        <v>2905</v>
      </c>
      <c r="I579" s="51" t="s">
        <v>848</v>
      </c>
      <c r="J579" s="51" t="s">
        <v>321</v>
      </c>
      <c r="K579" s="51" t="s">
        <v>822</v>
      </c>
    </row>
    <row r="580" spans="1:26" ht="25.5" customHeight="1">
      <c r="A580" s="40">
        <v>576</v>
      </c>
      <c r="B580" s="41" t="s">
        <v>2906</v>
      </c>
      <c r="C580" s="42" t="s">
        <v>2906</v>
      </c>
      <c r="D580" s="42"/>
      <c r="E580" s="42" t="s">
        <v>2907</v>
      </c>
      <c r="F580" s="134" t="s">
        <v>159</v>
      </c>
      <c r="G580" s="135">
        <v>600000</v>
      </c>
      <c r="H580" s="45" t="s">
        <v>2908</v>
      </c>
      <c r="I580" s="34" t="s">
        <v>352</v>
      </c>
      <c r="J580" s="34" t="s">
        <v>740</v>
      </c>
      <c r="K580" s="34" t="s">
        <v>794</v>
      </c>
    </row>
    <row r="581" spans="1:26" ht="25.5" customHeight="1">
      <c r="A581" s="40">
        <v>577</v>
      </c>
      <c r="B581" s="41" t="s">
        <v>2906</v>
      </c>
      <c r="C581" s="42" t="s">
        <v>2906</v>
      </c>
      <c r="D581" s="42"/>
      <c r="E581" s="42" t="s">
        <v>2909</v>
      </c>
      <c r="F581" s="134" t="s">
        <v>159</v>
      </c>
      <c r="G581" s="135">
        <v>500000</v>
      </c>
      <c r="H581" s="45" t="s">
        <v>2910</v>
      </c>
      <c r="I581" s="34" t="s">
        <v>352</v>
      </c>
      <c r="J581" s="34" t="s">
        <v>740</v>
      </c>
      <c r="K581" s="34" t="s">
        <v>794</v>
      </c>
    </row>
    <row r="582" spans="1:26" ht="25.5" customHeight="1">
      <c r="A582" s="40">
        <v>578</v>
      </c>
      <c r="B582" s="41" t="s">
        <v>2906</v>
      </c>
      <c r="C582" s="42" t="s">
        <v>2906</v>
      </c>
      <c r="D582" s="42"/>
      <c r="E582" s="42" t="s">
        <v>2911</v>
      </c>
      <c r="F582" s="134" t="s">
        <v>159</v>
      </c>
      <c r="G582" s="135">
        <v>400000</v>
      </c>
      <c r="H582" s="45" t="s">
        <v>2912</v>
      </c>
      <c r="I582" s="34" t="s">
        <v>352</v>
      </c>
      <c r="J582" s="34" t="s">
        <v>740</v>
      </c>
      <c r="K582" s="34" t="s">
        <v>823</v>
      </c>
    </row>
    <row r="583" spans="1:26" s="69" customFormat="1" ht="25.5" customHeight="1">
      <c r="A583" s="40">
        <v>579</v>
      </c>
      <c r="B583" s="47" t="s">
        <v>2913</v>
      </c>
      <c r="C583" s="48" t="s">
        <v>2913</v>
      </c>
      <c r="D583" s="48"/>
      <c r="E583" s="48" t="s">
        <v>2914</v>
      </c>
      <c r="F583" s="136" t="s">
        <v>159</v>
      </c>
      <c r="G583" s="137">
        <v>300000</v>
      </c>
      <c r="H583" s="50" t="s">
        <v>2915</v>
      </c>
      <c r="I583" s="51" t="s">
        <v>316</v>
      </c>
      <c r="J583" s="51" t="s">
        <v>849</v>
      </c>
      <c r="K583" s="51" t="s">
        <v>823</v>
      </c>
      <c r="P583" s="106"/>
      <c r="Q583" s="115"/>
      <c r="R583" s="116"/>
      <c r="S583" s="117"/>
      <c r="T583" s="117"/>
      <c r="U583" s="118"/>
      <c r="V583" s="118"/>
      <c r="W583" s="118"/>
      <c r="X583" s="51"/>
      <c r="Y583" s="51"/>
      <c r="Z583" s="51"/>
    </row>
    <row r="584" spans="1:26" ht="25.5" customHeight="1">
      <c r="A584" s="40">
        <v>580</v>
      </c>
      <c r="B584" s="41" t="s">
        <v>2913</v>
      </c>
      <c r="C584" s="42" t="s">
        <v>2913</v>
      </c>
      <c r="D584" s="42"/>
      <c r="E584" s="42" t="s">
        <v>2916</v>
      </c>
      <c r="F584" s="134" t="s">
        <v>159</v>
      </c>
      <c r="G584" s="135">
        <v>200000</v>
      </c>
      <c r="H584" s="45" t="s">
        <v>2917</v>
      </c>
      <c r="I584" s="34" t="s">
        <v>851</v>
      </c>
      <c r="J584" s="34" t="s">
        <v>786</v>
      </c>
      <c r="K584" s="34"/>
    </row>
    <row r="585" spans="1:26" s="69" customFormat="1" ht="25.5" customHeight="1">
      <c r="A585" s="40">
        <v>581</v>
      </c>
      <c r="B585" s="47" t="s">
        <v>2913</v>
      </c>
      <c r="C585" s="48" t="s">
        <v>2913</v>
      </c>
      <c r="D585" s="48"/>
      <c r="E585" s="54" t="s">
        <v>1358</v>
      </c>
      <c r="F585" s="137">
        <v>300000</v>
      </c>
      <c r="G585" s="136" t="s">
        <v>159</v>
      </c>
      <c r="H585" s="50" t="s">
        <v>2918</v>
      </c>
      <c r="I585" s="51" t="s">
        <v>316</v>
      </c>
      <c r="J585" s="51" t="s">
        <v>850</v>
      </c>
      <c r="K585" s="51"/>
    </row>
    <row r="586" spans="1:26" ht="25.5" customHeight="1">
      <c r="A586" s="40">
        <v>582</v>
      </c>
      <c r="B586" s="41" t="s">
        <v>2919</v>
      </c>
      <c r="C586" s="42" t="s">
        <v>2919</v>
      </c>
      <c r="D586" s="42"/>
      <c r="E586" s="42" t="s">
        <v>2920</v>
      </c>
      <c r="F586" s="135">
        <v>15900</v>
      </c>
      <c r="G586" s="134" t="s">
        <v>159</v>
      </c>
      <c r="H586" s="45" t="s">
        <v>2921</v>
      </c>
      <c r="I586" s="34" t="s">
        <v>852</v>
      </c>
      <c r="J586" s="34" t="s">
        <v>853</v>
      </c>
      <c r="K586" s="34" t="s">
        <v>794</v>
      </c>
    </row>
    <row r="587" spans="1:26" ht="25.5" customHeight="1">
      <c r="A587" s="40">
        <v>583</v>
      </c>
      <c r="B587" s="41" t="s">
        <v>2922</v>
      </c>
      <c r="C587" s="42" t="s">
        <v>2922</v>
      </c>
      <c r="D587" s="42"/>
      <c r="E587" s="42" t="s">
        <v>2923</v>
      </c>
      <c r="F587" s="135">
        <v>640000</v>
      </c>
      <c r="G587" s="134" t="s">
        <v>159</v>
      </c>
      <c r="H587" s="45" t="s">
        <v>2924</v>
      </c>
      <c r="I587" s="34" t="s">
        <v>854</v>
      </c>
      <c r="J587" s="34" t="s">
        <v>794</v>
      </c>
      <c r="K587" s="34"/>
    </row>
    <row r="588" spans="1:26" ht="25.5" customHeight="1">
      <c r="A588" s="40">
        <v>584</v>
      </c>
      <c r="B588" s="41" t="s">
        <v>2922</v>
      </c>
      <c r="C588" s="42" t="s">
        <v>2922</v>
      </c>
      <c r="D588" s="42"/>
      <c r="E588" s="42" t="s">
        <v>2925</v>
      </c>
      <c r="F588" s="138" t="s">
        <v>2301</v>
      </c>
      <c r="G588" s="134" t="s">
        <v>159</v>
      </c>
      <c r="H588" s="45" t="s">
        <v>2926</v>
      </c>
      <c r="I588" s="34" t="s">
        <v>854</v>
      </c>
      <c r="J588" s="34" t="s">
        <v>794</v>
      </c>
      <c r="K588" s="34" t="s">
        <v>794</v>
      </c>
    </row>
    <row r="589" spans="1:26" ht="25.5" customHeight="1">
      <c r="A589" s="40">
        <v>585</v>
      </c>
      <c r="B589" s="41" t="s">
        <v>2922</v>
      </c>
      <c r="C589" s="42" t="s">
        <v>2922</v>
      </c>
      <c r="D589" s="42"/>
      <c r="E589" s="42" t="s">
        <v>2927</v>
      </c>
      <c r="F589" s="135">
        <v>100000</v>
      </c>
      <c r="G589" s="134" t="s">
        <v>159</v>
      </c>
      <c r="H589" s="45" t="s">
        <v>2928</v>
      </c>
      <c r="I589" s="34" t="s">
        <v>854</v>
      </c>
      <c r="J589" s="34" t="s">
        <v>794</v>
      </c>
      <c r="K589" s="34" t="s">
        <v>825</v>
      </c>
    </row>
    <row r="590" spans="1:26" ht="25.5" customHeight="1">
      <c r="A590" s="40">
        <v>586</v>
      </c>
      <c r="B590" s="41" t="s">
        <v>2922</v>
      </c>
      <c r="C590" s="42" t="s">
        <v>2922</v>
      </c>
      <c r="D590" s="42"/>
      <c r="E590" s="42" t="s">
        <v>2929</v>
      </c>
      <c r="F590" s="135">
        <v>20600</v>
      </c>
      <c r="G590" s="134" t="s">
        <v>159</v>
      </c>
      <c r="H590" s="45" t="s">
        <v>2930</v>
      </c>
      <c r="I590" s="34" t="s">
        <v>854</v>
      </c>
      <c r="J590" s="34" t="s">
        <v>794</v>
      </c>
      <c r="K590" s="34" t="s">
        <v>794</v>
      </c>
    </row>
    <row r="591" spans="1:26" s="69" customFormat="1" ht="25.5" customHeight="1">
      <c r="A591" s="40">
        <v>587</v>
      </c>
      <c r="B591" s="47" t="s">
        <v>2922</v>
      </c>
      <c r="C591" s="48" t="s">
        <v>2922</v>
      </c>
      <c r="D591" s="48"/>
      <c r="E591" s="54" t="s">
        <v>3134</v>
      </c>
      <c r="F591" s="136" t="s">
        <v>159</v>
      </c>
      <c r="G591" s="137">
        <v>5100</v>
      </c>
      <c r="H591" s="50" t="s">
        <v>2931</v>
      </c>
      <c r="I591" s="51" t="s">
        <v>855</v>
      </c>
      <c r="J591" s="51" t="s">
        <v>3133</v>
      </c>
      <c r="K591" s="51"/>
    </row>
    <row r="592" spans="1:26" s="69" customFormat="1" ht="25.5" customHeight="1">
      <c r="A592" s="40">
        <v>588</v>
      </c>
      <c r="B592" s="47" t="s">
        <v>2932</v>
      </c>
      <c r="C592" s="48" t="s">
        <v>2932</v>
      </c>
      <c r="D592" s="48"/>
      <c r="E592" s="48" t="s">
        <v>2933</v>
      </c>
      <c r="F592" s="136" t="s">
        <v>159</v>
      </c>
      <c r="G592" s="137">
        <v>369000</v>
      </c>
      <c r="H592" s="50" t="s">
        <v>2934</v>
      </c>
      <c r="I592" s="51" t="s">
        <v>856</v>
      </c>
      <c r="J592" s="51" t="s">
        <v>857</v>
      </c>
      <c r="K592" s="51"/>
    </row>
    <row r="593" spans="1:11" s="69" customFormat="1" ht="25.5" customHeight="1">
      <c r="A593" s="40">
        <v>589</v>
      </c>
      <c r="B593" s="47" t="s">
        <v>2932</v>
      </c>
      <c r="C593" s="48" t="s">
        <v>2932</v>
      </c>
      <c r="D593" s="48"/>
      <c r="E593" s="48" t="s">
        <v>2935</v>
      </c>
      <c r="F593" s="136" t="s">
        <v>159</v>
      </c>
      <c r="G593" s="137">
        <v>371000</v>
      </c>
      <c r="H593" s="50" t="s">
        <v>2936</v>
      </c>
      <c r="I593" s="51" t="s">
        <v>859</v>
      </c>
      <c r="J593" s="51" t="s">
        <v>858</v>
      </c>
      <c r="K593" s="51"/>
    </row>
    <row r="594" spans="1:11" s="69" customFormat="1" ht="25.5" customHeight="1">
      <c r="A594" s="40">
        <v>590</v>
      </c>
      <c r="B594" s="47" t="s">
        <v>2932</v>
      </c>
      <c r="C594" s="48" t="s">
        <v>2932</v>
      </c>
      <c r="D594" s="48"/>
      <c r="E594" s="48" t="s">
        <v>2937</v>
      </c>
      <c r="F594" s="136" t="s">
        <v>159</v>
      </c>
      <c r="G594" s="137">
        <v>300000</v>
      </c>
      <c r="H594" s="50" t="s">
        <v>2938</v>
      </c>
      <c r="I594" s="51" t="s">
        <v>316</v>
      </c>
      <c r="J594" s="51" t="s">
        <v>317</v>
      </c>
      <c r="K594" s="51"/>
    </row>
    <row r="595" spans="1:11" ht="25.5" customHeight="1">
      <c r="A595" s="40">
        <v>591</v>
      </c>
      <c r="B595" s="41" t="s">
        <v>2932</v>
      </c>
      <c r="C595" s="42" t="s">
        <v>2932</v>
      </c>
      <c r="D595" s="42"/>
      <c r="E595" s="42" t="s">
        <v>2939</v>
      </c>
      <c r="F595" s="135">
        <v>20000</v>
      </c>
      <c r="G595" s="134" t="s">
        <v>159</v>
      </c>
      <c r="H595" s="45" t="s">
        <v>2940</v>
      </c>
      <c r="I595" s="34" t="s">
        <v>744</v>
      </c>
      <c r="J595" s="34" t="s">
        <v>603</v>
      </c>
      <c r="K595" s="34"/>
    </row>
    <row r="596" spans="1:11" s="69" customFormat="1" ht="25.5" customHeight="1">
      <c r="A596" s="40">
        <v>592</v>
      </c>
      <c r="B596" s="47" t="s">
        <v>2941</v>
      </c>
      <c r="C596" s="48" t="s">
        <v>2941</v>
      </c>
      <c r="D596" s="48"/>
      <c r="E596" s="48" t="s">
        <v>2942</v>
      </c>
      <c r="F596" s="136" t="s">
        <v>159</v>
      </c>
      <c r="G596" s="137">
        <v>299000</v>
      </c>
      <c r="H596" s="50" t="s">
        <v>2943</v>
      </c>
      <c r="I596" s="51" t="s">
        <v>860</v>
      </c>
      <c r="J596" s="51" t="s">
        <v>861</v>
      </c>
      <c r="K596" s="51"/>
    </row>
    <row r="597" spans="1:11" s="69" customFormat="1" ht="25.5" customHeight="1">
      <c r="A597" s="40">
        <v>593</v>
      </c>
      <c r="B597" s="47" t="s">
        <v>2941</v>
      </c>
      <c r="C597" s="48" t="s">
        <v>2941</v>
      </c>
      <c r="D597" s="48"/>
      <c r="E597" s="48" t="s">
        <v>2944</v>
      </c>
      <c r="F597" s="137">
        <v>5000</v>
      </c>
      <c r="G597" s="136" t="s">
        <v>159</v>
      </c>
      <c r="H597" s="50" t="s">
        <v>2945</v>
      </c>
      <c r="I597" s="51" t="s">
        <v>819</v>
      </c>
      <c r="J597" s="51" t="s">
        <v>869</v>
      </c>
      <c r="K597" s="51" t="s">
        <v>823</v>
      </c>
    </row>
    <row r="598" spans="1:11" ht="25.5" customHeight="1">
      <c r="A598" s="40">
        <v>594</v>
      </c>
      <c r="B598" s="41" t="s">
        <v>2941</v>
      </c>
      <c r="C598" s="42" t="s">
        <v>2941</v>
      </c>
      <c r="D598" s="42"/>
      <c r="E598" s="42" t="s">
        <v>2946</v>
      </c>
      <c r="F598" s="135">
        <v>20000</v>
      </c>
      <c r="G598" s="134" t="s">
        <v>159</v>
      </c>
      <c r="H598" s="45" t="s">
        <v>2947</v>
      </c>
      <c r="I598" s="34" t="s">
        <v>715</v>
      </c>
      <c r="J598" s="34" t="s">
        <v>603</v>
      </c>
      <c r="K598" s="34"/>
    </row>
    <row r="599" spans="1:11" ht="25.5" customHeight="1">
      <c r="A599" s="40">
        <v>595</v>
      </c>
      <c r="B599" s="41" t="s">
        <v>2948</v>
      </c>
      <c r="C599" s="42" t="s">
        <v>2948</v>
      </c>
      <c r="D599" s="42"/>
      <c r="E599" s="42" t="s">
        <v>2949</v>
      </c>
      <c r="F599" s="160">
        <v>30000</v>
      </c>
      <c r="G599" s="134" t="s">
        <v>159</v>
      </c>
      <c r="H599" s="45" t="s">
        <v>2950</v>
      </c>
      <c r="I599" s="34" t="s">
        <v>149</v>
      </c>
      <c r="J599" s="34" t="s">
        <v>603</v>
      </c>
      <c r="K599" s="34"/>
    </row>
    <row r="600" spans="1:11" ht="25.5" customHeight="1">
      <c r="A600" s="40">
        <v>596</v>
      </c>
      <c r="B600" s="41" t="s">
        <v>2948</v>
      </c>
      <c r="C600" s="42" t="s">
        <v>2948</v>
      </c>
      <c r="D600" s="42"/>
      <c r="E600" s="42" t="s">
        <v>2951</v>
      </c>
      <c r="F600" s="138" t="s">
        <v>2301</v>
      </c>
      <c r="G600" s="134" t="s">
        <v>159</v>
      </c>
      <c r="H600" s="45" t="s">
        <v>2952</v>
      </c>
      <c r="I600" s="34" t="s">
        <v>862</v>
      </c>
      <c r="J600" s="34" t="s">
        <v>898</v>
      </c>
      <c r="K600" s="34"/>
    </row>
    <row r="601" spans="1:11" s="69" customFormat="1" ht="25.5" customHeight="1">
      <c r="A601" s="40">
        <v>597</v>
      </c>
      <c r="B601" s="47" t="s">
        <v>2953</v>
      </c>
      <c r="C601" s="48" t="s">
        <v>2953</v>
      </c>
      <c r="D601" s="48"/>
      <c r="E601" s="48" t="s">
        <v>2954</v>
      </c>
      <c r="F601" s="136" t="s">
        <v>159</v>
      </c>
      <c r="G601" s="137">
        <v>600000</v>
      </c>
      <c r="H601" s="50" t="s">
        <v>2955</v>
      </c>
      <c r="I601" s="51" t="s">
        <v>863</v>
      </c>
      <c r="J601" s="51" t="s">
        <v>1057</v>
      </c>
      <c r="K601" s="51" t="s">
        <v>823</v>
      </c>
    </row>
    <row r="602" spans="1:11" s="69" customFormat="1" ht="25.5" customHeight="1">
      <c r="A602" s="40">
        <v>598</v>
      </c>
      <c r="B602" s="47" t="s">
        <v>2956</v>
      </c>
      <c r="C602" s="48" t="s">
        <v>2956</v>
      </c>
      <c r="D602" s="48"/>
      <c r="E602" s="48" t="s">
        <v>2957</v>
      </c>
      <c r="F602" s="136" t="s">
        <v>159</v>
      </c>
      <c r="G602" s="137">
        <v>40000</v>
      </c>
      <c r="H602" s="50" t="s">
        <v>2958</v>
      </c>
      <c r="I602" s="51" t="s">
        <v>868</v>
      </c>
      <c r="J602" s="51" t="s">
        <v>67</v>
      </c>
      <c r="K602" s="51" t="s">
        <v>823</v>
      </c>
    </row>
    <row r="603" spans="1:11" s="69" customFormat="1" ht="25.5" customHeight="1">
      <c r="A603" s="40">
        <v>599</v>
      </c>
      <c r="B603" s="47" t="s">
        <v>2956</v>
      </c>
      <c r="C603" s="48" t="s">
        <v>2956</v>
      </c>
      <c r="D603" s="48"/>
      <c r="E603" s="48" t="s">
        <v>2959</v>
      </c>
      <c r="F603" s="136" t="s">
        <v>159</v>
      </c>
      <c r="G603" s="137">
        <v>11000</v>
      </c>
      <c r="H603" s="50" t="s">
        <v>2960</v>
      </c>
      <c r="I603" s="51" t="s">
        <v>899</v>
      </c>
      <c r="J603" s="51" t="s">
        <v>804</v>
      </c>
      <c r="K603" s="51" t="s">
        <v>823</v>
      </c>
    </row>
    <row r="604" spans="1:11" s="69" customFormat="1" ht="25.5" customHeight="1">
      <c r="A604" s="40">
        <v>600</v>
      </c>
      <c r="B604" s="47" t="s">
        <v>2956</v>
      </c>
      <c r="C604" s="48" t="s">
        <v>2956</v>
      </c>
      <c r="D604" s="48"/>
      <c r="E604" s="48" t="s">
        <v>2961</v>
      </c>
      <c r="F604" s="136" t="s">
        <v>159</v>
      </c>
      <c r="G604" s="137">
        <v>300000</v>
      </c>
      <c r="H604" s="50" t="s">
        <v>2962</v>
      </c>
      <c r="I604" s="51" t="s">
        <v>866</v>
      </c>
      <c r="J604" s="51" t="s">
        <v>813</v>
      </c>
      <c r="K604" s="51"/>
    </row>
    <row r="605" spans="1:11" s="69" customFormat="1" ht="25.5" customHeight="1">
      <c r="A605" s="40">
        <v>601</v>
      </c>
      <c r="B605" s="47" t="s">
        <v>2956</v>
      </c>
      <c r="C605" s="48" t="s">
        <v>2956</v>
      </c>
      <c r="D605" s="48"/>
      <c r="E605" s="54" t="s">
        <v>1359</v>
      </c>
      <c r="F605" s="137">
        <v>300000</v>
      </c>
      <c r="G605" s="136" t="s">
        <v>159</v>
      </c>
      <c r="H605" s="50" t="s">
        <v>2960</v>
      </c>
      <c r="I605" s="51" t="s">
        <v>866</v>
      </c>
      <c r="J605" s="51" t="s">
        <v>865</v>
      </c>
      <c r="K605" s="51" t="s">
        <v>794</v>
      </c>
    </row>
    <row r="606" spans="1:11" s="69" customFormat="1" ht="25.5" customHeight="1">
      <c r="A606" s="40">
        <v>602</v>
      </c>
      <c r="B606" s="47" t="s">
        <v>2963</v>
      </c>
      <c r="C606" s="48" t="s">
        <v>2963</v>
      </c>
      <c r="D606" s="48"/>
      <c r="E606" s="48" t="s">
        <v>2964</v>
      </c>
      <c r="F606" s="136" t="s">
        <v>159</v>
      </c>
      <c r="G606" s="137">
        <v>300000</v>
      </c>
      <c r="H606" s="50" t="s">
        <v>2962</v>
      </c>
      <c r="I606" s="51" t="s">
        <v>867</v>
      </c>
      <c r="J606" s="51" t="s">
        <v>107</v>
      </c>
      <c r="K606" s="51"/>
    </row>
    <row r="607" spans="1:11" s="69" customFormat="1" ht="25.5" customHeight="1">
      <c r="A607" s="40">
        <v>603</v>
      </c>
      <c r="B607" s="47" t="s">
        <v>2963</v>
      </c>
      <c r="C607" s="48" t="s">
        <v>2963</v>
      </c>
      <c r="D607" s="48"/>
      <c r="E607" s="48" t="s">
        <v>2961</v>
      </c>
      <c r="F607" s="136" t="s">
        <v>159</v>
      </c>
      <c r="G607" s="137">
        <v>300000</v>
      </c>
      <c r="H607" s="50" t="s">
        <v>2965</v>
      </c>
      <c r="I607" s="51" t="s">
        <v>866</v>
      </c>
      <c r="J607" s="51" t="s">
        <v>813</v>
      </c>
      <c r="K607" s="51"/>
    </row>
    <row r="608" spans="1:11" s="69" customFormat="1" ht="25.5" customHeight="1">
      <c r="A608" s="40">
        <v>604</v>
      </c>
      <c r="B608" s="47" t="s">
        <v>2963</v>
      </c>
      <c r="C608" s="48" t="s">
        <v>2963</v>
      </c>
      <c r="D608" s="48"/>
      <c r="E608" s="54" t="s">
        <v>1359</v>
      </c>
      <c r="F608" s="137">
        <v>300000</v>
      </c>
      <c r="G608" s="136" t="s">
        <v>159</v>
      </c>
      <c r="H608" s="50" t="s">
        <v>2962</v>
      </c>
      <c r="I608" s="51" t="s">
        <v>866</v>
      </c>
      <c r="J608" s="51" t="s">
        <v>865</v>
      </c>
      <c r="K608" s="51" t="s">
        <v>794</v>
      </c>
    </row>
    <row r="609" spans="1:11" ht="25.5" customHeight="1">
      <c r="A609" s="40">
        <v>605</v>
      </c>
      <c r="B609" s="41" t="s">
        <v>2966</v>
      </c>
      <c r="C609" s="42" t="s">
        <v>2966</v>
      </c>
      <c r="D609" s="42"/>
      <c r="E609" s="42" t="s">
        <v>2967</v>
      </c>
      <c r="F609" s="134" t="s">
        <v>159</v>
      </c>
      <c r="G609" s="138" t="s">
        <v>2968</v>
      </c>
      <c r="H609" s="45" t="s">
        <v>2969</v>
      </c>
      <c r="I609" s="34" t="s">
        <v>854</v>
      </c>
      <c r="J609" s="34" t="s">
        <v>787</v>
      </c>
      <c r="K609" s="34"/>
    </row>
    <row r="610" spans="1:11" s="69" customFormat="1" ht="25.5" customHeight="1">
      <c r="A610" s="40">
        <v>606</v>
      </c>
      <c r="B610" s="47" t="s">
        <v>2970</v>
      </c>
      <c r="C610" s="48" t="s">
        <v>2970</v>
      </c>
      <c r="D610" s="48"/>
      <c r="E610" s="48" t="s">
        <v>2971</v>
      </c>
      <c r="F610" s="136" t="s">
        <v>159</v>
      </c>
      <c r="G610" s="137">
        <v>10000</v>
      </c>
      <c r="H610" s="50" t="s">
        <v>2972</v>
      </c>
      <c r="I610" s="51" t="s">
        <v>884</v>
      </c>
      <c r="J610" s="51" t="s">
        <v>885</v>
      </c>
      <c r="K610" s="51" t="s">
        <v>794</v>
      </c>
    </row>
    <row r="611" spans="1:11" ht="25.5" customHeight="1">
      <c r="A611" s="40">
        <v>607</v>
      </c>
      <c r="B611" s="41" t="s">
        <v>2970</v>
      </c>
      <c r="C611" s="42" t="s">
        <v>2970</v>
      </c>
      <c r="D611" s="42"/>
      <c r="E611" s="42" t="s">
        <v>2973</v>
      </c>
      <c r="F611" s="160">
        <v>116400</v>
      </c>
      <c r="G611" s="134" t="s">
        <v>159</v>
      </c>
      <c r="H611" s="45" t="s">
        <v>2974</v>
      </c>
      <c r="I611" s="34" t="s">
        <v>365</v>
      </c>
      <c r="J611" s="34" t="s">
        <v>603</v>
      </c>
      <c r="K611" s="34"/>
    </row>
    <row r="612" spans="1:11" ht="25.5" customHeight="1">
      <c r="A612" s="40">
        <v>608</v>
      </c>
      <c r="B612" s="41" t="s">
        <v>2975</v>
      </c>
      <c r="C612" s="42" t="s">
        <v>2975</v>
      </c>
      <c r="D612" s="42"/>
      <c r="E612" s="42" t="s">
        <v>2976</v>
      </c>
      <c r="F612" s="138" t="s">
        <v>2301</v>
      </c>
      <c r="G612" s="134" t="s">
        <v>159</v>
      </c>
      <c r="H612" s="45" t="s">
        <v>2977</v>
      </c>
      <c r="I612" s="34" t="s">
        <v>870</v>
      </c>
      <c r="J612" s="34" t="s">
        <v>794</v>
      </c>
      <c r="K612" s="34" t="s">
        <v>794</v>
      </c>
    </row>
    <row r="613" spans="1:11" s="69" customFormat="1" ht="25.5" customHeight="1">
      <c r="A613" s="40">
        <v>609</v>
      </c>
      <c r="B613" s="47" t="s">
        <v>2975</v>
      </c>
      <c r="C613" s="48" t="s">
        <v>2975</v>
      </c>
      <c r="D613" s="48"/>
      <c r="E613" s="48" t="s">
        <v>2978</v>
      </c>
      <c r="F613" s="136" t="s">
        <v>159</v>
      </c>
      <c r="G613" s="137">
        <v>40000</v>
      </c>
      <c r="H613" s="50" t="s">
        <v>2979</v>
      </c>
      <c r="I613" s="51" t="s">
        <v>872</v>
      </c>
      <c r="J613" s="51" t="s">
        <v>816</v>
      </c>
      <c r="K613" s="51"/>
    </row>
    <row r="614" spans="1:11" s="69" customFormat="1" ht="25.5" customHeight="1">
      <c r="A614" s="40">
        <v>610</v>
      </c>
      <c r="B614" s="47" t="s">
        <v>2975</v>
      </c>
      <c r="C614" s="48" t="s">
        <v>2975</v>
      </c>
      <c r="D614" s="48"/>
      <c r="E614" s="48" t="s">
        <v>2980</v>
      </c>
      <c r="F614" s="136" t="s">
        <v>159</v>
      </c>
      <c r="G614" s="137">
        <v>300000</v>
      </c>
      <c r="H614" s="50" t="s">
        <v>2981</v>
      </c>
      <c r="I614" s="51" t="s">
        <v>866</v>
      </c>
      <c r="J614" s="51" t="s">
        <v>813</v>
      </c>
      <c r="K614" s="51" t="s">
        <v>823</v>
      </c>
    </row>
    <row r="615" spans="1:11" ht="25.5" customHeight="1">
      <c r="A615" s="40">
        <v>611</v>
      </c>
      <c r="B615" s="41" t="s">
        <v>2982</v>
      </c>
      <c r="C615" s="42" t="s">
        <v>2982</v>
      </c>
      <c r="D615" s="42"/>
      <c r="E615" s="42" t="s">
        <v>2983</v>
      </c>
      <c r="F615" s="134" t="s">
        <v>159</v>
      </c>
      <c r="G615" s="135">
        <v>100000</v>
      </c>
      <c r="H615" s="45" t="s">
        <v>2984</v>
      </c>
      <c r="I615" s="34" t="s">
        <v>153</v>
      </c>
      <c r="J615" s="34" t="s">
        <v>886</v>
      </c>
      <c r="K615" s="34" t="s">
        <v>794</v>
      </c>
    </row>
    <row r="616" spans="1:11" s="69" customFormat="1" ht="25.5" customHeight="1">
      <c r="A616" s="40">
        <v>612</v>
      </c>
      <c r="B616" s="47" t="s">
        <v>2982</v>
      </c>
      <c r="C616" s="48" t="s">
        <v>2982</v>
      </c>
      <c r="D616" s="48"/>
      <c r="E616" s="48" t="s">
        <v>2985</v>
      </c>
      <c r="F616" s="136" t="s">
        <v>159</v>
      </c>
      <c r="G616" s="137">
        <v>60000</v>
      </c>
      <c r="H616" s="50" t="s">
        <v>2986</v>
      </c>
      <c r="I616" s="51" t="s">
        <v>871</v>
      </c>
      <c r="J616" s="51" t="s">
        <v>746</v>
      </c>
      <c r="K616" s="51"/>
    </row>
    <row r="617" spans="1:11" s="69" customFormat="1" ht="25.5" customHeight="1">
      <c r="A617" s="40">
        <v>613</v>
      </c>
      <c r="B617" s="47" t="s">
        <v>2982</v>
      </c>
      <c r="C617" s="48" t="s">
        <v>2982</v>
      </c>
      <c r="D617" s="48"/>
      <c r="E617" s="48" t="s">
        <v>2987</v>
      </c>
      <c r="F617" s="136" t="s">
        <v>159</v>
      </c>
      <c r="G617" s="137">
        <v>5000</v>
      </c>
      <c r="H617" s="50" t="s">
        <v>2988</v>
      </c>
      <c r="I617" s="51" t="s">
        <v>875</v>
      </c>
      <c r="J617" s="51" t="s">
        <v>873</v>
      </c>
      <c r="K617" s="51"/>
    </row>
    <row r="618" spans="1:11" s="69" customFormat="1" ht="25.5" customHeight="1">
      <c r="A618" s="40">
        <v>614</v>
      </c>
      <c r="B618" s="47" t="s">
        <v>2982</v>
      </c>
      <c r="C618" s="48" t="s">
        <v>2982</v>
      </c>
      <c r="D618" s="48"/>
      <c r="E618" s="48" t="s">
        <v>2989</v>
      </c>
      <c r="F618" s="136" t="s">
        <v>159</v>
      </c>
      <c r="G618" s="137">
        <v>5000</v>
      </c>
      <c r="H618" s="50" t="s">
        <v>2990</v>
      </c>
      <c r="I618" s="51" t="s">
        <v>875</v>
      </c>
      <c r="J618" s="51" t="s">
        <v>874</v>
      </c>
      <c r="K618" s="51"/>
    </row>
    <row r="619" spans="1:11" s="69" customFormat="1" ht="25.5" customHeight="1">
      <c r="A619" s="40">
        <v>615</v>
      </c>
      <c r="B619" s="47" t="s">
        <v>2982</v>
      </c>
      <c r="C619" s="48" t="s">
        <v>2982</v>
      </c>
      <c r="D619" s="48"/>
      <c r="E619" s="54" t="s">
        <v>1360</v>
      </c>
      <c r="F619" s="137">
        <v>60000</v>
      </c>
      <c r="G619" s="136" t="s">
        <v>159</v>
      </c>
      <c r="H619" s="50" t="s">
        <v>2991</v>
      </c>
      <c r="I619" s="51" t="s">
        <v>871</v>
      </c>
      <c r="J619" s="51" t="s">
        <v>869</v>
      </c>
      <c r="K619" s="51" t="s">
        <v>794</v>
      </c>
    </row>
    <row r="620" spans="1:11" ht="25.5" customHeight="1">
      <c r="A620" s="40">
        <v>616</v>
      </c>
      <c r="B620" s="41" t="s">
        <v>2982</v>
      </c>
      <c r="C620" s="42" t="s">
        <v>2982</v>
      </c>
      <c r="D620" s="42"/>
      <c r="E620" s="38" t="s">
        <v>1361</v>
      </c>
      <c r="F620" s="135">
        <v>118</v>
      </c>
      <c r="G620" s="134" t="s">
        <v>159</v>
      </c>
      <c r="H620" s="45" t="s">
        <v>2992</v>
      </c>
      <c r="I620" s="34" t="s">
        <v>38</v>
      </c>
      <c r="J620" s="34" t="s">
        <v>788</v>
      </c>
      <c r="K620" s="34" t="s">
        <v>794</v>
      </c>
    </row>
    <row r="621" spans="1:11" ht="25.5" customHeight="1">
      <c r="A621" s="40">
        <v>617</v>
      </c>
      <c r="B621" s="41" t="s">
        <v>2993</v>
      </c>
      <c r="C621" s="42" t="s">
        <v>2993</v>
      </c>
      <c r="D621" s="42"/>
      <c r="E621" s="42" t="s">
        <v>2994</v>
      </c>
      <c r="F621" s="160">
        <v>30000</v>
      </c>
      <c r="G621" s="134" t="s">
        <v>159</v>
      </c>
      <c r="H621" s="45" t="s">
        <v>2995</v>
      </c>
      <c r="I621" s="34" t="s">
        <v>604</v>
      </c>
      <c r="J621" s="34" t="s">
        <v>603</v>
      </c>
      <c r="K621" s="34"/>
    </row>
    <row r="622" spans="1:11" ht="25.5" customHeight="1">
      <c r="A622" s="40">
        <v>618</v>
      </c>
      <c r="B622" s="41" t="s">
        <v>2996</v>
      </c>
      <c r="C622" s="42" t="s">
        <v>2996</v>
      </c>
      <c r="D622" s="42"/>
      <c r="E622" s="42" t="s">
        <v>2997</v>
      </c>
      <c r="F622" s="135">
        <v>100000</v>
      </c>
      <c r="G622" s="134" t="s">
        <v>159</v>
      </c>
      <c r="H622" s="45" t="s">
        <v>2998</v>
      </c>
      <c r="I622" s="34" t="s">
        <v>887</v>
      </c>
      <c r="J622" s="34" t="s">
        <v>3147</v>
      </c>
      <c r="K622" s="34" t="s">
        <v>823</v>
      </c>
    </row>
    <row r="623" spans="1:11" s="69" customFormat="1" ht="25.5" customHeight="1">
      <c r="A623" s="40">
        <v>619</v>
      </c>
      <c r="B623" s="47" t="s">
        <v>2996</v>
      </c>
      <c r="C623" s="48" t="s">
        <v>2996</v>
      </c>
      <c r="D623" s="48"/>
      <c r="E623" s="54" t="s">
        <v>1362</v>
      </c>
      <c r="F623" s="136" t="s">
        <v>159</v>
      </c>
      <c r="G623" s="137">
        <v>382250</v>
      </c>
      <c r="H623" s="50" t="s">
        <v>2999</v>
      </c>
      <c r="I623" s="51" t="s">
        <v>50</v>
      </c>
      <c r="J623" s="51" t="s">
        <v>51</v>
      </c>
      <c r="K623" s="51" t="s">
        <v>794</v>
      </c>
    </row>
    <row r="624" spans="1:11" ht="25.5" customHeight="1">
      <c r="A624" s="40">
        <v>620</v>
      </c>
      <c r="B624" s="41" t="s">
        <v>2996</v>
      </c>
      <c r="C624" s="42" t="s">
        <v>2996</v>
      </c>
      <c r="D624" s="42"/>
      <c r="E624" s="42" t="s">
        <v>3000</v>
      </c>
      <c r="F624" s="135">
        <v>80000</v>
      </c>
      <c r="G624" s="134" t="s">
        <v>159</v>
      </c>
      <c r="H624" s="45" t="s">
        <v>3001</v>
      </c>
      <c r="I624" s="34" t="s">
        <v>614</v>
      </c>
      <c r="J624" s="34" t="s">
        <v>597</v>
      </c>
      <c r="K624" s="34" t="s">
        <v>823</v>
      </c>
    </row>
    <row r="625" spans="1:11" ht="25.5" customHeight="1">
      <c r="A625" s="40">
        <v>621</v>
      </c>
      <c r="B625" s="41" t="s">
        <v>3002</v>
      </c>
      <c r="C625" s="42" t="s">
        <v>3002</v>
      </c>
      <c r="D625" s="42"/>
      <c r="E625" s="42" t="s">
        <v>3003</v>
      </c>
      <c r="F625" s="160">
        <v>116400</v>
      </c>
      <c r="G625" s="134" t="s">
        <v>159</v>
      </c>
      <c r="H625" s="45" t="s">
        <v>3004</v>
      </c>
      <c r="I625" s="34" t="s">
        <v>369</v>
      </c>
      <c r="J625" s="34" t="s">
        <v>603</v>
      </c>
      <c r="K625" s="34"/>
    </row>
    <row r="626" spans="1:11" ht="25.5" customHeight="1">
      <c r="A626" s="40">
        <v>622</v>
      </c>
      <c r="B626" s="41" t="s">
        <v>3002</v>
      </c>
      <c r="C626" s="42" t="s">
        <v>3002</v>
      </c>
      <c r="D626" s="42"/>
      <c r="E626" s="42" t="s">
        <v>3005</v>
      </c>
      <c r="F626" s="160">
        <v>87300</v>
      </c>
      <c r="G626" s="134" t="s">
        <v>159</v>
      </c>
      <c r="H626" s="45" t="s">
        <v>3006</v>
      </c>
      <c r="I626" s="34" t="s">
        <v>37</v>
      </c>
      <c r="J626" s="34" t="s">
        <v>603</v>
      </c>
      <c r="K626" s="34"/>
    </row>
    <row r="627" spans="1:11" ht="25.5" customHeight="1">
      <c r="A627" s="40">
        <v>623</v>
      </c>
      <c r="B627" s="41" t="s">
        <v>3002</v>
      </c>
      <c r="C627" s="42" t="s">
        <v>3002</v>
      </c>
      <c r="D627" s="42"/>
      <c r="E627" s="42" t="s">
        <v>3007</v>
      </c>
      <c r="F627" s="135">
        <v>87300</v>
      </c>
      <c r="G627" s="134" t="s">
        <v>159</v>
      </c>
      <c r="H627" s="45" t="s">
        <v>3008</v>
      </c>
      <c r="I627" s="34" t="s">
        <v>605</v>
      </c>
      <c r="J627" s="34" t="s">
        <v>603</v>
      </c>
      <c r="K627" s="34"/>
    </row>
    <row r="628" spans="1:11" ht="25.5" customHeight="1">
      <c r="A628" s="40">
        <v>624</v>
      </c>
      <c r="B628" s="41" t="s">
        <v>3002</v>
      </c>
      <c r="C628" s="42" t="s">
        <v>3002</v>
      </c>
      <c r="D628" s="42"/>
      <c r="E628" s="42" t="s">
        <v>3009</v>
      </c>
      <c r="F628" s="135">
        <v>116400</v>
      </c>
      <c r="G628" s="134" t="s">
        <v>159</v>
      </c>
      <c r="H628" s="45" t="s">
        <v>3010</v>
      </c>
      <c r="I628" s="34" t="s">
        <v>86</v>
      </c>
      <c r="J628" s="34" t="s">
        <v>603</v>
      </c>
      <c r="K628" s="34"/>
    </row>
    <row r="629" spans="1:11" ht="25.5" customHeight="1">
      <c r="A629" s="40">
        <v>625</v>
      </c>
      <c r="B629" s="41" t="s">
        <v>3002</v>
      </c>
      <c r="C629" s="42" t="s">
        <v>3002</v>
      </c>
      <c r="D629" s="42"/>
      <c r="E629" s="42" t="s">
        <v>3011</v>
      </c>
      <c r="F629" s="135">
        <v>116400</v>
      </c>
      <c r="G629" s="134" t="s">
        <v>159</v>
      </c>
      <c r="H629" s="45" t="s">
        <v>3012</v>
      </c>
      <c r="I629" s="34" t="s">
        <v>411</v>
      </c>
      <c r="J629" s="34" t="s">
        <v>603</v>
      </c>
      <c r="K629" s="34"/>
    </row>
    <row r="630" spans="1:11" ht="25.5" customHeight="1">
      <c r="A630" s="40">
        <v>626</v>
      </c>
      <c r="B630" s="41" t="s">
        <v>3002</v>
      </c>
      <c r="C630" s="42" t="s">
        <v>3002</v>
      </c>
      <c r="D630" s="42"/>
      <c r="E630" s="42" t="s">
        <v>3013</v>
      </c>
      <c r="F630" s="135">
        <v>116400</v>
      </c>
      <c r="G630" s="134" t="s">
        <v>159</v>
      </c>
      <c r="H630" s="45" t="s">
        <v>3014</v>
      </c>
      <c r="I630" s="34" t="s">
        <v>607</v>
      </c>
      <c r="J630" s="34" t="s">
        <v>603</v>
      </c>
      <c r="K630" s="34"/>
    </row>
    <row r="631" spans="1:11" ht="25.5" customHeight="1">
      <c r="A631" s="40">
        <v>627</v>
      </c>
      <c r="B631" s="41" t="s">
        <v>3002</v>
      </c>
      <c r="C631" s="42" t="s">
        <v>3002</v>
      </c>
      <c r="D631" s="42"/>
      <c r="E631" s="42" t="s">
        <v>3015</v>
      </c>
      <c r="F631" s="138" t="s">
        <v>2301</v>
      </c>
      <c r="G631" s="134" t="s">
        <v>159</v>
      </c>
      <c r="H631" s="45" t="s">
        <v>3016</v>
      </c>
      <c r="I631" s="34" t="s">
        <v>870</v>
      </c>
      <c r="J631" s="34" t="s">
        <v>794</v>
      </c>
      <c r="K631" s="34" t="s">
        <v>823</v>
      </c>
    </row>
    <row r="632" spans="1:11" ht="25.5" customHeight="1">
      <c r="A632" s="40">
        <v>628</v>
      </c>
      <c r="B632" s="41" t="s">
        <v>3002</v>
      </c>
      <c r="C632" s="42" t="s">
        <v>3002</v>
      </c>
      <c r="D632" s="42"/>
      <c r="E632" s="42" t="s">
        <v>3017</v>
      </c>
      <c r="F632" s="138" t="s">
        <v>2301</v>
      </c>
      <c r="G632" s="134" t="s">
        <v>159</v>
      </c>
      <c r="H632" s="45" t="s">
        <v>3018</v>
      </c>
      <c r="I632" s="34" t="s">
        <v>870</v>
      </c>
      <c r="J632" s="34" t="s">
        <v>794</v>
      </c>
      <c r="K632" s="34" t="s">
        <v>794</v>
      </c>
    </row>
    <row r="633" spans="1:11" ht="25.5" customHeight="1">
      <c r="A633" s="40">
        <v>629</v>
      </c>
      <c r="B633" s="41" t="s">
        <v>3002</v>
      </c>
      <c r="C633" s="42" t="s">
        <v>3002</v>
      </c>
      <c r="D633" s="42"/>
      <c r="E633" s="42" t="s">
        <v>3019</v>
      </c>
      <c r="F633" s="138" t="s">
        <v>2301</v>
      </c>
      <c r="G633" s="134" t="s">
        <v>159</v>
      </c>
      <c r="H633" s="45" t="s">
        <v>3020</v>
      </c>
      <c r="I633" s="34" t="s">
        <v>870</v>
      </c>
      <c r="J633" s="34" t="s">
        <v>794</v>
      </c>
      <c r="K633" s="34" t="s">
        <v>794</v>
      </c>
    </row>
    <row r="634" spans="1:11" ht="25.5" customHeight="1">
      <c r="A634" s="40">
        <v>630</v>
      </c>
      <c r="B634" s="41" t="s">
        <v>3002</v>
      </c>
      <c r="C634" s="42" t="s">
        <v>3002</v>
      </c>
      <c r="D634" s="42"/>
      <c r="E634" s="42" t="s">
        <v>3021</v>
      </c>
      <c r="F634" s="138" t="s">
        <v>2301</v>
      </c>
      <c r="G634" s="134" t="s">
        <v>159</v>
      </c>
      <c r="H634" s="45" t="s">
        <v>3022</v>
      </c>
      <c r="I634" s="34" t="s">
        <v>870</v>
      </c>
      <c r="J634" s="34" t="s">
        <v>794</v>
      </c>
      <c r="K634" s="34" t="s">
        <v>794</v>
      </c>
    </row>
    <row r="635" spans="1:11" ht="25.5" customHeight="1">
      <c r="A635" s="40">
        <v>631</v>
      </c>
      <c r="B635" s="41" t="s">
        <v>3023</v>
      </c>
      <c r="C635" s="42" t="s">
        <v>3024</v>
      </c>
      <c r="D635" s="42"/>
      <c r="E635" s="42" t="s">
        <v>3025</v>
      </c>
      <c r="F635" s="135">
        <v>150000</v>
      </c>
      <c r="G635" s="134" t="s">
        <v>159</v>
      </c>
      <c r="H635" s="45" t="s">
        <v>3026</v>
      </c>
      <c r="I635" s="34" t="s">
        <v>2</v>
      </c>
      <c r="J635" s="34" t="s">
        <v>603</v>
      </c>
      <c r="K635" s="34"/>
    </row>
    <row r="636" spans="1:11" s="69" customFormat="1" ht="25.5" customHeight="1">
      <c r="A636" s="40">
        <v>632</v>
      </c>
      <c r="B636" s="47" t="s">
        <v>3027</v>
      </c>
      <c r="C636" s="48" t="s">
        <v>3024</v>
      </c>
      <c r="D636" s="48"/>
      <c r="E636" s="48" t="s">
        <v>3028</v>
      </c>
      <c r="F636" s="136" t="s">
        <v>159</v>
      </c>
      <c r="G636" s="137">
        <v>20000</v>
      </c>
      <c r="H636" s="50" t="s">
        <v>3029</v>
      </c>
      <c r="I636" s="51" t="s">
        <v>877</v>
      </c>
      <c r="J636" s="51" t="s">
        <v>2181</v>
      </c>
      <c r="K636" s="51"/>
    </row>
    <row r="637" spans="1:11" ht="25.5" customHeight="1">
      <c r="A637" s="40">
        <v>633</v>
      </c>
      <c r="B637" s="41" t="s">
        <v>3030</v>
      </c>
      <c r="C637" s="42" t="s">
        <v>3030</v>
      </c>
      <c r="D637" s="42"/>
      <c r="E637" s="42" t="s">
        <v>3031</v>
      </c>
      <c r="F637" s="134" t="s">
        <v>159</v>
      </c>
      <c r="G637" s="138" t="s">
        <v>2301</v>
      </c>
      <c r="H637" s="45" t="s">
        <v>3032</v>
      </c>
      <c r="I637" s="34" t="s">
        <v>870</v>
      </c>
      <c r="J637" s="34" t="s">
        <v>787</v>
      </c>
      <c r="K637" s="34"/>
    </row>
    <row r="638" spans="1:11" ht="25.5" customHeight="1">
      <c r="A638" s="40">
        <v>634</v>
      </c>
      <c r="B638" s="41" t="s">
        <v>3030</v>
      </c>
      <c r="C638" s="42" t="s">
        <v>3030</v>
      </c>
      <c r="D638" s="42"/>
      <c r="E638" s="42" t="s">
        <v>3033</v>
      </c>
      <c r="F638" s="134" t="s">
        <v>159</v>
      </c>
      <c r="G638" s="138" t="s">
        <v>2301</v>
      </c>
      <c r="H638" s="45" t="s">
        <v>3034</v>
      </c>
      <c r="I638" s="34" t="s">
        <v>870</v>
      </c>
      <c r="J638" s="34" t="s">
        <v>787</v>
      </c>
      <c r="K638" s="34"/>
    </row>
    <row r="639" spans="1:11" ht="25.5" customHeight="1">
      <c r="A639" s="40">
        <v>635</v>
      </c>
      <c r="B639" s="41" t="s">
        <v>3030</v>
      </c>
      <c r="C639" s="42" t="s">
        <v>3030</v>
      </c>
      <c r="D639" s="42"/>
      <c r="E639" s="42" t="s">
        <v>3035</v>
      </c>
      <c r="F639" s="138" t="s">
        <v>2301</v>
      </c>
      <c r="G639" s="134" t="s">
        <v>159</v>
      </c>
      <c r="H639" s="45" t="s">
        <v>3032</v>
      </c>
      <c r="I639" s="34" t="s">
        <v>862</v>
      </c>
      <c r="J639" s="34" t="s">
        <v>1028</v>
      </c>
      <c r="K639" s="34"/>
    </row>
    <row r="640" spans="1:11" ht="25.5" customHeight="1">
      <c r="A640" s="40">
        <v>636</v>
      </c>
      <c r="B640" s="41" t="s">
        <v>3030</v>
      </c>
      <c r="C640" s="42" t="s">
        <v>3030</v>
      </c>
      <c r="D640" s="42"/>
      <c r="E640" s="42" t="s">
        <v>3036</v>
      </c>
      <c r="F640" s="138" t="s">
        <v>2301</v>
      </c>
      <c r="G640" s="134" t="s">
        <v>159</v>
      </c>
      <c r="H640" s="45" t="s">
        <v>3029</v>
      </c>
      <c r="I640" s="34" t="s">
        <v>862</v>
      </c>
      <c r="J640" s="34" t="s">
        <v>1028</v>
      </c>
      <c r="K640" s="34"/>
    </row>
    <row r="641" spans="1:11" s="69" customFormat="1" ht="25.5" customHeight="1">
      <c r="A641" s="40">
        <v>637</v>
      </c>
      <c r="B641" s="47" t="s">
        <v>3030</v>
      </c>
      <c r="C641" s="48" t="s">
        <v>3030</v>
      </c>
      <c r="D641" s="48"/>
      <c r="E641" s="48" t="s">
        <v>3037</v>
      </c>
      <c r="F641" s="136" t="s">
        <v>159</v>
      </c>
      <c r="G641" s="137">
        <v>10000</v>
      </c>
      <c r="H641" s="50" t="s">
        <v>3038</v>
      </c>
      <c r="I641" s="51" t="s">
        <v>878</v>
      </c>
      <c r="J641" s="51" t="s">
        <v>882</v>
      </c>
      <c r="K641" s="51"/>
    </row>
    <row r="642" spans="1:11" ht="25.5" customHeight="1">
      <c r="A642" s="40">
        <v>638</v>
      </c>
      <c r="B642" s="41" t="s">
        <v>3039</v>
      </c>
      <c r="C642" s="42" t="s">
        <v>3039</v>
      </c>
      <c r="D642" s="42"/>
      <c r="E642" s="42" t="s">
        <v>3040</v>
      </c>
      <c r="F642" s="135">
        <v>65000</v>
      </c>
      <c r="G642" s="134" t="s">
        <v>159</v>
      </c>
      <c r="H642" s="45" t="s">
        <v>3041</v>
      </c>
      <c r="I642" s="34" t="s">
        <v>614</v>
      </c>
      <c r="J642" s="34" t="s">
        <v>597</v>
      </c>
      <c r="K642" s="34" t="s">
        <v>794</v>
      </c>
    </row>
    <row r="643" spans="1:11" s="69" customFormat="1" ht="25.5" customHeight="1">
      <c r="A643" s="40">
        <v>639</v>
      </c>
      <c r="B643" s="47" t="s">
        <v>3042</v>
      </c>
      <c r="C643" s="48" t="s">
        <v>3042</v>
      </c>
      <c r="D643" s="48"/>
      <c r="E643" s="54" t="s">
        <v>1363</v>
      </c>
      <c r="F643" s="136" t="s">
        <v>159</v>
      </c>
      <c r="G643" s="137">
        <v>200000</v>
      </c>
      <c r="H643" s="50" t="s">
        <v>3043</v>
      </c>
      <c r="I643" s="51" t="s">
        <v>610</v>
      </c>
      <c r="J643" s="51" t="s">
        <v>467</v>
      </c>
      <c r="K643" s="51" t="s">
        <v>794</v>
      </c>
    </row>
    <row r="644" spans="1:11" s="69" customFormat="1" ht="25.5" customHeight="1">
      <c r="A644" s="40">
        <v>640</v>
      </c>
      <c r="B644" s="47" t="s">
        <v>3042</v>
      </c>
      <c r="C644" s="48" t="s">
        <v>3042</v>
      </c>
      <c r="D644" s="48"/>
      <c r="E644" s="48" t="s">
        <v>3044</v>
      </c>
      <c r="F644" s="136" t="s">
        <v>159</v>
      </c>
      <c r="G644" s="137">
        <v>51000</v>
      </c>
      <c r="H644" s="50" t="s">
        <v>3045</v>
      </c>
      <c r="I644" s="51" t="s">
        <v>879</v>
      </c>
      <c r="J644" s="51" t="s">
        <v>880</v>
      </c>
      <c r="K644" s="51" t="s">
        <v>840</v>
      </c>
    </row>
    <row r="645" spans="1:11" s="69" customFormat="1" ht="25.5" customHeight="1">
      <c r="A645" s="40">
        <v>641</v>
      </c>
      <c r="B645" s="47" t="s">
        <v>3042</v>
      </c>
      <c r="C645" s="48" t="s">
        <v>3042</v>
      </c>
      <c r="D645" s="48"/>
      <c r="E645" s="48" t="s">
        <v>3046</v>
      </c>
      <c r="F645" s="136" t="s">
        <v>159</v>
      </c>
      <c r="G645" s="137">
        <v>392000</v>
      </c>
      <c r="H645" s="50" t="s">
        <v>3047</v>
      </c>
      <c r="I645" s="51" t="s">
        <v>881</v>
      </c>
      <c r="J645" s="51" t="s">
        <v>321</v>
      </c>
      <c r="K645" s="51" t="s">
        <v>794</v>
      </c>
    </row>
    <row r="646" spans="1:11" s="69" customFormat="1" ht="25.5" customHeight="1">
      <c r="A646" s="40">
        <v>642</v>
      </c>
      <c r="B646" s="66" t="s">
        <v>3048</v>
      </c>
      <c r="C646" s="67" t="s">
        <v>3049</v>
      </c>
      <c r="D646" s="67"/>
      <c r="E646" s="67" t="s">
        <v>3050</v>
      </c>
      <c r="F646" s="142" t="s">
        <v>159</v>
      </c>
      <c r="G646" s="143">
        <v>10000</v>
      </c>
      <c r="H646" s="71" t="s">
        <v>3051</v>
      </c>
      <c r="I646" s="69" t="s">
        <v>883</v>
      </c>
      <c r="J646" s="69" t="s">
        <v>114</v>
      </c>
      <c r="K646" s="69" t="s">
        <v>794</v>
      </c>
    </row>
    <row r="647" spans="1:11" ht="25.5" customHeight="1">
      <c r="A647" s="40">
        <v>643</v>
      </c>
      <c r="B647" s="62" t="s">
        <v>3052</v>
      </c>
      <c r="C647" s="63" t="s">
        <v>3052</v>
      </c>
      <c r="D647" s="63"/>
      <c r="E647" s="63" t="s">
        <v>3053</v>
      </c>
      <c r="F647" s="144">
        <v>19400</v>
      </c>
      <c r="G647" s="145" t="s">
        <v>159</v>
      </c>
      <c r="H647" s="65" t="s">
        <v>3054</v>
      </c>
      <c r="I647" s="35" t="s">
        <v>744</v>
      </c>
      <c r="J647" s="35" t="s">
        <v>603</v>
      </c>
    </row>
    <row r="648" spans="1:11" ht="25.5" customHeight="1">
      <c r="A648" s="40">
        <v>644</v>
      </c>
      <c r="B648" s="62" t="s">
        <v>3052</v>
      </c>
      <c r="C648" s="63" t="s">
        <v>3052</v>
      </c>
      <c r="D648" s="63"/>
      <c r="E648" s="63" t="s">
        <v>3055</v>
      </c>
      <c r="F648" s="145" t="s">
        <v>159</v>
      </c>
      <c r="G648" s="144">
        <v>100000</v>
      </c>
      <c r="H648" s="65" t="s">
        <v>3056</v>
      </c>
      <c r="I648" s="35" t="s">
        <v>887</v>
      </c>
      <c r="J648" s="35" t="s">
        <v>3148</v>
      </c>
    </row>
    <row r="649" spans="1:11" ht="25.5" customHeight="1">
      <c r="A649" s="40">
        <v>645</v>
      </c>
      <c r="B649" s="62" t="s">
        <v>3057</v>
      </c>
      <c r="C649" s="63" t="s">
        <v>3057</v>
      </c>
      <c r="D649" s="63"/>
      <c r="E649" s="63" t="s">
        <v>3058</v>
      </c>
      <c r="F649" s="144">
        <v>806000</v>
      </c>
      <c r="G649" s="145" t="s">
        <v>159</v>
      </c>
      <c r="H649" s="65" t="s">
        <v>3059</v>
      </c>
      <c r="I649" s="35" t="s">
        <v>888</v>
      </c>
      <c r="J649" s="35" t="s">
        <v>350</v>
      </c>
      <c r="K649" s="35" t="s">
        <v>794</v>
      </c>
    </row>
    <row r="650" spans="1:11" ht="25.5" customHeight="1">
      <c r="A650" s="40">
        <v>646</v>
      </c>
      <c r="B650" s="62" t="s">
        <v>3060</v>
      </c>
      <c r="C650" s="63" t="s">
        <v>3060</v>
      </c>
      <c r="D650" s="63"/>
      <c r="E650" s="63" t="s">
        <v>3061</v>
      </c>
      <c r="F650" s="144">
        <v>234500</v>
      </c>
      <c r="G650" s="145" t="s">
        <v>159</v>
      </c>
      <c r="H650" s="64">
        <v>858988.9</v>
      </c>
      <c r="I650" s="35" t="s">
        <v>713</v>
      </c>
      <c r="J650" s="35" t="s">
        <v>794</v>
      </c>
      <c r="K650" s="35" t="s">
        <v>794</v>
      </c>
    </row>
    <row r="651" spans="1:11" s="69" customFormat="1" ht="25.5" customHeight="1">
      <c r="A651" s="40">
        <v>647</v>
      </c>
      <c r="B651" s="66" t="s">
        <v>3060</v>
      </c>
      <c r="C651" s="67" t="s">
        <v>3060</v>
      </c>
      <c r="D651" s="67"/>
      <c r="E651" s="67" t="s">
        <v>3062</v>
      </c>
      <c r="F651" s="142" t="s">
        <v>159</v>
      </c>
      <c r="G651" s="143">
        <v>50000</v>
      </c>
      <c r="H651" s="68">
        <v>908988.9</v>
      </c>
      <c r="I651" s="69" t="s">
        <v>1134</v>
      </c>
      <c r="J651" s="69" t="s">
        <v>3146</v>
      </c>
    </row>
    <row r="652" spans="1:11" ht="25.5" customHeight="1">
      <c r="A652" s="40">
        <v>648</v>
      </c>
      <c r="B652" s="62" t="s">
        <v>3063</v>
      </c>
      <c r="C652" s="63" t="s">
        <v>3063</v>
      </c>
      <c r="D652" s="63"/>
      <c r="E652" s="63" t="s">
        <v>3064</v>
      </c>
      <c r="F652" s="145" t="s">
        <v>159</v>
      </c>
      <c r="G652" s="144">
        <v>289000</v>
      </c>
      <c r="H652" s="65" t="s">
        <v>3065</v>
      </c>
      <c r="I652" s="35" t="s">
        <v>349</v>
      </c>
      <c r="J652" s="35" t="s">
        <v>787</v>
      </c>
    </row>
    <row r="653" spans="1:11" s="69" customFormat="1" ht="25.5" customHeight="1">
      <c r="A653" s="40">
        <v>649</v>
      </c>
      <c r="B653" s="66" t="s">
        <v>3063</v>
      </c>
      <c r="C653" s="67" t="s">
        <v>3063</v>
      </c>
      <c r="D653" s="67"/>
      <c r="E653" s="67" t="s">
        <v>3066</v>
      </c>
      <c r="F653" s="142" t="s">
        <v>159</v>
      </c>
      <c r="G653" s="143">
        <v>266000</v>
      </c>
      <c r="H653" s="71" t="s">
        <v>3067</v>
      </c>
      <c r="I653" s="69" t="s">
        <v>472</v>
      </c>
      <c r="J653" s="69" t="s">
        <v>889</v>
      </c>
      <c r="K653" s="69" t="s">
        <v>824</v>
      </c>
    </row>
    <row r="654" spans="1:11" s="69" customFormat="1" ht="25.5" customHeight="1">
      <c r="A654" s="40">
        <v>650</v>
      </c>
      <c r="B654" s="66" t="s">
        <v>3063</v>
      </c>
      <c r="C654" s="67" t="s">
        <v>3063</v>
      </c>
      <c r="D654" s="67"/>
      <c r="E654" s="67" t="s">
        <v>3068</v>
      </c>
      <c r="F654" s="142" t="s">
        <v>159</v>
      </c>
      <c r="G654" s="143">
        <v>430000</v>
      </c>
      <c r="H654" s="71" t="s">
        <v>3069</v>
      </c>
      <c r="I654" s="69" t="s">
        <v>890</v>
      </c>
      <c r="J654" s="69" t="s">
        <v>1048</v>
      </c>
    </row>
    <row r="655" spans="1:11" s="69" customFormat="1" ht="25.5" customHeight="1">
      <c r="A655" s="40">
        <v>651</v>
      </c>
      <c r="B655" s="66" t="s">
        <v>3063</v>
      </c>
      <c r="C655" s="67" t="s">
        <v>3063</v>
      </c>
      <c r="D655" s="67"/>
      <c r="E655" s="120" t="s">
        <v>1364</v>
      </c>
      <c r="F655" s="143">
        <v>266000</v>
      </c>
      <c r="G655" s="142" t="s">
        <v>159</v>
      </c>
      <c r="H655" s="71" t="s">
        <v>3070</v>
      </c>
      <c r="I655" s="69" t="s">
        <v>472</v>
      </c>
      <c r="J655" s="69" t="s">
        <v>892</v>
      </c>
      <c r="K655" s="69" t="s">
        <v>794</v>
      </c>
    </row>
    <row r="656" spans="1:11" ht="25.5" customHeight="1">
      <c r="A656" s="40">
        <v>652</v>
      </c>
      <c r="B656" s="62" t="s">
        <v>3063</v>
      </c>
      <c r="C656" s="63" t="s">
        <v>3063</v>
      </c>
      <c r="D656" s="63"/>
      <c r="E656" s="70" t="s">
        <v>1365</v>
      </c>
      <c r="F656" s="144">
        <v>118</v>
      </c>
      <c r="G656" s="145" t="s">
        <v>159</v>
      </c>
      <c r="H656" s="65" t="s">
        <v>3071</v>
      </c>
      <c r="I656" s="35" t="s">
        <v>38</v>
      </c>
      <c r="J656" s="35" t="s">
        <v>788</v>
      </c>
      <c r="K656" s="35" t="s">
        <v>794</v>
      </c>
    </row>
    <row r="657" spans="1:11" ht="25.5" customHeight="1">
      <c r="A657" s="40">
        <v>653</v>
      </c>
      <c r="B657" s="62" t="s">
        <v>3072</v>
      </c>
      <c r="C657" s="63" t="s">
        <v>3072</v>
      </c>
      <c r="D657" s="63"/>
      <c r="E657" s="63" t="s">
        <v>3073</v>
      </c>
      <c r="F657" s="144">
        <v>75000</v>
      </c>
      <c r="G657" s="145" t="s">
        <v>159</v>
      </c>
      <c r="H657" s="65" t="s">
        <v>3074</v>
      </c>
      <c r="I657" s="35" t="s">
        <v>614</v>
      </c>
      <c r="J657" s="35" t="s">
        <v>597</v>
      </c>
      <c r="K657" s="35" t="s">
        <v>794</v>
      </c>
    </row>
    <row r="658" spans="1:11" s="69" customFormat="1" ht="25.5" customHeight="1">
      <c r="A658" s="40">
        <v>654</v>
      </c>
      <c r="B658" s="66" t="s">
        <v>3072</v>
      </c>
      <c r="C658" s="67" t="s">
        <v>3072</v>
      </c>
      <c r="D658" s="67"/>
      <c r="E658" s="67" t="s">
        <v>3075</v>
      </c>
      <c r="F658" s="142" t="s">
        <v>159</v>
      </c>
      <c r="G658" s="143">
        <v>5000</v>
      </c>
      <c r="H658" s="71" t="s">
        <v>3076</v>
      </c>
      <c r="I658" s="69" t="s">
        <v>1287</v>
      </c>
      <c r="J658" s="69" t="s">
        <v>1128</v>
      </c>
      <c r="K658" s="69" t="s">
        <v>830</v>
      </c>
    </row>
    <row r="659" spans="1:11" s="69" customFormat="1" ht="25.5" customHeight="1">
      <c r="A659" s="40">
        <v>655</v>
      </c>
      <c r="B659" s="66" t="s">
        <v>3072</v>
      </c>
      <c r="C659" s="67" t="s">
        <v>3072</v>
      </c>
      <c r="D659" s="67"/>
      <c r="E659" s="67" t="s">
        <v>3077</v>
      </c>
      <c r="F659" s="143">
        <v>371000</v>
      </c>
      <c r="G659" s="142" t="s">
        <v>159</v>
      </c>
      <c r="H659" s="71" t="s">
        <v>3078</v>
      </c>
      <c r="I659" s="69" t="s">
        <v>89</v>
      </c>
      <c r="J659" s="69" t="s">
        <v>891</v>
      </c>
      <c r="K659" s="69" t="s">
        <v>823</v>
      </c>
    </row>
    <row r="660" spans="1:11" s="69" customFormat="1" ht="25.5" customHeight="1">
      <c r="A660" s="40">
        <v>656</v>
      </c>
      <c r="B660" s="66" t="s">
        <v>3072</v>
      </c>
      <c r="C660" s="67" t="s">
        <v>3072</v>
      </c>
      <c r="D660" s="67"/>
      <c r="E660" s="67" t="s">
        <v>3079</v>
      </c>
      <c r="F660" s="142" t="s">
        <v>159</v>
      </c>
      <c r="G660" s="143">
        <v>175000</v>
      </c>
      <c r="H660" s="71" t="s">
        <v>3080</v>
      </c>
      <c r="I660" s="69" t="s">
        <v>93</v>
      </c>
      <c r="J660" s="69" t="s">
        <v>94</v>
      </c>
      <c r="K660" s="69" t="s">
        <v>794</v>
      </c>
    </row>
    <row r="661" spans="1:11" ht="25.5" customHeight="1">
      <c r="A661" s="40">
        <v>657</v>
      </c>
      <c r="B661" s="62" t="s">
        <v>3081</v>
      </c>
      <c r="C661" s="63" t="s">
        <v>3082</v>
      </c>
      <c r="D661" s="63"/>
      <c r="E661" s="63" t="s">
        <v>3083</v>
      </c>
      <c r="F661" s="144">
        <v>200000</v>
      </c>
      <c r="G661" s="145" t="s">
        <v>159</v>
      </c>
      <c r="H661" s="65" t="s">
        <v>3084</v>
      </c>
      <c r="I661" s="35" t="s">
        <v>4</v>
      </c>
      <c r="J661" s="35" t="s">
        <v>603</v>
      </c>
    </row>
    <row r="662" spans="1:11" ht="25.5" customHeight="1">
      <c r="A662" s="40">
        <v>658</v>
      </c>
      <c r="B662" s="62" t="s">
        <v>3081</v>
      </c>
      <c r="C662" s="63" t="s">
        <v>3082</v>
      </c>
      <c r="D662" s="63"/>
      <c r="E662" s="63" t="s">
        <v>3085</v>
      </c>
      <c r="F662" s="161">
        <v>38800</v>
      </c>
      <c r="G662" s="145" t="s">
        <v>159</v>
      </c>
      <c r="H662" s="65" t="s">
        <v>3086</v>
      </c>
      <c r="I662" s="35" t="s">
        <v>369</v>
      </c>
      <c r="J662" s="35" t="s">
        <v>603</v>
      </c>
    </row>
    <row r="663" spans="1:11" s="164" customFormat="1" ht="25.5" customHeight="1">
      <c r="A663" s="162">
        <v>659</v>
      </c>
      <c r="B663" s="165" t="s">
        <v>3081</v>
      </c>
      <c r="C663" s="166" t="s">
        <v>3082</v>
      </c>
      <c r="D663" s="166"/>
      <c r="E663" s="166" t="s">
        <v>3087</v>
      </c>
      <c r="F663" s="167">
        <v>38800</v>
      </c>
      <c r="G663" s="168" t="s">
        <v>159</v>
      </c>
      <c r="H663" s="169" t="s">
        <v>3088</v>
      </c>
      <c r="I663" s="164" t="s">
        <v>37</v>
      </c>
      <c r="J663" s="164" t="s">
        <v>603</v>
      </c>
    </row>
    <row r="664" spans="1:11" ht="25.5" customHeight="1">
      <c r="A664" s="40">
        <v>660</v>
      </c>
      <c r="B664" s="62" t="s">
        <v>3081</v>
      </c>
      <c r="C664" s="63" t="s">
        <v>3082</v>
      </c>
      <c r="D664" s="63"/>
      <c r="E664" s="63" t="s">
        <v>3089</v>
      </c>
      <c r="F664" s="144">
        <v>29100</v>
      </c>
      <c r="G664" s="145" t="s">
        <v>159</v>
      </c>
      <c r="H664" s="65" t="s">
        <v>3090</v>
      </c>
      <c r="I664" s="35" t="s">
        <v>37</v>
      </c>
      <c r="J664" s="35" t="s">
        <v>794</v>
      </c>
      <c r="K664" s="35" t="s">
        <v>794</v>
      </c>
    </row>
    <row r="665" spans="1:11" ht="25.5" customHeight="1">
      <c r="A665" s="40">
        <v>661</v>
      </c>
      <c r="B665" s="62" t="s">
        <v>3081</v>
      </c>
      <c r="C665" s="63" t="s">
        <v>3082</v>
      </c>
      <c r="D665" s="63"/>
      <c r="E665" s="63" t="s">
        <v>3091</v>
      </c>
      <c r="F665" s="161">
        <v>29100</v>
      </c>
      <c r="G665" s="145" t="s">
        <v>159</v>
      </c>
      <c r="H665" s="65" t="s">
        <v>3092</v>
      </c>
      <c r="I665" s="35" t="s">
        <v>604</v>
      </c>
      <c r="J665" s="35" t="s">
        <v>603</v>
      </c>
    </row>
    <row r="666" spans="1:11" ht="25.5" customHeight="1">
      <c r="A666" s="40">
        <v>662</v>
      </c>
      <c r="B666" s="62" t="s">
        <v>3081</v>
      </c>
      <c r="C666" s="63" t="s">
        <v>3082</v>
      </c>
      <c r="D666" s="63"/>
      <c r="E666" s="63" t="s">
        <v>3093</v>
      </c>
      <c r="F666" s="144">
        <v>29100</v>
      </c>
      <c r="G666" s="145" t="s">
        <v>159</v>
      </c>
      <c r="H666" s="64">
        <v>996970.9</v>
      </c>
      <c r="I666" s="35" t="s">
        <v>605</v>
      </c>
      <c r="J666" s="35" t="s">
        <v>603</v>
      </c>
    </row>
    <row r="667" spans="1:11" s="164" customFormat="1" ht="25.5" customHeight="1">
      <c r="A667" s="162">
        <v>663</v>
      </c>
      <c r="B667" s="165" t="s">
        <v>3081</v>
      </c>
      <c r="C667" s="166" t="s">
        <v>3082</v>
      </c>
      <c r="D667" s="166"/>
      <c r="E667" s="170" t="s">
        <v>1366</v>
      </c>
      <c r="F667" s="167">
        <v>29100</v>
      </c>
      <c r="G667" s="168" t="s">
        <v>159</v>
      </c>
      <c r="H667" s="171">
        <v>967870.9</v>
      </c>
      <c r="I667" s="164" t="s">
        <v>606</v>
      </c>
      <c r="J667" s="164" t="s">
        <v>603</v>
      </c>
    </row>
    <row r="668" spans="1:11" ht="25.5" customHeight="1">
      <c r="A668" s="40">
        <v>664</v>
      </c>
      <c r="B668" s="62" t="s">
        <v>3081</v>
      </c>
      <c r="C668" s="63" t="s">
        <v>3082</v>
      </c>
      <c r="D668" s="63"/>
      <c r="E668" s="63" t="s">
        <v>3094</v>
      </c>
      <c r="F668" s="144">
        <v>29100</v>
      </c>
      <c r="G668" s="145" t="s">
        <v>159</v>
      </c>
      <c r="H668" s="64">
        <v>938770.9</v>
      </c>
      <c r="I668" s="35" t="s">
        <v>86</v>
      </c>
      <c r="J668" s="35" t="s">
        <v>603</v>
      </c>
    </row>
    <row r="669" spans="1:11" ht="25.5" customHeight="1">
      <c r="A669" s="40">
        <v>665</v>
      </c>
      <c r="B669" s="62" t="s">
        <v>3081</v>
      </c>
      <c r="C669" s="63" t="s">
        <v>3082</v>
      </c>
      <c r="D669" s="63"/>
      <c r="E669" s="63" t="s">
        <v>3095</v>
      </c>
      <c r="F669" s="144">
        <v>29100</v>
      </c>
      <c r="G669" s="145" t="s">
        <v>159</v>
      </c>
      <c r="H669" s="64">
        <v>909670.9</v>
      </c>
      <c r="I669" s="35" t="s">
        <v>411</v>
      </c>
      <c r="J669" s="35" t="s">
        <v>603</v>
      </c>
    </row>
    <row r="670" spans="1:11" ht="25.5" customHeight="1">
      <c r="A670" s="40">
        <v>666</v>
      </c>
      <c r="B670" s="62" t="s">
        <v>3081</v>
      </c>
      <c r="C670" s="63" t="s">
        <v>3082</v>
      </c>
      <c r="D670" s="63"/>
      <c r="E670" s="63" t="s">
        <v>3096</v>
      </c>
      <c r="F670" s="161">
        <v>29100</v>
      </c>
      <c r="G670" s="145" t="s">
        <v>159</v>
      </c>
      <c r="H670" s="179">
        <v>880570.9</v>
      </c>
      <c r="I670" s="34" t="s">
        <v>149</v>
      </c>
      <c r="J670" s="34" t="s">
        <v>603</v>
      </c>
      <c r="K670" s="34"/>
    </row>
    <row r="671" spans="1:11" ht="25.5" customHeight="1">
      <c r="A671" s="40">
        <v>667</v>
      </c>
      <c r="B671" s="62" t="s">
        <v>3081</v>
      </c>
      <c r="C671" s="63" t="s">
        <v>3082</v>
      </c>
      <c r="D671" s="63"/>
      <c r="E671" s="63" t="s">
        <v>3097</v>
      </c>
      <c r="F671" s="144">
        <v>29100</v>
      </c>
      <c r="G671" s="145" t="s">
        <v>159</v>
      </c>
      <c r="H671" s="64">
        <v>851470.9</v>
      </c>
      <c r="I671" s="35" t="s">
        <v>607</v>
      </c>
      <c r="J671" s="35" t="s">
        <v>603</v>
      </c>
    </row>
    <row r="672" spans="1:11" ht="25.5" customHeight="1">
      <c r="A672" s="40">
        <v>668</v>
      </c>
      <c r="B672" s="62" t="s">
        <v>3081</v>
      </c>
      <c r="C672" s="63" t="s">
        <v>3082</v>
      </c>
      <c r="D672" s="63"/>
      <c r="E672" s="63" t="s">
        <v>3098</v>
      </c>
      <c r="F672" s="144">
        <v>19400</v>
      </c>
      <c r="G672" s="145" t="s">
        <v>159</v>
      </c>
      <c r="H672" s="64">
        <v>832070.9</v>
      </c>
      <c r="I672" s="35" t="s">
        <v>715</v>
      </c>
      <c r="J672" s="35" t="s">
        <v>603</v>
      </c>
    </row>
    <row r="673" spans="1:22" ht="25.5" customHeight="1">
      <c r="A673" s="40">
        <v>669</v>
      </c>
      <c r="B673" s="62" t="s">
        <v>3081</v>
      </c>
      <c r="C673" s="63" t="s">
        <v>3082</v>
      </c>
      <c r="D673" s="63"/>
      <c r="E673" s="63" t="s">
        <v>3099</v>
      </c>
      <c r="F673" s="144">
        <v>600000</v>
      </c>
      <c r="G673" s="145" t="s">
        <v>159</v>
      </c>
      <c r="H673" s="64">
        <v>232070.9</v>
      </c>
      <c r="I673" s="35" t="s">
        <v>2</v>
      </c>
      <c r="J673" s="35" t="s">
        <v>603</v>
      </c>
      <c r="O673" s="56"/>
      <c r="P673" s="72"/>
      <c r="Q673" s="73"/>
      <c r="R673" s="74"/>
      <c r="S673" s="74"/>
      <c r="T673" s="75"/>
      <c r="U673" s="76"/>
      <c r="V673" s="77"/>
    </row>
    <row r="674" spans="1:22" ht="25.5" customHeight="1">
      <c r="A674" s="40">
        <v>670</v>
      </c>
      <c r="B674" s="62" t="s">
        <v>3081</v>
      </c>
      <c r="C674" s="63" t="s">
        <v>3082</v>
      </c>
      <c r="D674" s="63"/>
      <c r="E674" s="63" t="s">
        <v>3100</v>
      </c>
      <c r="F674" s="145" t="s">
        <v>159</v>
      </c>
      <c r="G674" s="144">
        <v>600000</v>
      </c>
      <c r="H674" s="64">
        <v>832070.9</v>
      </c>
      <c r="I674" s="35" t="s">
        <v>870</v>
      </c>
      <c r="J674" s="35" t="s">
        <v>787</v>
      </c>
    </row>
    <row r="675" spans="1:22" s="69" customFormat="1" ht="25.5" customHeight="1">
      <c r="A675" s="40">
        <v>671</v>
      </c>
      <c r="B675" s="66" t="s">
        <v>3081</v>
      </c>
      <c r="C675" s="67" t="s">
        <v>3082</v>
      </c>
      <c r="D675" s="67"/>
      <c r="E675" s="67" t="s">
        <v>3101</v>
      </c>
      <c r="F675" s="143">
        <v>600000</v>
      </c>
      <c r="G675" s="142" t="s">
        <v>159</v>
      </c>
      <c r="H675" s="68">
        <v>232070.9</v>
      </c>
      <c r="I675" s="69" t="s">
        <v>78</v>
      </c>
      <c r="J675" s="69" t="s">
        <v>893</v>
      </c>
      <c r="K675" s="69" t="s">
        <v>794</v>
      </c>
    </row>
    <row r="676" spans="1:22" s="69" customFormat="1" ht="25.5" customHeight="1">
      <c r="A676" s="40">
        <v>672</v>
      </c>
      <c r="B676" s="66" t="s">
        <v>3082</v>
      </c>
      <c r="C676" s="67" t="s">
        <v>3082</v>
      </c>
      <c r="D676" s="67"/>
      <c r="E676" s="67" t="s">
        <v>3102</v>
      </c>
      <c r="F676" s="142" t="s">
        <v>159</v>
      </c>
      <c r="G676" s="143">
        <v>100000</v>
      </c>
      <c r="H676" s="68">
        <v>332070.90000000002</v>
      </c>
      <c r="I676" s="69" t="s">
        <v>1050</v>
      </c>
      <c r="J676" s="69" t="s">
        <v>1049</v>
      </c>
    </row>
    <row r="677" spans="1:22" ht="25.5" customHeight="1">
      <c r="A677" s="40">
        <v>673</v>
      </c>
      <c r="B677" s="62" t="s">
        <v>3082</v>
      </c>
      <c r="C677" s="63" t="s">
        <v>3082</v>
      </c>
      <c r="D677" s="63"/>
      <c r="E677" s="63" t="s">
        <v>3103</v>
      </c>
      <c r="F677" s="161">
        <v>29100</v>
      </c>
      <c r="G677" s="145" t="s">
        <v>159</v>
      </c>
      <c r="H677" s="179">
        <v>302970.90000000002</v>
      </c>
      <c r="I677" s="34" t="s">
        <v>365</v>
      </c>
      <c r="J677" s="34" t="s">
        <v>603</v>
      </c>
      <c r="K677" s="34"/>
    </row>
    <row r="678" spans="1:22" s="69" customFormat="1" ht="25.5" customHeight="1">
      <c r="A678" s="40">
        <v>674</v>
      </c>
      <c r="B678" s="66" t="s">
        <v>3082</v>
      </c>
      <c r="C678" s="67" t="s">
        <v>3082</v>
      </c>
      <c r="D678" s="67"/>
      <c r="E678" s="67" t="s">
        <v>3104</v>
      </c>
      <c r="F678" s="142" t="s">
        <v>159</v>
      </c>
      <c r="G678" s="143">
        <v>300000</v>
      </c>
      <c r="H678" s="68">
        <v>602970.9</v>
      </c>
      <c r="I678" s="69" t="s">
        <v>147</v>
      </c>
      <c r="J678" s="69" t="s">
        <v>897</v>
      </c>
      <c r="K678" s="69" t="s">
        <v>823</v>
      </c>
    </row>
    <row r="679" spans="1:22" s="69" customFormat="1" ht="25.5" customHeight="1">
      <c r="A679" s="40">
        <v>675</v>
      </c>
      <c r="B679" s="66" t="s">
        <v>3105</v>
      </c>
      <c r="C679" s="67" t="s">
        <v>3105</v>
      </c>
      <c r="D679" s="67"/>
      <c r="E679" s="67" t="s">
        <v>3066</v>
      </c>
      <c r="F679" s="142" t="s">
        <v>159</v>
      </c>
      <c r="G679" s="143">
        <v>266000</v>
      </c>
      <c r="H679" s="68">
        <v>868970.9</v>
      </c>
      <c r="I679" s="69" t="s">
        <v>472</v>
      </c>
      <c r="J679" s="69" t="s">
        <v>889</v>
      </c>
      <c r="K679" s="69" t="s">
        <v>794</v>
      </c>
    </row>
    <row r="680" spans="1:22" s="69" customFormat="1" ht="25.5" customHeight="1">
      <c r="A680" s="40">
        <v>676</v>
      </c>
      <c r="B680" s="66" t="s">
        <v>3105</v>
      </c>
      <c r="C680" s="67" t="s">
        <v>3105</v>
      </c>
      <c r="D680" s="67"/>
      <c r="E680" s="67" t="s">
        <v>3106</v>
      </c>
      <c r="F680" s="142" t="s">
        <v>159</v>
      </c>
      <c r="G680" s="143">
        <v>10000</v>
      </c>
      <c r="H680" s="68">
        <v>878970.9</v>
      </c>
      <c r="I680" s="69" t="s">
        <v>1032</v>
      </c>
      <c r="J680" s="69" t="s">
        <v>1051</v>
      </c>
      <c r="K680" s="69" t="s">
        <v>823</v>
      </c>
    </row>
    <row r="681" spans="1:22" ht="25.5" customHeight="1">
      <c r="A681" s="40">
        <v>677</v>
      </c>
      <c r="B681" s="62" t="s">
        <v>3107</v>
      </c>
      <c r="C681" s="63" t="s">
        <v>3107</v>
      </c>
      <c r="D681" s="63"/>
      <c r="E681" s="70" t="s">
        <v>1367</v>
      </c>
      <c r="F681" s="145" t="s">
        <v>159</v>
      </c>
      <c r="G681" s="144">
        <v>500000</v>
      </c>
      <c r="H681" s="65" t="s">
        <v>3108</v>
      </c>
      <c r="I681" s="35" t="s">
        <v>353</v>
      </c>
      <c r="J681" s="35" t="s">
        <v>787</v>
      </c>
    </row>
    <row r="682" spans="1:22" s="69" customFormat="1" ht="25.5" customHeight="1">
      <c r="A682" s="40">
        <v>678</v>
      </c>
      <c r="B682" s="66" t="s">
        <v>3109</v>
      </c>
      <c r="C682" s="67" t="s">
        <v>3109</v>
      </c>
      <c r="D682" s="67"/>
      <c r="E682" s="67" t="s">
        <v>3110</v>
      </c>
      <c r="F682" s="143">
        <v>350000</v>
      </c>
      <c r="G682" s="142" t="s">
        <v>159</v>
      </c>
      <c r="H682" s="71" t="s">
        <v>3111</v>
      </c>
      <c r="I682" s="69" t="s">
        <v>134</v>
      </c>
      <c r="J682" s="69" t="s">
        <v>1288</v>
      </c>
      <c r="K682" s="69" t="s">
        <v>794</v>
      </c>
    </row>
    <row r="683" spans="1:22" ht="25.5" customHeight="1">
      <c r="A683" s="40">
        <v>679</v>
      </c>
      <c r="B683" s="62" t="s">
        <v>3112</v>
      </c>
      <c r="C683" s="63" t="s">
        <v>3112</v>
      </c>
      <c r="D683" s="63"/>
      <c r="E683" s="63" t="s">
        <v>3113</v>
      </c>
      <c r="F683" s="144">
        <v>300000</v>
      </c>
      <c r="G683" s="145" t="s">
        <v>159</v>
      </c>
      <c r="H683" s="64">
        <v>728970.9</v>
      </c>
      <c r="I683" s="35" t="s">
        <v>713</v>
      </c>
      <c r="J683" s="35" t="s">
        <v>601</v>
      </c>
      <c r="K683" s="35" t="s">
        <v>823</v>
      </c>
    </row>
    <row r="684" spans="1:22" ht="25.5" customHeight="1">
      <c r="A684" s="40">
        <v>680</v>
      </c>
      <c r="B684" s="62" t="s">
        <v>3112</v>
      </c>
      <c r="C684" s="63" t="s">
        <v>3112</v>
      </c>
      <c r="D684" s="63"/>
      <c r="E684" s="63" t="s">
        <v>3114</v>
      </c>
      <c r="F684" s="144">
        <v>100000</v>
      </c>
      <c r="G684" s="145" t="s">
        <v>159</v>
      </c>
      <c r="H684" s="64">
        <v>628970.9</v>
      </c>
      <c r="I684" s="35" t="s">
        <v>614</v>
      </c>
      <c r="J684" s="35" t="s">
        <v>597</v>
      </c>
    </row>
    <row r="685" spans="1:22" s="69" customFormat="1" ht="25.5" customHeight="1">
      <c r="A685" s="40">
        <v>681</v>
      </c>
      <c r="B685" s="66" t="s">
        <v>3115</v>
      </c>
      <c r="C685" s="67" t="s">
        <v>3115</v>
      </c>
      <c r="D685" s="67"/>
      <c r="E685" s="67" t="s">
        <v>3116</v>
      </c>
      <c r="F685" s="142" t="s">
        <v>159</v>
      </c>
      <c r="G685" s="143">
        <v>254000</v>
      </c>
      <c r="H685" s="68">
        <v>882970.9</v>
      </c>
      <c r="I685" s="69" t="s">
        <v>894</v>
      </c>
      <c r="J685" s="69" t="s">
        <v>1052</v>
      </c>
      <c r="K685" s="69" t="s">
        <v>823</v>
      </c>
    </row>
    <row r="686" spans="1:22" ht="25.5" customHeight="1">
      <c r="A686" s="40">
        <v>682</v>
      </c>
      <c r="B686" s="66" t="s">
        <v>3115</v>
      </c>
      <c r="C686" s="67" t="s">
        <v>3115</v>
      </c>
      <c r="D686" s="67"/>
      <c r="E686" s="67" t="s">
        <v>2985</v>
      </c>
      <c r="F686" s="145" t="s">
        <v>159</v>
      </c>
      <c r="G686" s="144">
        <v>60000</v>
      </c>
      <c r="H686" s="68">
        <v>942970.9</v>
      </c>
      <c r="I686" s="69" t="s">
        <v>871</v>
      </c>
      <c r="J686" s="69" t="s">
        <v>746</v>
      </c>
      <c r="K686" s="69" t="s">
        <v>794</v>
      </c>
    </row>
    <row r="687" spans="1:22" ht="25.5" customHeight="1">
      <c r="A687" s="40">
        <v>683</v>
      </c>
      <c r="B687" s="62" t="s">
        <v>3117</v>
      </c>
      <c r="C687" s="63" t="s">
        <v>3117</v>
      </c>
      <c r="D687" s="63"/>
      <c r="E687" s="63" t="s">
        <v>3118</v>
      </c>
      <c r="F687" s="144">
        <v>100000</v>
      </c>
      <c r="G687" s="145" t="s">
        <v>159</v>
      </c>
      <c r="H687" s="64">
        <v>842970.9</v>
      </c>
      <c r="I687" s="35" t="s">
        <v>1135</v>
      </c>
      <c r="J687" s="35" t="s">
        <v>1053</v>
      </c>
      <c r="K687" s="35" t="s">
        <v>823</v>
      </c>
    </row>
    <row r="688" spans="1:22" s="69" customFormat="1" ht="25.5" customHeight="1">
      <c r="A688" s="40">
        <v>684</v>
      </c>
      <c r="B688" s="66" t="s">
        <v>3119</v>
      </c>
      <c r="C688" s="67" t="s">
        <v>3119</v>
      </c>
      <c r="D688" s="67"/>
      <c r="E688" s="67" t="s">
        <v>3120</v>
      </c>
      <c r="F688" s="142" t="s">
        <v>159</v>
      </c>
      <c r="G688" s="143">
        <v>100000</v>
      </c>
      <c r="H688" s="68">
        <v>942970.9</v>
      </c>
      <c r="I688" s="69" t="s">
        <v>1026</v>
      </c>
      <c r="J688" s="69" t="s">
        <v>895</v>
      </c>
    </row>
    <row r="689" spans="1:11" s="69" customFormat="1" ht="25.5" customHeight="1">
      <c r="A689" s="40">
        <v>685</v>
      </c>
      <c r="B689" s="103" t="s">
        <v>3119</v>
      </c>
      <c r="C689" s="104" t="s">
        <v>3119</v>
      </c>
      <c r="D689" s="104"/>
      <c r="E689" s="104" t="s">
        <v>3121</v>
      </c>
      <c r="F689" s="146" t="s">
        <v>159</v>
      </c>
      <c r="G689" s="147">
        <v>100000</v>
      </c>
      <c r="H689" s="105" t="s">
        <v>3122</v>
      </c>
      <c r="I689" s="69" t="s">
        <v>1027</v>
      </c>
      <c r="J689" s="69" t="s">
        <v>3132</v>
      </c>
      <c r="K689" s="69" t="s">
        <v>794</v>
      </c>
    </row>
    <row r="690" spans="1:11" ht="25.5" customHeight="1">
      <c r="A690" s="40">
        <v>686</v>
      </c>
      <c r="B690" s="78" t="s">
        <v>3123</v>
      </c>
      <c r="C690" s="79" t="s">
        <v>3123</v>
      </c>
      <c r="D690" s="79"/>
      <c r="E690" s="79" t="s">
        <v>3124</v>
      </c>
      <c r="F690" s="148" t="s">
        <v>159</v>
      </c>
      <c r="G690" s="149" t="s">
        <v>3125</v>
      </c>
      <c r="H690" s="82" t="s">
        <v>3126</v>
      </c>
      <c r="I690" s="35" t="s">
        <v>862</v>
      </c>
      <c r="J690" s="35" t="s">
        <v>1028</v>
      </c>
    </row>
    <row r="691" spans="1:11" s="69" customFormat="1" ht="25.5" customHeight="1">
      <c r="A691" s="40">
        <v>687</v>
      </c>
      <c r="B691" s="103" t="s">
        <v>3127</v>
      </c>
      <c r="C691" s="104" t="s">
        <v>3127</v>
      </c>
      <c r="D691" s="104"/>
      <c r="E691" s="104" t="s">
        <v>3128</v>
      </c>
      <c r="F691" s="146" t="s">
        <v>159</v>
      </c>
      <c r="G691" s="147">
        <v>300000</v>
      </c>
      <c r="H691" s="105" t="s">
        <v>3129</v>
      </c>
      <c r="I691" s="69" t="s">
        <v>313</v>
      </c>
      <c r="J691" s="69" t="s">
        <v>1029</v>
      </c>
      <c r="K691" s="69" t="s">
        <v>823</v>
      </c>
    </row>
    <row r="692" spans="1:11" ht="25.5" customHeight="1">
      <c r="A692" s="40">
        <v>688</v>
      </c>
      <c r="B692" s="83" t="s">
        <v>901</v>
      </c>
      <c r="C692" s="84" t="s">
        <v>902</v>
      </c>
      <c r="D692" s="85" t="s">
        <v>900</v>
      </c>
      <c r="E692" s="85" t="s">
        <v>903</v>
      </c>
      <c r="F692" s="123">
        <v>29100</v>
      </c>
      <c r="G692" s="123"/>
      <c r="H692" s="181">
        <v>3313870.9</v>
      </c>
      <c r="I692" s="34" t="s">
        <v>149</v>
      </c>
      <c r="J692" s="34" t="s">
        <v>603</v>
      </c>
      <c r="K692" s="34"/>
    </row>
    <row r="693" spans="1:11" ht="25.5" customHeight="1">
      <c r="A693" s="40">
        <v>689</v>
      </c>
      <c r="B693" s="83" t="s">
        <v>904</v>
      </c>
      <c r="C693" s="84" t="s">
        <v>905</v>
      </c>
      <c r="D693" s="85" t="s">
        <v>900</v>
      </c>
      <c r="E693" s="85" t="s">
        <v>906</v>
      </c>
      <c r="F693" s="123">
        <v>19400</v>
      </c>
      <c r="G693" s="123"/>
      <c r="H693" s="87">
        <v>3294470.9</v>
      </c>
      <c r="I693" s="35" t="s">
        <v>744</v>
      </c>
      <c r="J693" s="35" t="s">
        <v>603</v>
      </c>
    </row>
    <row r="694" spans="1:11" ht="25.5" customHeight="1">
      <c r="A694" s="40">
        <v>690</v>
      </c>
      <c r="B694" s="83" t="s">
        <v>907</v>
      </c>
      <c r="C694" s="84" t="s">
        <v>908</v>
      </c>
      <c r="D694" s="85" t="s">
        <v>900</v>
      </c>
      <c r="E694" s="85" t="s">
        <v>909</v>
      </c>
      <c r="F694" s="123">
        <v>43000</v>
      </c>
      <c r="G694" s="123"/>
      <c r="H694" s="87">
        <v>3251470.9</v>
      </c>
      <c r="I694" s="35" t="s">
        <v>1030</v>
      </c>
      <c r="J694" s="35" t="s">
        <v>1031</v>
      </c>
    </row>
    <row r="695" spans="1:11" ht="25.5" customHeight="1">
      <c r="A695" s="40">
        <v>691</v>
      </c>
      <c r="B695" s="83" t="s">
        <v>907</v>
      </c>
      <c r="C695" s="84" t="s">
        <v>910</v>
      </c>
      <c r="D695" s="85" t="s">
        <v>900</v>
      </c>
      <c r="E695" s="85" t="s">
        <v>911</v>
      </c>
      <c r="F695" s="123">
        <v>19400</v>
      </c>
      <c r="G695" s="123"/>
      <c r="H695" s="87">
        <v>3232070.9</v>
      </c>
      <c r="I695" s="35" t="s">
        <v>715</v>
      </c>
      <c r="J695" s="35" t="s">
        <v>603</v>
      </c>
    </row>
    <row r="696" spans="1:11" s="69" customFormat="1" ht="25.5" customHeight="1">
      <c r="A696" s="40">
        <v>692</v>
      </c>
      <c r="B696" s="88" t="s">
        <v>912</v>
      </c>
      <c r="C696" s="89" t="s">
        <v>913</v>
      </c>
      <c r="D696" s="90" t="s">
        <v>900</v>
      </c>
      <c r="E696" s="90" t="s">
        <v>914</v>
      </c>
      <c r="F696" s="124"/>
      <c r="G696" s="124">
        <v>400000</v>
      </c>
      <c r="H696" s="91">
        <v>3632070.9</v>
      </c>
      <c r="I696" s="69" t="s">
        <v>375</v>
      </c>
      <c r="J696" s="69" t="s">
        <v>122</v>
      </c>
    </row>
    <row r="697" spans="1:11" s="69" customFormat="1" ht="25.5" customHeight="1">
      <c r="A697" s="40">
        <v>693</v>
      </c>
      <c r="B697" s="88" t="s">
        <v>912</v>
      </c>
      <c r="C697" s="89" t="s">
        <v>915</v>
      </c>
      <c r="D697" s="90" t="s">
        <v>900</v>
      </c>
      <c r="E697" s="90" t="s">
        <v>916</v>
      </c>
      <c r="F697" s="124">
        <v>51000</v>
      </c>
      <c r="G697" s="124"/>
      <c r="H697" s="91">
        <v>3581070.9</v>
      </c>
      <c r="I697" s="69" t="s">
        <v>879</v>
      </c>
      <c r="J697" s="69" t="s">
        <v>1054</v>
      </c>
      <c r="K697" s="69" t="s">
        <v>794</v>
      </c>
    </row>
    <row r="698" spans="1:11" ht="25.5" customHeight="1">
      <c r="A698" s="40">
        <v>694</v>
      </c>
      <c r="B698" s="83" t="s">
        <v>917</v>
      </c>
      <c r="C698" s="84" t="s">
        <v>918</v>
      </c>
      <c r="D698" s="85" t="s">
        <v>900</v>
      </c>
      <c r="E698" s="85" t="s">
        <v>919</v>
      </c>
      <c r="F698" s="123">
        <v>1000000</v>
      </c>
      <c r="G698" s="123"/>
      <c r="H698" s="87">
        <v>2581070.9</v>
      </c>
      <c r="I698" s="35" t="s">
        <v>870</v>
      </c>
      <c r="J698" s="35" t="s">
        <v>794</v>
      </c>
    </row>
    <row r="699" spans="1:11" ht="25.5" customHeight="1">
      <c r="A699" s="40">
        <v>695</v>
      </c>
      <c r="B699" s="83" t="s">
        <v>917</v>
      </c>
      <c r="C699" s="84" t="s">
        <v>920</v>
      </c>
      <c r="D699" s="85" t="s">
        <v>900</v>
      </c>
      <c r="E699" s="85" t="s">
        <v>921</v>
      </c>
      <c r="F699" s="123">
        <v>1000000</v>
      </c>
      <c r="G699" s="123"/>
      <c r="H699" s="87">
        <v>1581070.9</v>
      </c>
      <c r="I699" s="35" t="s">
        <v>870</v>
      </c>
      <c r="J699" s="35" t="s">
        <v>794</v>
      </c>
      <c r="K699" s="35" t="s">
        <v>794</v>
      </c>
    </row>
    <row r="700" spans="1:11" ht="25.5" customHeight="1">
      <c r="A700" s="40">
        <v>696</v>
      </c>
      <c r="B700" s="83" t="s">
        <v>917</v>
      </c>
      <c r="C700" s="84" t="s">
        <v>922</v>
      </c>
      <c r="D700" s="85" t="s">
        <v>900</v>
      </c>
      <c r="E700" s="85" t="s">
        <v>923</v>
      </c>
      <c r="F700" s="123">
        <v>1000000</v>
      </c>
      <c r="G700" s="123"/>
      <c r="H700" s="87">
        <v>581070.9</v>
      </c>
      <c r="I700" s="35" t="s">
        <v>870</v>
      </c>
      <c r="J700" s="35" t="s">
        <v>794</v>
      </c>
      <c r="K700" s="35" t="s">
        <v>794</v>
      </c>
    </row>
    <row r="701" spans="1:11" ht="25.5" customHeight="1">
      <c r="A701" s="40">
        <v>697</v>
      </c>
      <c r="B701" s="83" t="s">
        <v>917</v>
      </c>
      <c r="C701" s="84" t="s">
        <v>924</v>
      </c>
      <c r="D701" s="85" t="s">
        <v>900</v>
      </c>
      <c r="E701" s="85" t="s">
        <v>925</v>
      </c>
      <c r="F701" s="123">
        <v>500000</v>
      </c>
      <c r="G701" s="123"/>
      <c r="H701" s="87">
        <v>81070.899999999994</v>
      </c>
      <c r="I701" s="35" t="s">
        <v>870</v>
      </c>
      <c r="J701" s="35" t="s">
        <v>794</v>
      </c>
      <c r="K701" s="35" t="s">
        <v>794</v>
      </c>
    </row>
    <row r="702" spans="1:11" ht="25.5" customHeight="1">
      <c r="A702" s="40">
        <v>698</v>
      </c>
      <c r="B702" s="83" t="s">
        <v>926</v>
      </c>
      <c r="C702" s="84" t="s">
        <v>927</v>
      </c>
      <c r="D702" s="85" t="s">
        <v>900</v>
      </c>
      <c r="E702" s="85" t="s">
        <v>928</v>
      </c>
      <c r="F702" s="123"/>
      <c r="G702" s="123">
        <v>460000</v>
      </c>
      <c r="H702" s="87">
        <v>541070.9</v>
      </c>
      <c r="I702" s="35" t="s">
        <v>352</v>
      </c>
      <c r="J702" s="35" t="s">
        <v>822</v>
      </c>
    </row>
    <row r="703" spans="1:11" s="69" customFormat="1" ht="25.5" customHeight="1">
      <c r="A703" s="40">
        <v>699</v>
      </c>
      <c r="B703" s="88" t="s">
        <v>926</v>
      </c>
      <c r="C703" s="89" t="s">
        <v>929</v>
      </c>
      <c r="D703" s="90" t="s">
        <v>900</v>
      </c>
      <c r="E703" s="90" t="s">
        <v>930</v>
      </c>
      <c r="F703" s="124">
        <v>10000</v>
      </c>
      <c r="G703" s="124"/>
      <c r="H703" s="91">
        <v>531070.9</v>
      </c>
      <c r="I703" s="69" t="s">
        <v>1032</v>
      </c>
      <c r="J703" s="69" t="s">
        <v>1033</v>
      </c>
      <c r="K703" s="69" t="s">
        <v>794</v>
      </c>
    </row>
    <row r="704" spans="1:11" s="69" customFormat="1" ht="25.5" customHeight="1">
      <c r="A704" s="40">
        <v>700</v>
      </c>
      <c r="B704" s="88" t="s">
        <v>931</v>
      </c>
      <c r="C704" s="89" t="s">
        <v>932</v>
      </c>
      <c r="D704" s="90" t="s">
        <v>900</v>
      </c>
      <c r="E704" s="90" t="s">
        <v>933</v>
      </c>
      <c r="F704" s="124"/>
      <c r="G704" s="124">
        <v>600000</v>
      </c>
      <c r="H704" s="91">
        <v>1131070.8999999999</v>
      </c>
      <c r="I704" s="69" t="s">
        <v>796</v>
      </c>
      <c r="J704" s="69" t="s">
        <v>876</v>
      </c>
      <c r="K704" s="69" t="s">
        <v>794</v>
      </c>
    </row>
    <row r="705" spans="1:11" ht="25.5" customHeight="1">
      <c r="A705" s="40">
        <v>701</v>
      </c>
      <c r="B705" s="83" t="s">
        <v>931</v>
      </c>
      <c r="C705" s="84" t="s">
        <v>934</v>
      </c>
      <c r="D705" s="85" t="s">
        <v>900</v>
      </c>
      <c r="E705" s="85" t="s">
        <v>935</v>
      </c>
      <c r="F705" s="123">
        <v>10000</v>
      </c>
      <c r="G705" s="123"/>
      <c r="H705" s="87">
        <v>1121070.8999999999</v>
      </c>
      <c r="I705" s="35" t="s">
        <v>744</v>
      </c>
      <c r="J705" s="35" t="s">
        <v>1034</v>
      </c>
    </row>
    <row r="706" spans="1:11" ht="25.5" customHeight="1">
      <c r="A706" s="40">
        <v>702</v>
      </c>
      <c r="B706" s="83" t="s">
        <v>936</v>
      </c>
      <c r="C706" s="84" t="s">
        <v>937</v>
      </c>
      <c r="D706" s="85" t="s">
        <v>900</v>
      </c>
      <c r="E706" s="85" t="s">
        <v>938</v>
      </c>
      <c r="F706" s="123"/>
      <c r="G706" s="123">
        <v>216000</v>
      </c>
      <c r="H706" s="87">
        <v>1337070.8999999999</v>
      </c>
      <c r="I706" s="35" t="s">
        <v>351</v>
      </c>
      <c r="J706" s="35" t="s">
        <v>822</v>
      </c>
    </row>
    <row r="707" spans="1:11" s="69" customFormat="1" ht="25.5" customHeight="1">
      <c r="A707" s="40">
        <v>703</v>
      </c>
      <c r="B707" s="88" t="s">
        <v>936</v>
      </c>
      <c r="C707" s="89" t="s">
        <v>939</v>
      </c>
      <c r="D707" s="90" t="s">
        <v>900</v>
      </c>
      <c r="E707" s="90" t="s">
        <v>940</v>
      </c>
      <c r="F707" s="124"/>
      <c r="G707" s="124">
        <v>100000</v>
      </c>
      <c r="H707" s="91">
        <v>1437070.9</v>
      </c>
      <c r="I707" s="69" t="s">
        <v>1035</v>
      </c>
      <c r="J707" s="69" t="s">
        <v>726</v>
      </c>
      <c r="K707" s="69" t="s">
        <v>794</v>
      </c>
    </row>
    <row r="708" spans="1:11" ht="25.5" customHeight="1">
      <c r="A708" s="40">
        <v>704</v>
      </c>
      <c r="B708" s="83" t="s">
        <v>936</v>
      </c>
      <c r="C708" s="84" t="s">
        <v>941</v>
      </c>
      <c r="D708" s="85" t="s">
        <v>900</v>
      </c>
      <c r="E708" s="85" t="s">
        <v>942</v>
      </c>
      <c r="F708" s="123"/>
      <c r="G708" s="123">
        <v>57000</v>
      </c>
      <c r="H708" s="87">
        <v>1494070.9</v>
      </c>
      <c r="I708" s="35" t="s">
        <v>349</v>
      </c>
      <c r="J708" s="35" t="s">
        <v>822</v>
      </c>
    </row>
    <row r="709" spans="1:11" ht="25.5" customHeight="1">
      <c r="A709" s="40">
        <v>705</v>
      </c>
      <c r="B709" s="83" t="s">
        <v>936</v>
      </c>
      <c r="C709" s="84" t="s">
        <v>943</v>
      </c>
      <c r="D709" s="85" t="s">
        <v>900</v>
      </c>
      <c r="E709" s="85" t="s">
        <v>944</v>
      </c>
      <c r="F709" s="123"/>
      <c r="G709" s="125">
        <v>200000</v>
      </c>
      <c r="H709" s="87">
        <v>1694070.9</v>
      </c>
      <c r="I709" s="35" t="s">
        <v>411</v>
      </c>
      <c r="J709" s="35" t="s">
        <v>780</v>
      </c>
    </row>
    <row r="710" spans="1:11" ht="25.5" customHeight="1">
      <c r="A710" s="40">
        <v>706</v>
      </c>
      <c r="B710" s="83" t="s">
        <v>936</v>
      </c>
      <c r="C710" s="84" t="s">
        <v>945</v>
      </c>
      <c r="D710" s="85" t="s">
        <v>900</v>
      </c>
      <c r="E710" s="85" t="s">
        <v>946</v>
      </c>
      <c r="F710" s="123"/>
      <c r="G710" s="123">
        <v>450000</v>
      </c>
      <c r="H710" s="87">
        <v>2144070.9</v>
      </c>
      <c r="I710" s="35" t="s">
        <v>870</v>
      </c>
      <c r="J710" s="35" t="s">
        <v>822</v>
      </c>
    </row>
    <row r="711" spans="1:11" ht="25.5" customHeight="1">
      <c r="A711" s="40">
        <v>707</v>
      </c>
      <c r="B711" s="83" t="s">
        <v>936</v>
      </c>
      <c r="C711" s="84" t="s">
        <v>947</v>
      </c>
      <c r="D711" s="85" t="s">
        <v>900</v>
      </c>
      <c r="E711" s="85" t="s">
        <v>948</v>
      </c>
      <c r="F711" s="123"/>
      <c r="G711" s="125">
        <v>200000</v>
      </c>
      <c r="H711" s="87">
        <v>2344070.9</v>
      </c>
      <c r="I711" s="35" t="s">
        <v>86</v>
      </c>
      <c r="J711" s="35" t="s">
        <v>780</v>
      </c>
    </row>
    <row r="712" spans="1:11" ht="25.5" customHeight="1">
      <c r="A712" s="40">
        <v>708</v>
      </c>
      <c r="B712" s="83" t="s">
        <v>936</v>
      </c>
      <c r="C712" s="84" t="s">
        <v>949</v>
      </c>
      <c r="D712" s="85" t="s">
        <v>900</v>
      </c>
      <c r="E712" s="85" t="s">
        <v>950</v>
      </c>
      <c r="F712" s="123"/>
      <c r="G712" s="123">
        <v>95000</v>
      </c>
      <c r="H712" s="87">
        <v>2439070.9</v>
      </c>
      <c r="I712" s="35" t="s">
        <v>365</v>
      </c>
      <c r="J712" s="35" t="s">
        <v>794</v>
      </c>
      <c r="K712" s="35" t="s">
        <v>794</v>
      </c>
    </row>
    <row r="713" spans="1:11" ht="25.5" customHeight="1">
      <c r="A713" s="40">
        <v>709</v>
      </c>
      <c r="B713" s="83" t="s">
        <v>936</v>
      </c>
      <c r="C713" s="84" t="s">
        <v>951</v>
      </c>
      <c r="D713" s="85" t="s">
        <v>900</v>
      </c>
      <c r="E713" s="85" t="s">
        <v>952</v>
      </c>
      <c r="F713" s="123"/>
      <c r="G713" s="123">
        <v>1000000</v>
      </c>
      <c r="H713" s="87">
        <v>3439070.9</v>
      </c>
      <c r="I713" s="35" t="s">
        <v>1036</v>
      </c>
      <c r="J713" s="35" t="s">
        <v>1037</v>
      </c>
    </row>
    <row r="714" spans="1:11" ht="25.5" customHeight="1">
      <c r="A714" s="40">
        <v>710</v>
      </c>
      <c r="B714" s="83" t="s">
        <v>936</v>
      </c>
      <c r="C714" s="84" t="s">
        <v>953</v>
      </c>
      <c r="D714" s="85" t="s">
        <v>900</v>
      </c>
      <c r="E714" s="85" t="s">
        <v>954</v>
      </c>
      <c r="F714" s="123"/>
      <c r="G714" s="123">
        <v>245000</v>
      </c>
      <c r="H714" s="87">
        <v>3684070.9</v>
      </c>
      <c r="I714" s="35" t="s">
        <v>1027</v>
      </c>
      <c r="J714" s="35" t="s">
        <v>794</v>
      </c>
      <c r="K714" s="35" t="s">
        <v>794</v>
      </c>
    </row>
    <row r="715" spans="1:11" ht="25.5" customHeight="1">
      <c r="A715" s="40">
        <v>711</v>
      </c>
      <c r="B715" s="83" t="s">
        <v>936</v>
      </c>
      <c r="C715" s="84" t="s">
        <v>955</v>
      </c>
      <c r="D715" s="85" t="s">
        <v>900</v>
      </c>
      <c r="E715" s="85" t="s">
        <v>956</v>
      </c>
      <c r="F715" s="123"/>
      <c r="G715" s="123">
        <v>300000</v>
      </c>
      <c r="H715" s="87">
        <v>3984070.9</v>
      </c>
      <c r="I715" s="35" t="s">
        <v>332</v>
      </c>
      <c r="J715" s="35" t="s">
        <v>794</v>
      </c>
    </row>
    <row r="716" spans="1:11" ht="25.5" customHeight="1">
      <c r="A716" s="40">
        <v>712</v>
      </c>
      <c r="B716" s="83" t="s">
        <v>936</v>
      </c>
      <c r="C716" s="84" t="s">
        <v>957</v>
      </c>
      <c r="D716" s="85" t="s">
        <v>900</v>
      </c>
      <c r="E716" s="85" t="s">
        <v>958</v>
      </c>
      <c r="F716" s="123"/>
      <c r="G716" s="123">
        <v>60000</v>
      </c>
      <c r="H716" s="87">
        <v>4044070.9</v>
      </c>
      <c r="I716" s="35" t="s">
        <v>58</v>
      </c>
      <c r="J716" s="35" t="s">
        <v>3148</v>
      </c>
    </row>
    <row r="717" spans="1:11" ht="25.5" customHeight="1">
      <c r="A717" s="40">
        <v>713</v>
      </c>
      <c r="B717" s="83" t="s">
        <v>936</v>
      </c>
      <c r="C717" s="84" t="s">
        <v>959</v>
      </c>
      <c r="D717" s="85" t="s">
        <v>900</v>
      </c>
      <c r="E717" s="85" t="s">
        <v>960</v>
      </c>
      <c r="F717" s="123"/>
      <c r="G717" s="123">
        <v>240000</v>
      </c>
      <c r="H717" s="87">
        <v>4284070.9000000004</v>
      </c>
      <c r="I717" s="35" t="s">
        <v>1038</v>
      </c>
      <c r="J717" s="35" t="s">
        <v>3148</v>
      </c>
      <c r="K717" s="35" t="s">
        <v>794</v>
      </c>
    </row>
    <row r="718" spans="1:11" ht="25.5" customHeight="1">
      <c r="A718" s="40">
        <v>714</v>
      </c>
      <c r="B718" s="83" t="s">
        <v>936</v>
      </c>
      <c r="C718" s="84" t="s">
        <v>961</v>
      </c>
      <c r="D718" s="85" t="s">
        <v>900</v>
      </c>
      <c r="E718" s="85" t="s">
        <v>962</v>
      </c>
      <c r="F718" s="123"/>
      <c r="G718" s="123">
        <v>700000</v>
      </c>
      <c r="H718" s="87">
        <v>4984070.9000000004</v>
      </c>
      <c r="I718" s="35" t="s">
        <v>1039</v>
      </c>
      <c r="J718" s="35" t="s">
        <v>3148</v>
      </c>
      <c r="K718" s="35" t="s">
        <v>846</v>
      </c>
    </row>
    <row r="719" spans="1:11" ht="25.5" customHeight="1">
      <c r="A719" s="40">
        <v>715</v>
      </c>
      <c r="B719" s="83" t="s">
        <v>963</v>
      </c>
      <c r="C719" s="84" t="s">
        <v>964</v>
      </c>
      <c r="D719" s="85" t="s">
        <v>900</v>
      </c>
      <c r="E719" s="85" t="s">
        <v>965</v>
      </c>
      <c r="F719" s="123">
        <v>462000</v>
      </c>
      <c r="G719" s="123"/>
      <c r="H719" s="87">
        <v>4522070.9000000004</v>
      </c>
      <c r="I719" s="35" t="s">
        <v>1040</v>
      </c>
      <c r="J719" s="35" t="s">
        <v>350</v>
      </c>
      <c r="K719" s="35" t="s">
        <v>794</v>
      </c>
    </row>
    <row r="720" spans="1:11" s="69" customFormat="1" ht="25.5" customHeight="1">
      <c r="A720" s="40">
        <v>716</v>
      </c>
      <c r="B720" s="88" t="s">
        <v>966</v>
      </c>
      <c r="C720" s="89" t="s">
        <v>967</v>
      </c>
      <c r="D720" s="90" t="s">
        <v>900</v>
      </c>
      <c r="E720" s="90" t="s">
        <v>968</v>
      </c>
      <c r="F720" s="124"/>
      <c r="G720" s="124">
        <v>125000</v>
      </c>
      <c r="H720" s="91">
        <v>4647070.9000000004</v>
      </c>
      <c r="I720" s="69" t="s">
        <v>137</v>
      </c>
      <c r="J720" s="69" t="s">
        <v>138</v>
      </c>
      <c r="K720" s="69" t="s">
        <v>794</v>
      </c>
    </row>
    <row r="721" spans="1:23" s="69" customFormat="1" ht="25.5" customHeight="1">
      <c r="A721" s="40">
        <v>717</v>
      </c>
      <c r="B721" s="88" t="s">
        <v>969</v>
      </c>
      <c r="C721" s="89" t="s">
        <v>970</v>
      </c>
      <c r="D721" s="90" t="s">
        <v>900</v>
      </c>
      <c r="E721" s="90" t="s">
        <v>971</v>
      </c>
      <c r="F721" s="124"/>
      <c r="G721" s="124">
        <v>119000</v>
      </c>
      <c r="H721" s="91">
        <v>4766070.9000000004</v>
      </c>
      <c r="I721" s="69" t="s">
        <v>1041</v>
      </c>
      <c r="J721" s="69" t="s">
        <v>1042</v>
      </c>
    </row>
    <row r="722" spans="1:23" ht="25.5" customHeight="1">
      <c r="A722" s="40">
        <v>718</v>
      </c>
      <c r="B722" s="88" t="s">
        <v>972</v>
      </c>
      <c r="C722" s="89" t="s">
        <v>973</v>
      </c>
      <c r="D722" s="90" t="s">
        <v>900</v>
      </c>
      <c r="E722" s="90" t="s">
        <v>974</v>
      </c>
      <c r="F722" s="124">
        <v>90000</v>
      </c>
      <c r="G722" s="124"/>
      <c r="H722" s="91">
        <v>4676070.9000000004</v>
      </c>
      <c r="I722" s="69" t="s">
        <v>366</v>
      </c>
      <c r="J722" s="69" t="s">
        <v>1043</v>
      </c>
      <c r="K722" s="69" t="s">
        <v>794</v>
      </c>
    </row>
    <row r="723" spans="1:23" ht="25.5" customHeight="1">
      <c r="A723" s="40">
        <v>719</v>
      </c>
      <c r="B723" s="88" t="s">
        <v>972</v>
      </c>
      <c r="C723" s="89" t="s">
        <v>975</v>
      </c>
      <c r="D723" s="90" t="s">
        <v>900</v>
      </c>
      <c r="E723" s="90" t="s">
        <v>976</v>
      </c>
      <c r="F723" s="124">
        <v>100000</v>
      </c>
      <c r="G723" s="124"/>
      <c r="H723" s="91">
        <v>4576070.9000000004</v>
      </c>
      <c r="I723" s="69" t="s">
        <v>110</v>
      </c>
      <c r="J723" s="69" t="s">
        <v>1043</v>
      </c>
      <c r="K723" s="69" t="s">
        <v>794</v>
      </c>
    </row>
    <row r="724" spans="1:23" ht="25.5" customHeight="1">
      <c r="A724" s="40">
        <v>720</v>
      </c>
      <c r="B724" s="88" t="s">
        <v>972</v>
      </c>
      <c r="C724" s="89" t="s">
        <v>977</v>
      </c>
      <c r="D724" s="90" t="s">
        <v>900</v>
      </c>
      <c r="E724" s="90" t="s">
        <v>978</v>
      </c>
      <c r="F724" s="124">
        <v>610000</v>
      </c>
      <c r="G724" s="124"/>
      <c r="H724" s="91">
        <v>3966070.9</v>
      </c>
      <c r="I724" s="69" t="s">
        <v>1044</v>
      </c>
      <c r="J724" s="69" t="s">
        <v>1043</v>
      </c>
      <c r="K724" s="69" t="s">
        <v>794</v>
      </c>
    </row>
    <row r="725" spans="1:23" ht="25.5" customHeight="1">
      <c r="A725" s="40">
        <v>721</v>
      </c>
      <c r="B725" s="83" t="s">
        <v>979</v>
      </c>
      <c r="C725" s="84" t="s">
        <v>980</v>
      </c>
      <c r="D725" s="85" t="s">
        <v>900</v>
      </c>
      <c r="E725" s="85" t="s">
        <v>981</v>
      </c>
      <c r="F725" s="123"/>
      <c r="G725" s="123">
        <v>1600000</v>
      </c>
      <c r="H725" s="87">
        <v>5566070.9000000004</v>
      </c>
      <c r="I725" s="35" t="s">
        <v>352</v>
      </c>
      <c r="J725" s="35" t="s">
        <v>1037</v>
      </c>
    </row>
    <row r="726" spans="1:23" ht="25.5" customHeight="1">
      <c r="A726" s="40">
        <v>722</v>
      </c>
      <c r="B726" s="83" t="s">
        <v>982</v>
      </c>
      <c r="C726" s="84" t="s">
        <v>983</v>
      </c>
      <c r="D726" s="85" t="s">
        <v>900</v>
      </c>
      <c r="E726" s="85" t="s">
        <v>984</v>
      </c>
      <c r="F726" s="123">
        <v>58200</v>
      </c>
      <c r="G726" s="123"/>
      <c r="H726" s="87">
        <v>5507870.9000000004</v>
      </c>
      <c r="I726" s="35" t="s">
        <v>605</v>
      </c>
      <c r="J726" s="35" t="s">
        <v>603</v>
      </c>
    </row>
    <row r="727" spans="1:23" ht="25.5" customHeight="1">
      <c r="A727" s="40">
        <v>723</v>
      </c>
      <c r="B727" s="83" t="s">
        <v>982</v>
      </c>
      <c r="C727" s="84" t="s">
        <v>985</v>
      </c>
      <c r="D727" s="85" t="s">
        <v>900</v>
      </c>
      <c r="E727" s="85" t="s">
        <v>986</v>
      </c>
      <c r="F727" s="123">
        <v>19400</v>
      </c>
      <c r="G727" s="123"/>
      <c r="H727" s="87">
        <v>5488470.9000000004</v>
      </c>
      <c r="I727" s="35" t="s">
        <v>744</v>
      </c>
      <c r="J727" s="35" t="s">
        <v>603</v>
      </c>
    </row>
    <row r="728" spans="1:23" ht="25.5" customHeight="1">
      <c r="A728" s="40">
        <v>724</v>
      </c>
      <c r="B728" s="83" t="s">
        <v>987</v>
      </c>
      <c r="C728" s="84" t="s">
        <v>988</v>
      </c>
      <c r="D728" s="85" t="s">
        <v>900</v>
      </c>
      <c r="E728" s="85" t="s">
        <v>989</v>
      </c>
      <c r="F728" s="123">
        <v>500000</v>
      </c>
      <c r="G728" s="123"/>
      <c r="H728" s="87">
        <v>4988470.9000000004</v>
      </c>
      <c r="I728" s="35" t="s">
        <v>870</v>
      </c>
      <c r="J728" s="35" t="s">
        <v>794</v>
      </c>
    </row>
    <row r="729" spans="1:23" s="69" customFormat="1" ht="25.5" customHeight="1">
      <c r="A729" s="40">
        <v>725</v>
      </c>
      <c r="B729" s="88" t="s">
        <v>990</v>
      </c>
      <c r="C729" s="89" t="s">
        <v>991</v>
      </c>
      <c r="D729" s="90" t="s">
        <v>900</v>
      </c>
      <c r="E729" s="90" t="s">
        <v>992</v>
      </c>
      <c r="F729" s="124">
        <v>300000</v>
      </c>
      <c r="G729" s="124"/>
      <c r="H729" s="91">
        <v>4688470.9000000004</v>
      </c>
      <c r="I729" s="69" t="s">
        <v>125</v>
      </c>
      <c r="J729" s="69" t="s">
        <v>1055</v>
      </c>
      <c r="K729" s="69" t="s">
        <v>794</v>
      </c>
    </row>
    <row r="730" spans="1:23" ht="25.5" customHeight="1">
      <c r="A730" s="40">
        <v>726</v>
      </c>
      <c r="B730" s="83" t="s">
        <v>993</v>
      </c>
      <c r="C730" s="84" t="s">
        <v>994</v>
      </c>
      <c r="D730" s="85" t="s">
        <v>900</v>
      </c>
      <c r="E730" s="85" t="s">
        <v>995</v>
      </c>
      <c r="F730" s="123">
        <v>500000</v>
      </c>
      <c r="G730" s="123"/>
      <c r="H730" s="87">
        <v>4188470.9</v>
      </c>
      <c r="I730" s="35" t="s">
        <v>870</v>
      </c>
      <c r="J730" s="35" t="s">
        <v>794</v>
      </c>
      <c r="K730" s="35" t="s">
        <v>794</v>
      </c>
    </row>
    <row r="731" spans="1:23" ht="25.5" customHeight="1">
      <c r="A731" s="40">
        <v>727</v>
      </c>
      <c r="B731" s="83" t="s">
        <v>993</v>
      </c>
      <c r="C731" s="84" t="s">
        <v>996</v>
      </c>
      <c r="D731" s="85" t="s">
        <v>900</v>
      </c>
      <c r="E731" s="85" t="s">
        <v>997</v>
      </c>
      <c r="F731" s="123">
        <v>19400</v>
      </c>
      <c r="G731" s="123"/>
      <c r="H731" s="87">
        <v>4169070.9</v>
      </c>
      <c r="I731" s="35" t="s">
        <v>715</v>
      </c>
      <c r="J731" s="35" t="s">
        <v>603</v>
      </c>
      <c r="P731" s="56"/>
      <c r="Q731" s="83"/>
      <c r="R731" s="84"/>
      <c r="S731" s="85"/>
      <c r="T731" s="85"/>
      <c r="U731" s="86"/>
      <c r="V731" s="86"/>
      <c r="W731" s="87"/>
    </row>
    <row r="732" spans="1:23" ht="25.5" customHeight="1">
      <c r="A732" s="40">
        <v>728</v>
      </c>
      <c r="B732" s="83" t="s">
        <v>993</v>
      </c>
      <c r="C732" s="84" t="s">
        <v>998</v>
      </c>
      <c r="D732" s="85" t="s">
        <v>900</v>
      </c>
      <c r="E732" s="85" t="s">
        <v>999</v>
      </c>
      <c r="F732" s="123">
        <v>100000</v>
      </c>
      <c r="G732" s="123"/>
      <c r="H732" s="87">
        <v>4069070.9</v>
      </c>
      <c r="I732" s="35" t="s">
        <v>1045</v>
      </c>
      <c r="J732" s="35" t="s">
        <v>794</v>
      </c>
      <c r="K732" s="35" t="s">
        <v>794</v>
      </c>
    </row>
    <row r="733" spans="1:23" ht="25.5" customHeight="1">
      <c r="A733" s="40">
        <v>729</v>
      </c>
      <c r="B733" s="83" t="s">
        <v>993</v>
      </c>
      <c r="C733" s="84" t="s">
        <v>1000</v>
      </c>
      <c r="D733" s="85" t="s">
        <v>900</v>
      </c>
      <c r="E733" s="85" t="s">
        <v>1001</v>
      </c>
      <c r="F733" s="123">
        <v>400000</v>
      </c>
      <c r="G733" s="123"/>
      <c r="H733" s="87">
        <v>3669070.9</v>
      </c>
      <c r="I733" s="35" t="s">
        <v>134</v>
      </c>
      <c r="J733" s="35" t="s">
        <v>1037</v>
      </c>
    </row>
    <row r="734" spans="1:23" s="69" customFormat="1" ht="25.5" customHeight="1">
      <c r="A734" s="40">
        <v>730</v>
      </c>
      <c r="B734" s="88" t="s">
        <v>993</v>
      </c>
      <c r="C734" s="89" t="s">
        <v>1002</v>
      </c>
      <c r="D734" s="90" t="s">
        <v>900</v>
      </c>
      <c r="E734" s="90" t="s">
        <v>1003</v>
      </c>
      <c r="F734" s="124">
        <v>200000</v>
      </c>
      <c r="G734" s="124"/>
      <c r="H734" s="91">
        <v>3469070.9</v>
      </c>
      <c r="I734" s="69" t="s">
        <v>1046</v>
      </c>
      <c r="J734" s="69" t="s">
        <v>1056</v>
      </c>
      <c r="K734" s="69" t="s">
        <v>794</v>
      </c>
    </row>
    <row r="735" spans="1:23" ht="25.5" customHeight="1">
      <c r="A735" s="40">
        <v>731</v>
      </c>
      <c r="B735" s="83" t="s">
        <v>993</v>
      </c>
      <c r="C735" s="84" t="s">
        <v>1004</v>
      </c>
      <c r="D735" s="85" t="s">
        <v>900</v>
      </c>
      <c r="E735" s="85" t="s">
        <v>1005</v>
      </c>
      <c r="F735" s="123">
        <v>200000</v>
      </c>
      <c r="G735" s="123"/>
      <c r="H735" s="87">
        <v>3269070.9</v>
      </c>
      <c r="I735" s="35" t="s">
        <v>851</v>
      </c>
      <c r="J735" s="35" t="s">
        <v>1037</v>
      </c>
    </row>
    <row r="736" spans="1:23" ht="25.5" customHeight="1">
      <c r="A736" s="40">
        <v>732</v>
      </c>
      <c r="B736" s="83" t="s">
        <v>1006</v>
      </c>
      <c r="C736" s="84" t="s">
        <v>1007</v>
      </c>
      <c r="D736" s="85" t="s">
        <v>900</v>
      </c>
      <c r="E736" s="85" t="s">
        <v>1008</v>
      </c>
      <c r="F736" s="123">
        <v>300000</v>
      </c>
      <c r="G736" s="123"/>
      <c r="H736" s="87">
        <v>2969070.9</v>
      </c>
      <c r="I736" s="35" t="s">
        <v>870</v>
      </c>
      <c r="J736" s="35" t="s">
        <v>794</v>
      </c>
    </row>
    <row r="737" spans="1:23" s="69" customFormat="1" ht="25.5" customHeight="1">
      <c r="A737" s="40">
        <v>733</v>
      </c>
      <c r="B737" s="88" t="s">
        <v>1006</v>
      </c>
      <c r="C737" s="89" t="s">
        <v>1009</v>
      </c>
      <c r="D737" s="90" t="s">
        <v>900</v>
      </c>
      <c r="E737" s="90" t="s">
        <v>1010</v>
      </c>
      <c r="F737" s="124"/>
      <c r="G737" s="124">
        <v>700000</v>
      </c>
      <c r="H737" s="91">
        <v>3669070.9</v>
      </c>
      <c r="I737" s="69" t="s">
        <v>1047</v>
      </c>
      <c r="J737" s="69" t="s">
        <v>113</v>
      </c>
      <c r="K737" s="69" t="s">
        <v>844</v>
      </c>
    </row>
    <row r="738" spans="1:23" ht="25.5" customHeight="1">
      <c r="A738" s="40">
        <v>734</v>
      </c>
      <c r="B738" s="83" t="s">
        <v>1011</v>
      </c>
      <c r="C738" s="84" t="s">
        <v>1012</v>
      </c>
      <c r="D738" s="85" t="s">
        <v>900</v>
      </c>
      <c r="E738" s="85" t="s">
        <v>1013</v>
      </c>
      <c r="F738" s="123">
        <v>60000</v>
      </c>
      <c r="G738" s="123"/>
      <c r="H738" s="87">
        <v>3609070.9</v>
      </c>
      <c r="I738" s="35" t="s">
        <v>58</v>
      </c>
      <c r="J738" s="35" t="s">
        <v>3147</v>
      </c>
    </row>
    <row r="739" spans="1:23" s="69" customFormat="1" ht="25.5" customHeight="1">
      <c r="A739" s="40">
        <v>735</v>
      </c>
      <c r="B739" s="88" t="s">
        <v>1011</v>
      </c>
      <c r="C739" s="89" t="s">
        <v>1014</v>
      </c>
      <c r="D739" s="90" t="s">
        <v>900</v>
      </c>
      <c r="E739" s="90" t="s">
        <v>1015</v>
      </c>
      <c r="F739" s="124">
        <v>10000</v>
      </c>
      <c r="G739" s="124"/>
      <c r="H739" s="91">
        <v>3599070.9</v>
      </c>
      <c r="I739" s="69" t="s">
        <v>817</v>
      </c>
      <c r="J739" s="69" t="s">
        <v>1025</v>
      </c>
      <c r="K739" s="69" t="s">
        <v>794</v>
      </c>
    </row>
    <row r="740" spans="1:23" ht="25.5" customHeight="1">
      <c r="A740" s="40">
        <v>736</v>
      </c>
      <c r="B740" s="83" t="s">
        <v>1011</v>
      </c>
      <c r="C740" s="84" t="s">
        <v>1016</v>
      </c>
      <c r="D740" s="85" t="s">
        <v>900</v>
      </c>
      <c r="E740" s="85" t="s">
        <v>1017</v>
      </c>
      <c r="F740" s="123">
        <v>100000</v>
      </c>
      <c r="G740" s="123"/>
      <c r="H740" s="87">
        <v>3499070.9</v>
      </c>
      <c r="I740" s="35" t="s">
        <v>1023</v>
      </c>
      <c r="J740" s="35" t="s">
        <v>1024</v>
      </c>
      <c r="K740" s="35" t="s">
        <v>826</v>
      </c>
    </row>
    <row r="741" spans="1:23" s="69" customFormat="1" ht="25.5" customHeight="1">
      <c r="A741" s="40">
        <v>737</v>
      </c>
      <c r="B741" s="88" t="s">
        <v>1018</v>
      </c>
      <c r="C741" s="89" t="s">
        <v>1019</v>
      </c>
      <c r="D741" s="90" t="s">
        <v>900</v>
      </c>
      <c r="E741" s="90" t="s">
        <v>1020</v>
      </c>
      <c r="F741" s="124"/>
      <c r="G741" s="124">
        <v>100000</v>
      </c>
      <c r="H741" s="91">
        <v>3599070.9</v>
      </c>
      <c r="I741" s="69" t="s">
        <v>45</v>
      </c>
      <c r="J741" s="69" t="s">
        <v>769</v>
      </c>
      <c r="K741" s="69" t="s">
        <v>794</v>
      </c>
    </row>
    <row r="742" spans="1:23" s="69" customFormat="1" ht="25.5" customHeight="1">
      <c r="A742" s="40">
        <v>738</v>
      </c>
      <c r="B742" s="88" t="s">
        <v>1018</v>
      </c>
      <c r="C742" s="89" t="s">
        <v>1021</v>
      </c>
      <c r="D742" s="90" t="s">
        <v>900</v>
      </c>
      <c r="E742" s="90" t="s">
        <v>1022</v>
      </c>
      <c r="F742" s="124"/>
      <c r="G742" s="124">
        <v>382250</v>
      </c>
      <c r="H742" s="91">
        <v>3981320.9</v>
      </c>
      <c r="I742" s="69" t="s">
        <v>50</v>
      </c>
      <c r="J742" s="69" t="s">
        <v>51</v>
      </c>
    </row>
    <row r="743" spans="1:23" ht="25.5" customHeight="1">
      <c r="A743" s="40">
        <v>739</v>
      </c>
      <c r="B743" s="83" t="s">
        <v>1058</v>
      </c>
      <c r="C743" s="84" t="s">
        <v>1059</v>
      </c>
      <c r="D743" s="85" t="s">
        <v>900</v>
      </c>
      <c r="E743" s="85" t="s">
        <v>1060</v>
      </c>
      <c r="F743" s="123"/>
      <c r="G743" s="123">
        <v>10000</v>
      </c>
      <c r="H743" s="87">
        <v>3991320.9</v>
      </c>
    </row>
    <row r="744" spans="1:23" s="69" customFormat="1" ht="25.5" customHeight="1">
      <c r="A744" s="40">
        <v>740</v>
      </c>
      <c r="B744" s="88" t="s">
        <v>1058</v>
      </c>
      <c r="C744" s="89" t="s">
        <v>1061</v>
      </c>
      <c r="D744" s="90" t="s">
        <v>900</v>
      </c>
      <c r="E744" s="90" t="s">
        <v>1062</v>
      </c>
      <c r="F744" s="124"/>
      <c r="G744" s="124">
        <v>1</v>
      </c>
      <c r="H744" s="91">
        <v>3991321.9</v>
      </c>
      <c r="I744" s="69" t="s">
        <v>45</v>
      </c>
      <c r="J744" s="69" t="s">
        <v>1214</v>
      </c>
      <c r="K744" s="69" t="s">
        <v>823</v>
      </c>
    </row>
    <row r="745" spans="1:23" ht="25.5" customHeight="1">
      <c r="A745" s="40">
        <v>741</v>
      </c>
      <c r="B745" s="83" t="s">
        <v>1058</v>
      </c>
      <c r="C745" s="84" t="s">
        <v>1063</v>
      </c>
      <c r="D745" s="85" t="s">
        <v>900</v>
      </c>
      <c r="E745" s="85" t="s">
        <v>1064</v>
      </c>
      <c r="F745" s="123">
        <v>300000</v>
      </c>
      <c r="G745" s="123"/>
      <c r="H745" s="87">
        <v>3691321.9</v>
      </c>
      <c r="I745" s="35" t="s">
        <v>870</v>
      </c>
      <c r="J745" s="35" t="s">
        <v>794</v>
      </c>
      <c r="K745" s="35" t="s">
        <v>794</v>
      </c>
    </row>
    <row r="746" spans="1:23" ht="25.5" customHeight="1">
      <c r="A746" s="40">
        <v>742</v>
      </c>
      <c r="B746" s="83" t="s">
        <v>1058</v>
      </c>
      <c r="C746" s="84" t="s">
        <v>1065</v>
      </c>
      <c r="D746" s="85" t="s">
        <v>900</v>
      </c>
      <c r="E746" s="85" t="s">
        <v>1066</v>
      </c>
      <c r="F746" s="123">
        <v>500000</v>
      </c>
      <c r="G746" s="123"/>
      <c r="H746" s="87">
        <v>3191321.9</v>
      </c>
      <c r="I746" s="35" t="s">
        <v>870</v>
      </c>
      <c r="J746" s="35" t="s">
        <v>794</v>
      </c>
      <c r="K746" s="35" t="s">
        <v>794</v>
      </c>
      <c r="P746" s="56"/>
      <c r="Q746" s="83"/>
      <c r="R746" s="84"/>
      <c r="S746" s="85"/>
      <c r="T746" s="85"/>
      <c r="U746" s="92"/>
      <c r="V746" s="86"/>
      <c r="W746" s="87"/>
    </row>
    <row r="747" spans="1:23" ht="25.5" customHeight="1">
      <c r="A747" s="40">
        <v>743</v>
      </c>
      <c r="B747" s="83" t="s">
        <v>1058</v>
      </c>
      <c r="C747" s="84" t="s">
        <v>1067</v>
      </c>
      <c r="D747" s="85" t="s">
        <v>900</v>
      </c>
      <c r="E747" s="85" t="s">
        <v>1068</v>
      </c>
      <c r="F747" s="123">
        <v>240000</v>
      </c>
      <c r="G747" s="123"/>
      <c r="H747" s="87">
        <v>2951321.9</v>
      </c>
      <c r="I747" s="35" t="s">
        <v>1038</v>
      </c>
      <c r="J747" s="35" t="s">
        <v>3147</v>
      </c>
      <c r="P747" s="56"/>
      <c r="Q747" s="83"/>
      <c r="R747" s="84"/>
      <c r="S747" s="85"/>
      <c r="T747" s="85"/>
      <c r="U747" s="92"/>
      <c r="V747" s="86"/>
      <c r="W747" s="87"/>
    </row>
    <row r="748" spans="1:23" s="69" customFormat="1" ht="25.5" customHeight="1">
      <c r="A748" s="40">
        <v>744</v>
      </c>
      <c r="B748" s="88" t="s">
        <v>1069</v>
      </c>
      <c r="C748" s="89" t="s">
        <v>1070</v>
      </c>
      <c r="D748" s="90" t="s">
        <v>900</v>
      </c>
      <c r="E748" s="90" t="s">
        <v>1071</v>
      </c>
      <c r="F748" s="124"/>
      <c r="G748" s="124">
        <v>99999</v>
      </c>
      <c r="H748" s="91">
        <v>3051320.9</v>
      </c>
      <c r="I748" s="69" t="s">
        <v>45</v>
      </c>
      <c r="J748" s="69" t="s">
        <v>1214</v>
      </c>
      <c r="K748" s="69" t="s">
        <v>823</v>
      </c>
      <c r="P748" s="106"/>
      <c r="Q748" s="88"/>
      <c r="R748" s="89"/>
      <c r="S748" s="90"/>
      <c r="T748" s="90"/>
      <c r="U748" s="89"/>
      <c r="V748" s="91"/>
      <c r="W748" s="91"/>
    </row>
    <row r="749" spans="1:23" ht="25.5" customHeight="1">
      <c r="A749" s="40">
        <v>745</v>
      </c>
      <c r="B749" s="83" t="s">
        <v>1069</v>
      </c>
      <c r="C749" s="84" t="s">
        <v>1072</v>
      </c>
      <c r="D749" s="85" t="s">
        <v>900</v>
      </c>
      <c r="E749" s="85" t="s">
        <v>1073</v>
      </c>
      <c r="F749" s="123">
        <v>29100</v>
      </c>
      <c r="G749" s="123"/>
      <c r="H749" s="181">
        <v>3022220.9</v>
      </c>
      <c r="I749" s="34" t="s">
        <v>149</v>
      </c>
      <c r="J749" s="34" t="s">
        <v>603</v>
      </c>
      <c r="K749" s="34"/>
    </row>
    <row r="750" spans="1:23" ht="25.5" customHeight="1">
      <c r="A750" s="40">
        <v>746</v>
      </c>
      <c r="B750" s="83" t="s">
        <v>1069</v>
      </c>
      <c r="C750" s="84" t="s">
        <v>1074</v>
      </c>
      <c r="D750" s="85" t="s">
        <v>900</v>
      </c>
      <c r="E750" s="85" t="s">
        <v>1075</v>
      </c>
      <c r="F750" s="123">
        <v>58200</v>
      </c>
      <c r="G750" s="123"/>
      <c r="H750" s="87">
        <v>2964020.9</v>
      </c>
      <c r="I750" s="35" t="s">
        <v>604</v>
      </c>
      <c r="J750" s="35" t="s">
        <v>603</v>
      </c>
    </row>
    <row r="751" spans="1:23" ht="25.5" customHeight="1">
      <c r="A751" s="40">
        <v>747</v>
      </c>
      <c r="B751" s="83" t="s">
        <v>1076</v>
      </c>
      <c r="C751" s="84" t="s">
        <v>1077</v>
      </c>
      <c r="D751" s="85" t="s">
        <v>900</v>
      </c>
      <c r="E751" s="85" t="s">
        <v>1078</v>
      </c>
      <c r="F751" s="123"/>
      <c r="G751" s="123">
        <v>100000</v>
      </c>
      <c r="H751" s="87">
        <v>3064020.9</v>
      </c>
      <c r="I751" s="35" t="s">
        <v>1135</v>
      </c>
      <c r="J751" s="35" t="s">
        <v>1213</v>
      </c>
      <c r="K751" s="35" t="s">
        <v>794</v>
      </c>
    </row>
    <row r="752" spans="1:23" ht="25.5" customHeight="1">
      <c r="A752" s="40">
        <v>748</v>
      </c>
      <c r="B752" s="83" t="s">
        <v>1076</v>
      </c>
      <c r="C752" s="84" t="s">
        <v>1079</v>
      </c>
      <c r="D752" s="85" t="s">
        <v>900</v>
      </c>
      <c r="E752" s="85" t="s">
        <v>1080</v>
      </c>
      <c r="F752" s="123">
        <v>250000</v>
      </c>
      <c r="G752" s="123"/>
      <c r="H752" s="87">
        <v>2814020.9</v>
      </c>
      <c r="I752" s="35" t="s">
        <v>870</v>
      </c>
      <c r="J752" s="35" t="s">
        <v>794</v>
      </c>
      <c r="K752" s="35" t="s">
        <v>794</v>
      </c>
    </row>
    <row r="753" spans="1:23" ht="25.5" customHeight="1">
      <c r="A753" s="40">
        <v>749</v>
      </c>
      <c r="B753" s="83" t="s">
        <v>1076</v>
      </c>
      <c r="C753" s="84" t="s">
        <v>1081</v>
      </c>
      <c r="D753" s="85" t="s">
        <v>900</v>
      </c>
      <c r="E753" s="85" t="s">
        <v>1082</v>
      </c>
      <c r="F753" s="123">
        <v>1000000</v>
      </c>
      <c r="G753" s="123"/>
      <c r="H753" s="87">
        <v>1814020.9</v>
      </c>
      <c r="I753" s="35" t="s">
        <v>870</v>
      </c>
      <c r="J753" s="35" t="s">
        <v>794</v>
      </c>
      <c r="K753" s="35" t="s">
        <v>794</v>
      </c>
    </row>
    <row r="754" spans="1:23" ht="25.5" customHeight="1">
      <c r="A754" s="40">
        <v>750</v>
      </c>
      <c r="B754" s="83" t="s">
        <v>1076</v>
      </c>
      <c r="C754" s="84" t="s">
        <v>1083</v>
      </c>
      <c r="D754" s="85" t="s">
        <v>900</v>
      </c>
      <c r="E754" s="85" t="s">
        <v>1084</v>
      </c>
      <c r="F754" s="123">
        <v>1000000</v>
      </c>
      <c r="G754" s="123"/>
      <c r="H754" s="87">
        <v>814020.9</v>
      </c>
      <c r="I754" s="35" t="s">
        <v>870</v>
      </c>
      <c r="J754" s="35" t="s">
        <v>794</v>
      </c>
      <c r="K754" s="35" t="s">
        <v>794</v>
      </c>
    </row>
    <row r="755" spans="1:23" s="69" customFormat="1" ht="25.5" customHeight="1">
      <c r="A755" s="46">
        <v>751</v>
      </c>
      <c r="B755" s="88" t="s">
        <v>1076</v>
      </c>
      <c r="C755" s="89" t="s">
        <v>1085</v>
      </c>
      <c r="D755" s="90" t="s">
        <v>900</v>
      </c>
      <c r="E755" s="90" t="s">
        <v>1086</v>
      </c>
      <c r="F755" s="124"/>
      <c r="G755" s="124">
        <v>10000</v>
      </c>
      <c r="H755" s="91">
        <v>824020.9</v>
      </c>
      <c r="I755" s="69" t="s">
        <v>3141</v>
      </c>
      <c r="J755" s="69" t="s">
        <v>3130</v>
      </c>
    </row>
    <row r="756" spans="1:23" s="69" customFormat="1" ht="25.5" customHeight="1">
      <c r="A756" s="40">
        <v>752</v>
      </c>
      <c r="B756" s="88" t="s">
        <v>1087</v>
      </c>
      <c r="C756" s="89" t="s">
        <v>1088</v>
      </c>
      <c r="D756" s="90" t="s">
        <v>900</v>
      </c>
      <c r="E756" s="90" t="s">
        <v>1089</v>
      </c>
      <c r="F756" s="124"/>
      <c r="G756" s="124">
        <v>100</v>
      </c>
      <c r="H756" s="91">
        <v>824120.9</v>
      </c>
      <c r="I756" s="69" t="s">
        <v>1125</v>
      </c>
      <c r="J756" s="69" t="s">
        <v>1126</v>
      </c>
    </row>
    <row r="757" spans="1:23" s="69" customFormat="1" ht="25.5" customHeight="1">
      <c r="A757" s="40">
        <v>753</v>
      </c>
      <c r="B757" s="88" t="s">
        <v>1087</v>
      </c>
      <c r="C757" s="89" t="s">
        <v>1090</v>
      </c>
      <c r="D757" s="90" t="s">
        <v>900</v>
      </c>
      <c r="E757" s="90" t="s">
        <v>1091</v>
      </c>
      <c r="F757" s="124"/>
      <c r="G757" s="124">
        <v>4900</v>
      </c>
      <c r="H757" s="91">
        <v>829020.9</v>
      </c>
      <c r="I757" s="69" t="s">
        <v>1125</v>
      </c>
      <c r="J757" s="69" t="s">
        <v>1126</v>
      </c>
    </row>
    <row r="758" spans="1:23" ht="25.5" customHeight="1">
      <c r="A758" s="40">
        <v>754</v>
      </c>
      <c r="B758" s="83" t="s">
        <v>1087</v>
      </c>
      <c r="C758" s="84" t="s">
        <v>1092</v>
      </c>
      <c r="D758" s="85" t="s">
        <v>900</v>
      </c>
      <c r="E758" s="85" t="s">
        <v>1093</v>
      </c>
      <c r="F758" s="123"/>
      <c r="G758" s="123">
        <v>90000</v>
      </c>
      <c r="H758" s="87">
        <v>919020.9</v>
      </c>
      <c r="I758" s="35" t="s">
        <v>1045</v>
      </c>
      <c r="J758" s="35" t="s">
        <v>822</v>
      </c>
    </row>
    <row r="759" spans="1:23" s="69" customFormat="1" ht="25.5" customHeight="1">
      <c r="A759" s="40">
        <v>755</v>
      </c>
      <c r="B759" s="88" t="s">
        <v>1087</v>
      </c>
      <c r="C759" s="89" t="s">
        <v>1094</v>
      </c>
      <c r="D759" s="90" t="s">
        <v>900</v>
      </c>
      <c r="E759" s="90" t="s">
        <v>1095</v>
      </c>
      <c r="F759" s="124"/>
      <c r="G759" s="124">
        <v>15000</v>
      </c>
      <c r="H759" s="91">
        <v>934020.9</v>
      </c>
      <c r="I759" s="69" t="s">
        <v>1125</v>
      </c>
      <c r="J759" s="69" t="s">
        <v>1126</v>
      </c>
      <c r="K759" s="69" t="s">
        <v>794</v>
      </c>
    </row>
    <row r="760" spans="1:23" s="69" customFormat="1" ht="25.5" customHeight="1">
      <c r="A760" s="40">
        <v>756</v>
      </c>
      <c r="B760" s="88" t="s">
        <v>1087</v>
      </c>
      <c r="C760" s="89" t="s">
        <v>1096</v>
      </c>
      <c r="D760" s="90" t="s">
        <v>900</v>
      </c>
      <c r="E760" s="90" t="s">
        <v>1097</v>
      </c>
      <c r="F760" s="124">
        <v>250000</v>
      </c>
      <c r="G760" s="124"/>
      <c r="H760" s="91">
        <v>684020.9</v>
      </c>
      <c r="I760" s="69" t="s">
        <v>49</v>
      </c>
      <c r="J760" s="69" t="s">
        <v>1127</v>
      </c>
      <c r="K760" s="69" t="s">
        <v>794</v>
      </c>
    </row>
    <row r="761" spans="1:23" s="69" customFormat="1" ht="25.5" customHeight="1">
      <c r="A761" s="40">
        <v>757</v>
      </c>
      <c r="B761" s="88" t="s">
        <v>1098</v>
      </c>
      <c r="C761" s="89" t="s">
        <v>1099</v>
      </c>
      <c r="D761" s="90" t="s">
        <v>900</v>
      </c>
      <c r="E761" s="90" t="s">
        <v>1100</v>
      </c>
      <c r="F761" s="124"/>
      <c r="G761" s="124">
        <v>300000</v>
      </c>
      <c r="H761" s="91">
        <v>984020.9</v>
      </c>
      <c r="I761" s="69" t="s">
        <v>369</v>
      </c>
      <c r="J761" s="69" t="s">
        <v>3140</v>
      </c>
      <c r="K761" s="69" t="s">
        <v>830</v>
      </c>
    </row>
    <row r="762" spans="1:23" ht="25.5" customHeight="1">
      <c r="A762" s="40">
        <v>758</v>
      </c>
      <c r="B762" s="83" t="s">
        <v>1098</v>
      </c>
      <c r="C762" s="84" t="s">
        <v>1099</v>
      </c>
      <c r="D762" s="85" t="s">
        <v>900</v>
      </c>
      <c r="E762" s="85" t="s">
        <v>1101</v>
      </c>
      <c r="F762" s="123"/>
      <c r="G762" s="123">
        <v>281000</v>
      </c>
      <c r="H762" s="87">
        <v>1265020.8999999999</v>
      </c>
      <c r="I762" s="35" t="s">
        <v>351</v>
      </c>
      <c r="J762" s="35" t="s">
        <v>740</v>
      </c>
      <c r="K762" s="35" t="s">
        <v>794</v>
      </c>
    </row>
    <row r="763" spans="1:23" s="69" customFormat="1" ht="25.5" customHeight="1">
      <c r="A763" s="40">
        <v>759</v>
      </c>
      <c r="B763" s="88" t="s">
        <v>1102</v>
      </c>
      <c r="C763" s="89" t="s">
        <v>1103</v>
      </c>
      <c r="D763" s="90" t="s">
        <v>900</v>
      </c>
      <c r="E763" s="90" t="s">
        <v>1104</v>
      </c>
      <c r="F763" s="124">
        <v>300000</v>
      </c>
      <c r="G763" s="124"/>
      <c r="H763" s="91">
        <v>965020.9</v>
      </c>
      <c r="I763" s="69" t="s">
        <v>327</v>
      </c>
      <c r="J763" s="69" t="s">
        <v>1129</v>
      </c>
      <c r="K763" s="69" t="s">
        <v>794</v>
      </c>
    </row>
    <row r="764" spans="1:23" s="69" customFormat="1" ht="25.5" customHeight="1">
      <c r="A764" s="40">
        <v>760</v>
      </c>
      <c r="B764" s="88" t="s">
        <v>1105</v>
      </c>
      <c r="C764" s="89" t="s">
        <v>1106</v>
      </c>
      <c r="D764" s="90" t="s">
        <v>900</v>
      </c>
      <c r="E764" s="90" t="s">
        <v>1107</v>
      </c>
      <c r="F764" s="124"/>
      <c r="G764" s="124">
        <v>250000</v>
      </c>
      <c r="H764" s="91">
        <v>1215020.8999999999</v>
      </c>
      <c r="I764" s="69" t="s">
        <v>375</v>
      </c>
      <c r="J764" s="69" t="s">
        <v>1130</v>
      </c>
      <c r="K764" s="69" t="s">
        <v>794</v>
      </c>
    </row>
    <row r="765" spans="1:23" s="69" customFormat="1" ht="25.5" customHeight="1">
      <c r="A765" s="40">
        <v>761</v>
      </c>
      <c r="B765" s="88" t="s">
        <v>1105</v>
      </c>
      <c r="C765" s="89" t="s">
        <v>1108</v>
      </c>
      <c r="D765" s="90" t="s">
        <v>900</v>
      </c>
      <c r="E765" s="90" t="s">
        <v>1109</v>
      </c>
      <c r="F765" s="124"/>
      <c r="G765" s="124">
        <v>490000</v>
      </c>
      <c r="H765" s="91">
        <v>1705020.9</v>
      </c>
      <c r="I765" s="69" t="s">
        <v>1131</v>
      </c>
      <c r="J765" s="69" t="s">
        <v>1132</v>
      </c>
    </row>
    <row r="766" spans="1:23" ht="25.5" customHeight="1">
      <c r="A766" s="40">
        <v>762</v>
      </c>
      <c r="B766" s="83" t="s">
        <v>1110</v>
      </c>
      <c r="C766" s="84" t="s">
        <v>1111</v>
      </c>
      <c r="D766" s="85" t="s">
        <v>900</v>
      </c>
      <c r="E766" s="85" t="s">
        <v>1112</v>
      </c>
      <c r="F766" s="123">
        <v>500000</v>
      </c>
      <c r="G766" s="123"/>
      <c r="H766" s="87">
        <v>1205020.8999999999</v>
      </c>
      <c r="I766" s="35" t="s">
        <v>870</v>
      </c>
      <c r="J766" s="35" t="s">
        <v>794</v>
      </c>
      <c r="K766" s="35" t="s">
        <v>794</v>
      </c>
      <c r="P766" s="56"/>
      <c r="Q766" s="83"/>
      <c r="R766" s="84"/>
      <c r="S766" s="85"/>
      <c r="T766" s="85"/>
      <c r="U766" s="86"/>
      <c r="V766" s="86"/>
      <c r="W766" s="87"/>
    </row>
    <row r="767" spans="1:23" s="69" customFormat="1" ht="25.5" customHeight="1">
      <c r="A767" s="40">
        <v>763</v>
      </c>
      <c r="B767" s="88" t="s">
        <v>1113</v>
      </c>
      <c r="C767" s="89" t="s">
        <v>1114</v>
      </c>
      <c r="D767" s="90" t="s">
        <v>900</v>
      </c>
      <c r="E767" s="90" t="s">
        <v>1115</v>
      </c>
      <c r="F767" s="124">
        <v>334000</v>
      </c>
      <c r="G767" s="124"/>
      <c r="H767" s="91">
        <v>871020.9</v>
      </c>
      <c r="I767" s="69" t="s">
        <v>144</v>
      </c>
      <c r="J767" s="69" t="s">
        <v>3131</v>
      </c>
      <c r="K767" s="69" t="s">
        <v>830</v>
      </c>
    </row>
    <row r="768" spans="1:23" ht="25.5" customHeight="1">
      <c r="A768" s="40">
        <v>764</v>
      </c>
      <c r="B768" s="83" t="s">
        <v>1116</v>
      </c>
      <c r="C768" s="84" t="s">
        <v>1117</v>
      </c>
      <c r="D768" s="85" t="s">
        <v>900</v>
      </c>
      <c r="E768" s="85" t="s">
        <v>1118</v>
      </c>
      <c r="F768" s="123">
        <v>500000</v>
      </c>
      <c r="G768" s="123"/>
      <c r="H768" s="87">
        <v>371020.9</v>
      </c>
      <c r="I768" s="35" t="s">
        <v>870</v>
      </c>
      <c r="J768" s="35" t="s">
        <v>794</v>
      </c>
      <c r="K768" s="35" t="s">
        <v>794</v>
      </c>
    </row>
    <row r="769" spans="1:11" ht="25.5" customHeight="1">
      <c r="A769" s="40">
        <v>765</v>
      </c>
      <c r="B769" s="83" t="s">
        <v>1116</v>
      </c>
      <c r="C769" s="84" t="s">
        <v>1119</v>
      </c>
      <c r="D769" s="85" t="s">
        <v>900</v>
      </c>
      <c r="E769" s="85" t="s">
        <v>1120</v>
      </c>
      <c r="F769" s="123">
        <v>200000</v>
      </c>
      <c r="G769" s="123"/>
      <c r="H769" s="87">
        <v>171020.9</v>
      </c>
      <c r="I769" s="35" t="s">
        <v>870</v>
      </c>
      <c r="J769" s="35" t="s">
        <v>794</v>
      </c>
      <c r="K769" s="35" t="s">
        <v>794</v>
      </c>
    </row>
    <row r="770" spans="1:11" ht="25.5" customHeight="1">
      <c r="A770" s="40">
        <v>766</v>
      </c>
      <c r="B770" s="83" t="s">
        <v>1121</v>
      </c>
      <c r="C770" s="84" t="s">
        <v>1122</v>
      </c>
      <c r="D770" s="85" t="s">
        <v>900</v>
      </c>
      <c r="E770" s="85" t="s">
        <v>1123</v>
      </c>
      <c r="F770" s="123"/>
      <c r="G770" s="123">
        <v>71000</v>
      </c>
      <c r="H770" s="87">
        <v>242020.9</v>
      </c>
      <c r="I770" s="35" t="s">
        <v>349</v>
      </c>
      <c r="J770" s="35" t="s">
        <v>740</v>
      </c>
      <c r="K770" s="35" t="s">
        <v>832</v>
      </c>
    </row>
    <row r="771" spans="1:11" ht="25.5" customHeight="1">
      <c r="A771" s="40">
        <v>767</v>
      </c>
      <c r="B771" s="83" t="s">
        <v>1121</v>
      </c>
      <c r="C771" s="84" t="s">
        <v>1122</v>
      </c>
      <c r="D771" s="85" t="s">
        <v>900</v>
      </c>
      <c r="E771" s="85" t="s">
        <v>1124</v>
      </c>
      <c r="F771" s="123"/>
      <c r="G771" s="123">
        <v>134000</v>
      </c>
      <c r="H771" s="87">
        <v>376020.9</v>
      </c>
      <c r="I771" s="35" t="s">
        <v>351</v>
      </c>
      <c r="J771" s="35" t="s">
        <v>740</v>
      </c>
      <c r="K771" s="35" t="s">
        <v>794</v>
      </c>
    </row>
    <row r="772" spans="1:11" s="69" customFormat="1" ht="25.5" customHeight="1">
      <c r="A772" s="40">
        <v>768</v>
      </c>
      <c r="B772" s="88" t="s">
        <v>1136</v>
      </c>
      <c r="C772" s="89" t="s">
        <v>1137</v>
      </c>
      <c r="D772" s="90" t="s">
        <v>900</v>
      </c>
      <c r="E772" s="90" t="s">
        <v>1138</v>
      </c>
      <c r="F772" s="124"/>
      <c r="G772" s="124">
        <v>400000</v>
      </c>
      <c r="H772" s="91">
        <v>776020.9</v>
      </c>
      <c r="I772" s="69" t="s">
        <v>1047</v>
      </c>
      <c r="J772" s="69" t="s">
        <v>1286</v>
      </c>
      <c r="K772" s="69" t="s">
        <v>794</v>
      </c>
    </row>
    <row r="773" spans="1:11" ht="25.5" customHeight="1">
      <c r="A773" s="40">
        <v>769</v>
      </c>
      <c r="B773" s="83" t="s">
        <v>1136</v>
      </c>
      <c r="C773" s="84" t="s">
        <v>1139</v>
      </c>
      <c r="D773" s="85" t="s">
        <v>900</v>
      </c>
      <c r="E773" s="85" t="s">
        <v>1140</v>
      </c>
      <c r="F773" s="123">
        <v>400000</v>
      </c>
      <c r="G773" s="123"/>
      <c r="H773" s="87">
        <v>376020.9</v>
      </c>
      <c r="I773" s="35" t="s">
        <v>134</v>
      </c>
      <c r="J773" s="35" t="s">
        <v>1037</v>
      </c>
    </row>
    <row r="774" spans="1:11" ht="25.5" customHeight="1">
      <c r="A774" s="40">
        <v>770</v>
      </c>
      <c r="B774" s="83" t="s">
        <v>1141</v>
      </c>
      <c r="C774" s="84" t="s">
        <v>1142</v>
      </c>
      <c r="D774" s="85" t="s">
        <v>900</v>
      </c>
      <c r="E774" s="85" t="s">
        <v>1143</v>
      </c>
      <c r="F774" s="123"/>
      <c r="G774" s="123">
        <v>50000</v>
      </c>
      <c r="H774" s="87">
        <v>426020.9</v>
      </c>
      <c r="I774" s="35" t="s">
        <v>715</v>
      </c>
      <c r="J774" s="35" t="s">
        <v>886</v>
      </c>
      <c r="K774" s="35" t="s">
        <v>823</v>
      </c>
    </row>
    <row r="775" spans="1:11" ht="25.5" customHeight="1">
      <c r="A775" s="40">
        <v>771</v>
      </c>
      <c r="B775" s="83" t="s">
        <v>1141</v>
      </c>
      <c r="C775" s="84" t="s">
        <v>1144</v>
      </c>
      <c r="D775" s="85" t="s">
        <v>900</v>
      </c>
      <c r="E775" s="85" t="s">
        <v>1145</v>
      </c>
      <c r="F775" s="123"/>
      <c r="G775" s="123">
        <v>450000</v>
      </c>
      <c r="H775" s="87">
        <v>876020.9</v>
      </c>
      <c r="I775" s="35" t="s">
        <v>86</v>
      </c>
      <c r="J775" s="35" t="s">
        <v>886</v>
      </c>
      <c r="K775" s="35" t="s">
        <v>823</v>
      </c>
    </row>
    <row r="776" spans="1:11" ht="25.5" customHeight="1">
      <c r="A776" s="40">
        <v>772</v>
      </c>
      <c r="B776" s="83" t="s">
        <v>1146</v>
      </c>
      <c r="C776" s="84" t="s">
        <v>1147</v>
      </c>
      <c r="D776" s="85" t="s">
        <v>900</v>
      </c>
      <c r="E776" s="85" t="s">
        <v>1148</v>
      </c>
      <c r="F776" s="123"/>
      <c r="G776" s="123">
        <v>220000</v>
      </c>
      <c r="H776" s="87">
        <v>1096020.8999999999</v>
      </c>
      <c r="I776" s="35" t="s">
        <v>351</v>
      </c>
      <c r="J776" s="35" t="s">
        <v>740</v>
      </c>
      <c r="K776" s="35" t="s">
        <v>822</v>
      </c>
    </row>
    <row r="777" spans="1:11" s="69" customFormat="1" ht="25.5" customHeight="1">
      <c r="A777" s="40">
        <v>773</v>
      </c>
      <c r="B777" s="88" t="s">
        <v>1146</v>
      </c>
      <c r="C777" s="89" t="s">
        <v>1149</v>
      </c>
      <c r="D777" s="90" t="s">
        <v>900</v>
      </c>
      <c r="E777" s="90" t="s">
        <v>1150</v>
      </c>
      <c r="F777" s="124"/>
      <c r="G777" s="124">
        <v>22500</v>
      </c>
      <c r="H777" s="91">
        <v>1118520.8999999999</v>
      </c>
      <c r="I777" s="69" t="s">
        <v>1206</v>
      </c>
      <c r="J777" s="69" t="s">
        <v>1051</v>
      </c>
      <c r="K777" s="69" t="s">
        <v>823</v>
      </c>
    </row>
    <row r="778" spans="1:11" s="69" customFormat="1" ht="25.5" customHeight="1">
      <c r="A778" s="40">
        <v>774</v>
      </c>
      <c r="B778" s="88" t="s">
        <v>1146</v>
      </c>
      <c r="C778" s="89" t="s">
        <v>1149</v>
      </c>
      <c r="D778" s="90" t="s">
        <v>900</v>
      </c>
      <c r="E778" s="90" t="s">
        <v>1151</v>
      </c>
      <c r="F778" s="124"/>
      <c r="G778" s="124">
        <v>110000</v>
      </c>
      <c r="H778" s="91">
        <v>1228520.8999999999</v>
      </c>
      <c r="I778" s="69" t="s">
        <v>1207</v>
      </c>
      <c r="J778" s="69" t="s">
        <v>1051</v>
      </c>
      <c r="K778" s="69" t="s">
        <v>794</v>
      </c>
    </row>
    <row r="779" spans="1:11" ht="25.5" customHeight="1">
      <c r="A779" s="40">
        <v>775</v>
      </c>
      <c r="B779" s="83" t="s">
        <v>1146</v>
      </c>
      <c r="C779" s="84" t="s">
        <v>1152</v>
      </c>
      <c r="D779" s="85" t="s">
        <v>900</v>
      </c>
      <c r="E779" s="85" t="s">
        <v>1138</v>
      </c>
      <c r="F779" s="123"/>
      <c r="G779" s="123">
        <v>1000000</v>
      </c>
      <c r="H779" s="87">
        <v>2228520.9</v>
      </c>
      <c r="I779" s="35" t="s">
        <v>1047</v>
      </c>
      <c r="J779" s="35" t="s">
        <v>886</v>
      </c>
      <c r="K779" s="35" t="s">
        <v>794</v>
      </c>
    </row>
    <row r="780" spans="1:11" ht="25.5" customHeight="1">
      <c r="A780" s="40">
        <v>776</v>
      </c>
      <c r="B780" s="83" t="s">
        <v>1146</v>
      </c>
      <c r="C780" s="84" t="s">
        <v>1153</v>
      </c>
      <c r="D780" s="85" t="s">
        <v>1154</v>
      </c>
      <c r="E780" s="85" t="s">
        <v>1155</v>
      </c>
      <c r="F780" s="123">
        <v>1500000</v>
      </c>
      <c r="G780" s="123"/>
      <c r="H780" s="87">
        <v>728520.9</v>
      </c>
      <c r="I780" s="35" t="s">
        <v>1023</v>
      </c>
      <c r="J780" s="35" t="s">
        <v>1209</v>
      </c>
      <c r="K780" s="35" t="s">
        <v>823</v>
      </c>
    </row>
    <row r="781" spans="1:11" ht="25.5" customHeight="1">
      <c r="A781" s="40">
        <v>777</v>
      </c>
      <c r="B781" s="83" t="s">
        <v>1156</v>
      </c>
      <c r="C781" s="84" t="s">
        <v>1157</v>
      </c>
      <c r="D781" s="85" t="s">
        <v>900</v>
      </c>
      <c r="E781" s="85" t="s">
        <v>1158</v>
      </c>
      <c r="F781" s="123"/>
      <c r="G781" s="125">
        <v>200000</v>
      </c>
      <c r="H781" s="87">
        <v>928520.9</v>
      </c>
      <c r="I781" s="35" t="s">
        <v>715</v>
      </c>
      <c r="J781" s="35" t="s">
        <v>886</v>
      </c>
      <c r="K781" s="35" t="s">
        <v>794</v>
      </c>
    </row>
    <row r="782" spans="1:11" ht="25.5" customHeight="1">
      <c r="A782" s="40">
        <v>778</v>
      </c>
      <c r="B782" s="83" t="s">
        <v>1156</v>
      </c>
      <c r="C782" s="84" t="s">
        <v>1159</v>
      </c>
      <c r="D782" s="85" t="s">
        <v>900</v>
      </c>
      <c r="E782" s="85" t="s">
        <v>1160</v>
      </c>
      <c r="F782" s="123"/>
      <c r="G782" s="123">
        <v>250000</v>
      </c>
      <c r="H782" s="87">
        <v>1178520.8999999999</v>
      </c>
      <c r="I782" s="35" t="s">
        <v>715</v>
      </c>
      <c r="J782" s="35" t="s">
        <v>886</v>
      </c>
      <c r="K782" s="35" t="s">
        <v>794</v>
      </c>
    </row>
    <row r="783" spans="1:11" ht="25.5" customHeight="1">
      <c r="A783" s="40">
        <v>779</v>
      </c>
      <c r="B783" s="83" t="s">
        <v>1161</v>
      </c>
      <c r="C783" s="84" t="s">
        <v>1162</v>
      </c>
      <c r="D783" s="85" t="s">
        <v>900</v>
      </c>
      <c r="E783" s="85" t="s">
        <v>1163</v>
      </c>
      <c r="F783" s="123"/>
      <c r="G783" s="123">
        <v>550000</v>
      </c>
      <c r="H783" s="87">
        <v>1728520.9</v>
      </c>
      <c r="I783" s="35" t="s">
        <v>411</v>
      </c>
      <c r="J783" s="35" t="s">
        <v>886</v>
      </c>
    </row>
    <row r="784" spans="1:11" ht="25.5" customHeight="1">
      <c r="A784" s="40">
        <v>780</v>
      </c>
      <c r="B784" s="83" t="s">
        <v>1161</v>
      </c>
      <c r="C784" s="84" t="s">
        <v>1164</v>
      </c>
      <c r="D784" s="85" t="s">
        <v>900</v>
      </c>
      <c r="E784" s="85" t="s">
        <v>1165</v>
      </c>
      <c r="F784" s="123">
        <v>550000</v>
      </c>
      <c r="G784" s="123"/>
      <c r="H784" s="87">
        <v>1178520.8999999999</v>
      </c>
      <c r="I784" s="35" t="s">
        <v>411</v>
      </c>
      <c r="J784" s="35" t="s">
        <v>62</v>
      </c>
      <c r="K784" s="35" t="s">
        <v>794</v>
      </c>
    </row>
    <row r="785" spans="1:24" ht="25.5" customHeight="1">
      <c r="A785" s="40">
        <v>781</v>
      </c>
      <c r="B785" s="83" t="s">
        <v>1166</v>
      </c>
      <c r="C785" s="84" t="s">
        <v>1167</v>
      </c>
      <c r="D785" s="85" t="s">
        <v>900</v>
      </c>
      <c r="E785" s="85" t="s">
        <v>1163</v>
      </c>
      <c r="F785" s="123"/>
      <c r="G785" s="123">
        <v>550000</v>
      </c>
      <c r="H785" s="87">
        <v>1728520.9</v>
      </c>
      <c r="I785" s="35" t="s">
        <v>411</v>
      </c>
      <c r="J785" s="35" t="s">
        <v>886</v>
      </c>
      <c r="K785" s="35" t="s">
        <v>794</v>
      </c>
      <c r="Q785" s="56"/>
      <c r="R785" s="83"/>
      <c r="S785" s="84"/>
      <c r="T785" s="85"/>
      <c r="U785" s="85"/>
      <c r="V785" s="92"/>
      <c r="W785" s="86"/>
      <c r="X785" s="87"/>
    </row>
    <row r="786" spans="1:24" s="69" customFormat="1" ht="25.5" customHeight="1">
      <c r="A786" s="40">
        <v>782</v>
      </c>
      <c r="B786" s="88" t="s">
        <v>1166</v>
      </c>
      <c r="C786" s="89" t="s">
        <v>1168</v>
      </c>
      <c r="D786" s="90" t="s">
        <v>900</v>
      </c>
      <c r="E786" s="90" t="s">
        <v>1169</v>
      </c>
      <c r="F786" s="124">
        <v>192500</v>
      </c>
      <c r="G786" s="124"/>
      <c r="H786" s="91">
        <v>1536020.9</v>
      </c>
      <c r="I786" s="69" t="s">
        <v>414</v>
      </c>
      <c r="J786" s="69" t="s">
        <v>1033</v>
      </c>
      <c r="K786" s="69" t="s">
        <v>794</v>
      </c>
      <c r="Q786" s="106"/>
      <c r="R786" s="88"/>
      <c r="S786" s="89"/>
      <c r="T786" s="90"/>
      <c r="U786" s="90"/>
      <c r="V786" s="89"/>
      <c r="W786" s="91"/>
      <c r="X786" s="91"/>
    </row>
    <row r="787" spans="1:24" s="69" customFormat="1" ht="25.5" customHeight="1">
      <c r="A787" s="40">
        <v>783</v>
      </c>
      <c r="B787" s="88" t="s">
        <v>1166</v>
      </c>
      <c r="C787" s="89" t="s">
        <v>1170</v>
      </c>
      <c r="D787" s="90" t="s">
        <v>900</v>
      </c>
      <c r="E787" s="90" t="s">
        <v>1171</v>
      </c>
      <c r="F787" s="124"/>
      <c r="G787" s="124">
        <v>10000</v>
      </c>
      <c r="H787" s="91">
        <v>1546020.9</v>
      </c>
      <c r="I787" s="69" t="s">
        <v>1125</v>
      </c>
      <c r="J787" s="69" t="s">
        <v>1210</v>
      </c>
      <c r="K787" s="69" t="s">
        <v>823</v>
      </c>
      <c r="Q787" s="106"/>
      <c r="R787" s="88"/>
      <c r="S787" s="89"/>
      <c r="T787" s="90"/>
      <c r="U787" s="90"/>
      <c r="V787" s="89"/>
      <c r="W787" s="91"/>
      <c r="X787" s="91"/>
    </row>
    <row r="788" spans="1:24" ht="25.5" customHeight="1">
      <c r="A788" s="40">
        <v>784</v>
      </c>
      <c r="B788" s="107" t="s">
        <v>1166</v>
      </c>
      <c r="C788" s="92" t="s">
        <v>1172</v>
      </c>
      <c r="D788" s="108" t="s">
        <v>900</v>
      </c>
      <c r="E788" s="108" t="s">
        <v>1173</v>
      </c>
      <c r="F788" s="123">
        <v>20200</v>
      </c>
      <c r="G788" s="123"/>
      <c r="H788" s="86">
        <v>1525820.9</v>
      </c>
      <c r="I788" s="35" t="s">
        <v>715</v>
      </c>
      <c r="J788" s="35" t="s">
        <v>603</v>
      </c>
    </row>
    <row r="789" spans="1:24" ht="25.5" customHeight="1">
      <c r="A789" s="40">
        <v>785</v>
      </c>
      <c r="B789" s="107" t="s">
        <v>1166</v>
      </c>
      <c r="C789" s="92" t="s">
        <v>1174</v>
      </c>
      <c r="D789" s="108" t="s">
        <v>900</v>
      </c>
      <c r="E789" s="108" t="s">
        <v>1175</v>
      </c>
      <c r="F789" s="123">
        <v>20400</v>
      </c>
      <c r="G789" s="123"/>
      <c r="H789" s="86">
        <v>1505420.9</v>
      </c>
      <c r="I789" s="35" t="s">
        <v>744</v>
      </c>
      <c r="J789" s="35" t="s">
        <v>603</v>
      </c>
    </row>
    <row r="790" spans="1:24" ht="25.5" customHeight="1">
      <c r="A790" s="40">
        <v>786</v>
      </c>
      <c r="B790" s="83" t="s">
        <v>1176</v>
      </c>
      <c r="C790" s="84" t="s">
        <v>1177</v>
      </c>
      <c r="D790" s="85" t="s">
        <v>900</v>
      </c>
      <c r="E790" s="85" t="s">
        <v>1178</v>
      </c>
      <c r="F790" s="123">
        <v>29700</v>
      </c>
      <c r="G790" s="123"/>
      <c r="H790" s="181">
        <v>1475720.9</v>
      </c>
      <c r="I790" s="34" t="s">
        <v>149</v>
      </c>
      <c r="J790" s="34" t="s">
        <v>603</v>
      </c>
      <c r="K790" s="34"/>
      <c r="P790" s="56"/>
      <c r="Q790" s="83"/>
      <c r="R790" s="84"/>
      <c r="S790" s="85"/>
      <c r="T790" s="85"/>
      <c r="U790" s="86"/>
      <c r="V790" s="86"/>
      <c r="W790" s="87"/>
    </row>
    <row r="791" spans="1:24" s="69" customFormat="1" ht="25.5" customHeight="1">
      <c r="A791" s="40">
        <v>787</v>
      </c>
      <c r="B791" s="88" t="s">
        <v>1179</v>
      </c>
      <c r="C791" s="89" t="s">
        <v>1180</v>
      </c>
      <c r="D791" s="90" t="s">
        <v>900</v>
      </c>
      <c r="E791" s="90" t="s">
        <v>1181</v>
      </c>
      <c r="F791" s="124"/>
      <c r="G791" s="124">
        <v>439800</v>
      </c>
      <c r="H791" s="91">
        <v>1915520.9</v>
      </c>
      <c r="I791" s="69" t="s">
        <v>1208</v>
      </c>
      <c r="J791" s="69" t="s">
        <v>1211</v>
      </c>
      <c r="K791" s="69" t="s">
        <v>794</v>
      </c>
      <c r="P791" s="106"/>
      <c r="Q791" s="88"/>
      <c r="R791" s="89"/>
      <c r="S791" s="90"/>
      <c r="T791" s="90"/>
      <c r="U791" s="91"/>
      <c r="V791" s="91"/>
      <c r="W791" s="91"/>
    </row>
    <row r="792" spans="1:24" ht="25.5" customHeight="1">
      <c r="A792" s="40">
        <v>788</v>
      </c>
      <c r="B792" s="83" t="s">
        <v>1179</v>
      </c>
      <c r="C792" s="84" t="s">
        <v>1182</v>
      </c>
      <c r="D792" s="85" t="s">
        <v>900</v>
      </c>
      <c r="E792" s="85" t="s">
        <v>1183</v>
      </c>
      <c r="F792" s="123"/>
      <c r="G792" s="125">
        <v>200000</v>
      </c>
      <c r="H792" s="87">
        <v>2115520.9</v>
      </c>
      <c r="I792" s="35" t="s">
        <v>86</v>
      </c>
      <c r="J792" s="35" t="s">
        <v>886</v>
      </c>
      <c r="K792" s="35" t="s">
        <v>794</v>
      </c>
      <c r="P792" s="56"/>
      <c r="Q792" s="83"/>
      <c r="R792" s="84"/>
      <c r="S792" s="85"/>
      <c r="T792" s="85"/>
      <c r="U792" s="86"/>
      <c r="V792" s="86"/>
      <c r="W792" s="87"/>
    </row>
    <row r="793" spans="1:24" ht="25.5" customHeight="1">
      <c r="A793" s="40">
        <v>789</v>
      </c>
      <c r="B793" s="83" t="s">
        <v>1179</v>
      </c>
      <c r="C793" s="84" t="s">
        <v>1184</v>
      </c>
      <c r="D793" s="85" t="s">
        <v>900</v>
      </c>
      <c r="E793" s="85" t="s">
        <v>1185</v>
      </c>
      <c r="F793" s="123"/>
      <c r="G793" s="123">
        <v>300000</v>
      </c>
      <c r="H793" s="87">
        <v>2415520.9</v>
      </c>
      <c r="I793" s="35" t="s">
        <v>411</v>
      </c>
      <c r="J793" s="35" t="s">
        <v>886</v>
      </c>
      <c r="P793" s="56"/>
      <c r="Q793" s="83"/>
      <c r="R793" s="84"/>
      <c r="S793" s="85"/>
      <c r="T793" s="85"/>
      <c r="U793" s="86"/>
      <c r="V793" s="86"/>
      <c r="W793" s="87"/>
    </row>
    <row r="794" spans="1:24" ht="25.5" customHeight="1">
      <c r="A794" s="40">
        <v>790</v>
      </c>
      <c r="B794" s="83" t="s">
        <v>1179</v>
      </c>
      <c r="C794" s="84" t="s">
        <v>1186</v>
      </c>
      <c r="D794" s="85" t="s">
        <v>900</v>
      </c>
      <c r="E794" s="85" t="s">
        <v>1187</v>
      </c>
      <c r="F794" s="123">
        <v>1000000</v>
      </c>
      <c r="G794" s="123"/>
      <c r="H794" s="87">
        <v>1415520.9</v>
      </c>
      <c r="I794" s="35" t="s">
        <v>1023</v>
      </c>
      <c r="J794" s="35" t="s">
        <v>1209</v>
      </c>
      <c r="P794" s="56"/>
      <c r="Q794" s="83"/>
      <c r="R794" s="84"/>
      <c r="S794" s="85"/>
      <c r="T794" s="85"/>
      <c r="U794" s="86"/>
      <c r="V794" s="86"/>
      <c r="W794" s="87"/>
    </row>
    <row r="795" spans="1:24" ht="25.5" customHeight="1">
      <c r="A795" s="40">
        <v>791</v>
      </c>
      <c r="B795" s="83" t="s">
        <v>1179</v>
      </c>
      <c r="C795" s="84" t="s">
        <v>1188</v>
      </c>
      <c r="D795" s="85" t="s">
        <v>900</v>
      </c>
      <c r="E795" s="85" t="s">
        <v>1189</v>
      </c>
      <c r="F795" s="123">
        <v>1000000</v>
      </c>
      <c r="G795" s="123"/>
      <c r="H795" s="87">
        <v>415520.9</v>
      </c>
      <c r="I795" s="35" t="s">
        <v>1023</v>
      </c>
      <c r="J795" s="35" t="s">
        <v>1209</v>
      </c>
      <c r="K795" s="35" t="s">
        <v>794</v>
      </c>
    </row>
    <row r="796" spans="1:24" ht="25.5" customHeight="1">
      <c r="A796" s="40">
        <v>792</v>
      </c>
      <c r="B796" s="83" t="s">
        <v>1190</v>
      </c>
      <c r="C796" s="84" t="s">
        <v>1191</v>
      </c>
      <c r="D796" s="85" t="s">
        <v>900</v>
      </c>
      <c r="E796" s="85" t="s">
        <v>1192</v>
      </c>
      <c r="F796" s="123"/>
      <c r="G796" s="125">
        <v>500000</v>
      </c>
      <c r="H796" s="87">
        <v>915520.9</v>
      </c>
      <c r="I796" s="35" t="s">
        <v>352</v>
      </c>
      <c r="J796" s="35" t="s">
        <v>740</v>
      </c>
      <c r="K796" s="35" t="s">
        <v>794</v>
      </c>
    </row>
    <row r="797" spans="1:24" ht="25.5" customHeight="1">
      <c r="A797" s="40">
        <v>793</v>
      </c>
      <c r="B797" s="83" t="s">
        <v>1190</v>
      </c>
      <c r="C797" s="84" t="s">
        <v>1193</v>
      </c>
      <c r="D797" s="85" t="s">
        <v>900</v>
      </c>
      <c r="E797" s="85" t="s">
        <v>1194</v>
      </c>
      <c r="F797" s="123">
        <v>750000</v>
      </c>
      <c r="G797" s="123"/>
      <c r="H797" s="87">
        <v>165520.9</v>
      </c>
      <c r="I797" s="35" t="s">
        <v>1023</v>
      </c>
      <c r="J797" s="35" t="s">
        <v>1209</v>
      </c>
    </row>
    <row r="798" spans="1:24" ht="25.5" customHeight="1">
      <c r="A798" s="40">
        <v>794</v>
      </c>
      <c r="B798" s="83" t="s">
        <v>1190</v>
      </c>
      <c r="C798" s="84" t="s">
        <v>1195</v>
      </c>
      <c r="D798" s="85" t="s">
        <v>900</v>
      </c>
      <c r="E798" s="85" t="s">
        <v>1196</v>
      </c>
      <c r="F798" s="123"/>
      <c r="G798" s="123">
        <v>700000</v>
      </c>
      <c r="H798" s="87">
        <v>865520.9</v>
      </c>
      <c r="I798" s="35" t="s">
        <v>870</v>
      </c>
      <c r="J798" s="35" t="s">
        <v>1037</v>
      </c>
    </row>
    <row r="799" spans="1:24" s="69" customFormat="1" ht="25.5" customHeight="1">
      <c r="A799" s="40">
        <v>795</v>
      </c>
      <c r="B799" s="88" t="s">
        <v>1190</v>
      </c>
      <c r="C799" s="89" t="s">
        <v>1197</v>
      </c>
      <c r="D799" s="90" t="s">
        <v>900</v>
      </c>
      <c r="E799" s="90" t="s">
        <v>1198</v>
      </c>
      <c r="F799" s="124">
        <v>440000</v>
      </c>
      <c r="G799" s="124"/>
      <c r="H799" s="91">
        <v>425520.9</v>
      </c>
      <c r="I799" s="69" t="s">
        <v>104</v>
      </c>
      <c r="J799" s="69" t="s">
        <v>1212</v>
      </c>
      <c r="K799" s="69" t="s">
        <v>794</v>
      </c>
      <c r="Q799" s="109"/>
      <c r="R799" s="88"/>
      <c r="S799" s="89"/>
      <c r="T799" s="90"/>
      <c r="U799" s="90"/>
      <c r="V799" s="91"/>
      <c r="W799" s="91"/>
      <c r="X799" s="91"/>
    </row>
    <row r="800" spans="1:24" s="69" customFormat="1" ht="25.5" customHeight="1">
      <c r="A800" s="40">
        <v>796</v>
      </c>
      <c r="B800" s="88" t="s">
        <v>1190</v>
      </c>
      <c r="C800" s="89" t="s">
        <v>1199</v>
      </c>
      <c r="D800" s="90" t="s">
        <v>900</v>
      </c>
      <c r="E800" s="90" t="s">
        <v>1200</v>
      </c>
      <c r="F800" s="124">
        <v>300000</v>
      </c>
      <c r="G800" s="124"/>
      <c r="H800" s="91">
        <v>125520.9</v>
      </c>
      <c r="I800" s="69" t="s">
        <v>748</v>
      </c>
      <c r="J800" s="69" t="s">
        <v>1212</v>
      </c>
      <c r="K800" s="69" t="s">
        <v>794</v>
      </c>
    </row>
    <row r="801" spans="1:23" ht="25.5" customHeight="1">
      <c r="A801" s="40">
        <v>797</v>
      </c>
      <c r="B801" s="83" t="s">
        <v>1201</v>
      </c>
      <c r="C801" s="84" t="s">
        <v>1202</v>
      </c>
      <c r="D801" s="85" t="s">
        <v>900</v>
      </c>
      <c r="E801" s="85" t="s">
        <v>1203</v>
      </c>
      <c r="F801" s="123"/>
      <c r="G801" s="123">
        <v>50000</v>
      </c>
      <c r="H801" s="87">
        <v>175520.9</v>
      </c>
      <c r="I801" s="35" t="s">
        <v>870</v>
      </c>
      <c r="J801" s="35" t="s">
        <v>1037</v>
      </c>
    </row>
    <row r="802" spans="1:23" ht="25.5" customHeight="1">
      <c r="A802" s="40">
        <v>798</v>
      </c>
      <c r="B802" s="83" t="s">
        <v>1201</v>
      </c>
      <c r="C802" s="84" t="s">
        <v>1204</v>
      </c>
      <c r="D802" s="85" t="s">
        <v>900</v>
      </c>
      <c r="E802" s="85" t="s">
        <v>1205</v>
      </c>
      <c r="F802" s="123">
        <v>131590</v>
      </c>
      <c r="G802" s="123"/>
      <c r="H802" s="87">
        <v>43930.9</v>
      </c>
      <c r="I802" s="35" t="s">
        <v>1023</v>
      </c>
      <c r="J802" s="35" t="s">
        <v>1209</v>
      </c>
      <c r="K802" s="35" t="s">
        <v>794</v>
      </c>
    </row>
    <row r="803" spans="1:23" ht="25.5" customHeight="1">
      <c r="A803" s="40">
        <v>799</v>
      </c>
      <c r="B803" s="94" t="s">
        <v>1215</v>
      </c>
      <c r="C803" s="84" t="s">
        <v>1216</v>
      </c>
      <c r="D803" s="85" t="s">
        <v>900</v>
      </c>
      <c r="E803" s="85" t="s">
        <v>1217</v>
      </c>
      <c r="F803" s="123"/>
      <c r="G803" s="123">
        <v>2000000</v>
      </c>
      <c r="H803" s="87">
        <v>2043930.9</v>
      </c>
      <c r="I803" s="35" t="s">
        <v>870</v>
      </c>
      <c r="J803" s="35" t="s">
        <v>822</v>
      </c>
    </row>
    <row r="804" spans="1:23" ht="25.5" customHeight="1">
      <c r="A804" s="40">
        <v>800</v>
      </c>
      <c r="B804" s="94" t="s">
        <v>1215</v>
      </c>
      <c r="C804" s="84" t="s">
        <v>1218</v>
      </c>
      <c r="D804" s="85" t="s">
        <v>900</v>
      </c>
      <c r="E804" s="85" t="s">
        <v>1219</v>
      </c>
      <c r="F804" s="123">
        <v>1000000</v>
      </c>
      <c r="G804" s="123"/>
      <c r="H804" s="87">
        <v>1043930.9</v>
      </c>
      <c r="I804" s="35" t="s">
        <v>86</v>
      </c>
      <c r="J804" s="35" t="s">
        <v>1285</v>
      </c>
    </row>
    <row r="805" spans="1:23" ht="25.5" customHeight="1">
      <c r="A805" s="40">
        <v>801</v>
      </c>
      <c r="B805" s="94" t="s">
        <v>1215</v>
      </c>
      <c r="C805" s="84" t="s">
        <v>1220</v>
      </c>
      <c r="D805" s="85" t="s">
        <v>900</v>
      </c>
      <c r="E805" s="85" t="s">
        <v>1221</v>
      </c>
      <c r="F805" s="123">
        <v>1000000</v>
      </c>
      <c r="G805" s="123"/>
      <c r="H805" s="87">
        <v>43930.9</v>
      </c>
      <c r="I805" s="35" t="s">
        <v>2</v>
      </c>
      <c r="J805" s="35" t="s">
        <v>822</v>
      </c>
    </row>
    <row r="806" spans="1:23" ht="25.5" customHeight="1">
      <c r="A806" s="40">
        <v>802</v>
      </c>
      <c r="B806" s="94" t="s">
        <v>1215</v>
      </c>
      <c r="C806" s="84" t="s">
        <v>1222</v>
      </c>
      <c r="D806" s="85" t="s">
        <v>900</v>
      </c>
      <c r="E806" s="85" t="s">
        <v>1223</v>
      </c>
      <c r="F806" s="123"/>
      <c r="G806" s="123">
        <v>800000</v>
      </c>
      <c r="H806" s="87">
        <v>843930.9</v>
      </c>
      <c r="I806" s="35" t="s">
        <v>870</v>
      </c>
      <c r="J806" s="35" t="s">
        <v>822</v>
      </c>
    </row>
    <row r="807" spans="1:23" ht="25.5" customHeight="1">
      <c r="A807" s="40">
        <v>803</v>
      </c>
      <c r="B807" s="94" t="s">
        <v>1215</v>
      </c>
      <c r="C807" s="84" t="s">
        <v>1224</v>
      </c>
      <c r="D807" s="85" t="s">
        <v>900</v>
      </c>
      <c r="E807" s="85" t="s">
        <v>1225</v>
      </c>
      <c r="F807" s="123">
        <v>300000</v>
      </c>
      <c r="G807" s="123"/>
      <c r="H807" s="87">
        <v>543930.9</v>
      </c>
      <c r="I807" s="35" t="s">
        <v>86</v>
      </c>
      <c r="J807" s="35" t="s">
        <v>1285</v>
      </c>
    </row>
    <row r="808" spans="1:23" ht="25.5" customHeight="1">
      <c r="A808" s="40">
        <v>804</v>
      </c>
      <c r="B808" s="94" t="s">
        <v>1215</v>
      </c>
      <c r="C808" s="84" t="s">
        <v>1226</v>
      </c>
      <c r="D808" s="85" t="s">
        <v>900</v>
      </c>
      <c r="E808" s="85" t="s">
        <v>1227</v>
      </c>
      <c r="F808" s="123"/>
      <c r="G808" s="123">
        <v>1000000</v>
      </c>
      <c r="H808" s="87">
        <v>1543930.9</v>
      </c>
      <c r="I808" s="35" t="s">
        <v>870</v>
      </c>
      <c r="J808" s="35" t="s">
        <v>822</v>
      </c>
    </row>
    <row r="809" spans="1:23" ht="25.5" customHeight="1">
      <c r="A809" s="40">
        <v>805</v>
      </c>
      <c r="B809" s="94" t="s">
        <v>1215</v>
      </c>
      <c r="C809" s="84" t="s">
        <v>1228</v>
      </c>
      <c r="D809" s="85" t="s">
        <v>900</v>
      </c>
      <c r="E809" s="85" t="s">
        <v>1229</v>
      </c>
      <c r="F809" s="123">
        <v>1000000</v>
      </c>
      <c r="G809" s="123"/>
      <c r="H809" s="87">
        <v>543930.9</v>
      </c>
      <c r="I809" s="35" t="s">
        <v>2</v>
      </c>
      <c r="J809" s="35" t="s">
        <v>794</v>
      </c>
    </row>
    <row r="810" spans="1:23" ht="25.5" customHeight="1">
      <c r="A810" s="40">
        <v>806</v>
      </c>
      <c r="B810" s="94" t="s">
        <v>1215</v>
      </c>
      <c r="C810" s="84" t="s">
        <v>1230</v>
      </c>
      <c r="D810" s="85" t="s">
        <v>900</v>
      </c>
      <c r="E810" s="85" t="s">
        <v>1231</v>
      </c>
      <c r="F810" s="123">
        <v>66000</v>
      </c>
      <c r="G810" s="123"/>
      <c r="H810" s="87">
        <v>477930.9</v>
      </c>
      <c r="I810" s="35" t="s">
        <v>887</v>
      </c>
      <c r="J810" s="35" t="s">
        <v>3147</v>
      </c>
      <c r="K810" s="35" t="s">
        <v>794</v>
      </c>
      <c r="P810" s="93"/>
      <c r="Q810" s="83"/>
      <c r="R810" s="84"/>
      <c r="S810" s="85"/>
      <c r="T810" s="85"/>
      <c r="U810" s="86"/>
      <c r="V810" s="86"/>
      <c r="W810" s="87"/>
    </row>
    <row r="811" spans="1:23" ht="25.5" customHeight="1">
      <c r="A811" s="40">
        <v>807</v>
      </c>
      <c r="B811" s="94" t="s">
        <v>1215</v>
      </c>
      <c r="C811" s="84" t="s">
        <v>1232</v>
      </c>
      <c r="D811" s="85" t="s">
        <v>900</v>
      </c>
      <c r="E811" s="85" t="s">
        <v>1233</v>
      </c>
      <c r="F811" s="123">
        <v>305000</v>
      </c>
      <c r="G811" s="123"/>
      <c r="H811" s="87">
        <v>172930.9</v>
      </c>
      <c r="I811" s="35" t="s">
        <v>86</v>
      </c>
      <c r="J811" s="35" t="s">
        <v>1285</v>
      </c>
    </row>
    <row r="812" spans="1:23" s="69" customFormat="1" ht="25.5" customHeight="1">
      <c r="A812" s="40">
        <v>808</v>
      </c>
      <c r="B812" s="119" t="s">
        <v>1234</v>
      </c>
      <c r="C812" s="89" t="s">
        <v>1235</v>
      </c>
      <c r="D812" s="90" t="s">
        <v>900</v>
      </c>
      <c r="E812" s="90" t="s">
        <v>1236</v>
      </c>
      <c r="F812" s="124"/>
      <c r="G812" s="124">
        <v>1</v>
      </c>
      <c r="H812" s="91">
        <v>172931.9</v>
      </c>
      <c r="I812" s="69" t="s">
        <v>607</v>
      </c>
      <c r="J812" s="69" t="s">
        <v>1253</v>
      </c>
      <c r="K812" s="69" t="s">
        <v>830</v>
      </c>
    </row>
    <row r="813" spans="1:23" s="69" customFormat="1" ht="25.5" customHeight="1">
      <c r="A813" s="40">
        <v>809</v>
      </c>
      <c r="B813" s="119" t="s">
        <v>1234</v>
      </c>
      <c r="C813" s="89" t="s">
        <v>1237</v>
      </c>
      <c r="D813" s="90" t="s">
        <v>900</v>
      </c>
      <c r="E813" s="90" t="s">
        <v>1238</v>
      </c>
      <c r="F813" s="124"/>
      <c r="G813" s="124">
        <v>450000</v>
      </c>
      <c r="H813" s="91">
        <v>622931.9</v>
      </c>
      <c r="I813" s="69" t="s">
        <v>607</v>
      </c>
      <c r="J813" s="69" t="s">
        <v>1253</v>
      </c>
      <c r="K813" s="69" t="s">
        <v>794</v>
      </c>
    </row>
    <row r="814" spans="1:23" ht="25.5" customHeight="1">
      <c r="A814" s="40">
        <v>810</v>
      </c>
      <c r="B814" s="94" t="s">
        <v>1234</v>
      </c>
      <c r="C814" s="84" t="s">
        <v>1239</v>
      </c>
      <c r="D814" s="85" t="s">
        <v>900</v>
      </c>
      <c r="E814" s="85" t="s">
        <v>1240</v>
      </c>
      <c r="F814" s="123">
        <v>200000</v>
      </c>
      <c r="G814" s="123"/>
      <c r="H814" s="87">
        <v>422931.9</v>
      </c>
      <c r="I814" s="35" t="s">
        <v>870</v>
      </c>
      <c r="J814" s="35" t="s">
        <v>794</v>
      </c>
      <c r="K814" s="35" t="s">
        <v>794</v>
      </c>
    </row>
    <row r="815" spans="1:23" s="69" customFormat="1" ht="25.5" customHeight="1">
      <c r="A815" s="40">
        <v>811</v>
      </c>
      <c r="B815" s="119" t="s">
        <v>1241</v>
      </c>
      <c r="C815" s="89" t="s">
        <v>1242</v>
      </c>
      <c r="D815" s="90" t="s">
        <v>900</v>
      </c>
      <c r="E815" s="90" t="s">
        <v>1243</v>
      </c>
      <c r="F815" s="124">
        <v>100000</v>
      </c>
      <c r="G815" s="124"/>
      <c r="H815" s="91">
        <v>322931.90000000002</v>
      </c>
      <c r="I815" s="69" t="s">
        <v>128</v>
      </c>
      <c r="J815" s="69" t="s">
        <v>1252</v>
      </c>
      <c r="K815" s="69" t="s">
        <v>794</v>
      </c>
    </row>
    <row r="816" spans="1:23" ht="25.5" customHeight="1">
      <c r="A816" s="40">
        <v>812</v>
      </c>
      <c r="B816" s="94" t="s">
        <v>1244</v>
      </c>
      <c r="C816" s="84" t="s">
        <v>1245</v>
      </c>
      <c r="D816" s="85" t="s">
        <v>900</v>
      </c>
      <c r="E816" s="85" t="s">
        <v>1246</v>
      </c>
      <c r="F816" s="123"/>
      <c r="G816" s="123">
        <v>134000</v>
      </c>
      <c r="H816" s="87">
        <v>456931.9</v>
      </c>
      <c r="I816" s="35" t="s">
        <v>349</v>
      </c>
      <c r="J816" s="35" t="s">
        <v>740</v>
      </c>
      <c r="K816" s="35" t="s">
        <v>794</v>
      </c>
      <c r="P816" s="95"/>
      <c r="Q816" s="78"/>
      <c r="R816" s="79"/>
      <c r="S816" s="79"/>
      <c r="T816" s="79"/>
      <c r="U816" s="81"/>
      <c r="V816" s="80"/>
      <c r="W816" s="82"/>
    </row>
    <row r="817" spans="1:19" s="69" customFormat="1" ht="25.5" customHeight="1">
      <c r="A817" s="40">
        <v>813</v>
      </c>
      <c r="B817" s="119" t="s">
        <v>1244</v>
      </c>
      <c r="C817" s="89" t="s">
        <v>1247</v>
      </c>
      <c r="D817" s="90" t="s">
        <v>900</v>
      </c>
      <c r="E817" s="90" t="s">
        <v>1248</v>
      </c>
      <c r="F817" s="124"/>
      <c r="G817" s="124">
        <v>67889</v>
      </c>
      <c r="H817" s="91">
        <v>524820.9</v>
      </c>
      <c r="I817" s="69" t="s">
        <v>147</v>
      </c>
      <c r="J817" s="69" t="s">
        <v>897</v>
      </c>
      <c r="K817" s="69" t="s">
        <v>823</v>
      </c>
    </row>
    <row r="818" spans="1:19" ht="25.5" customHeight="1">
      <c r="A818" s="40">
        <v>814</v>
      </c>
      <c r="B818" s="94" t="s">
        <v>1249</v>
      </c>
      <c r="C818" s="84" t="s">
        <v>1250</v>
      </c>
      <c r="D818" s="85" t="s">
        <v>900</v>
      </c>
      <c r="E818" s="85" t="s">
        <v>1251</v>
      </c>
      <c r="F818" s="123"/>
      <c r="G818" s="126">
        <v>270000</v>
      </c>
      <c r="H818" s="87">
        <v>794820.9</v>
      </c>
      <c r="I818" s="35" t="s">
        <v>349</v>
      </c>
      <c r="J818" s="35" t="s">
        <v>740</v>
      </c>
      <c r="K818" s="35" t="s">
        <v>794</v>
      </c>
    </row>
    <row r="819" spans="1:19" ht="25.5" customHeight="1">
      <c r="A819" s="40">
        <v>815</v>
      </c>
      <c r="B819" s="96" t="s">
        <v>1254</v>
      </c>
      <c r="C819" s="84" t="s">
        <v>1255</v>
      </c>
      <c r="D819" s="85" t="s">
        <v>900</v>
      </c>
      <c r="E819" s="85" t="s">
        <v>1256</v>
      </c>
      <c r="F819" s="127">
        <v>30000</v>
      </c>
      <c r="G819" s="152"/>
      <c r="H819" s="98">
        <v>764820.9</v>
      </c>
      <c r="I819" s="35" t="s">
        <v>715</v>
      </c>
      <c r="J819" s="35" t="s">
        <v>603</v>
      </c>
    </row>
    <row r="820" spans="1:19" ht="25.5" customHeight="1">
      <c r="A820" s="40">
        <v>816</v>
      </c>
      <c r="B820" s="96" t="s">
        <v>1257</v>
      </c>
      <c r="C820" s="84" t="s">
        <v>1258</v>
      </c>
      <c r="D820" s="85" t="s">
        <v>900</v>
      </c>
      <c r="E820" s="85" t="s">
        <v>1259</v>
      </c>
      <c r="F820" s="127">
        <v>10000</v>
      </c>
      <c r="G820" s="152"/>
      <c r="H820" s="98">
        <v>754820.9</v>
      </c>
      <c r="I820" s="35" t="s">
        <v>744</v>
      </c>
      <c r="J820" s="35" t="s">
        <v>603</v>
      </c>
    </row>
    <row r="821" spans="1:19" ht="25.5" customHeight="1">
      <c r="A821" s="40">
        <v>817</v>
      </c>
      <c r="B821" s="96" t="s">
        <v>1260</v>
      </c>
      <c r="C821" s="84" t="s">
        <v>1261</v>
      </c>
      <c r="D821" s="85" t="s">
        <v>900</v>
      </c>
      <c r="E821" s="85" t="s">
        <v>1262</v>
      </c>
      <c r="F821" s="127">
        <v>50000</v>
      </c>
      <c r="G821" s="152"/>
      <c r="H821" s="98">
        <v>704820.9</v>
      </c>
      <c r="I821" s="35" t="s">
        <v>86</v>
      </c>
      <c r="J821" s="35" t="s">
        <v>62</v>
      </c>
    </row>
    <row r="822" spans="1:19" ht="25.5" customHeight="1">
      <c r="A822" s="40">
        <v>818</v>
      </c>
      <c r="B822" s="177" t="s">
        <v>1263</v>
      </c>
      <c r="C822" s="108" t="s">
        <v>1264</v>
      </c>
      <c r="D822" s="108" t="s">
        <v>900</v>
      </c>
      <c r="E822" s="108" t="s">
        <v>1265</v>
      </c>
      <c r="F822" s="178">
        <v>30000</v>
      </c>
      <c r="G822" s="145" t="s">
        <v>159</v>
      </c>
      <c r="H822" s="180">
        <v>674820.9</v>
      </c>
      <c r="I822" s="34" t="s">
        <v>365</v>
      </c>
      <c r="J822" s="34" t="s">
        <v>603</v>
      </c>
      <c r="K822" s="34"/>
    </row>
    <row r="823" spans="1:19" s="69" customFormat="1" ht="25.5" customHeight="1">
      <c r="A823" s="40">
        <v>819</v>
      </c>
      <c r="B823" s="110" t="s">
        <v>1266</v>
      </c>
      <c r="C823" s="89" t="s">
        <v>1267</v>
      </c>
      <c r="D823" s="90" t="s">
        <v>900</v>
      </c>
      <c r="E823" s="90" t="s">
        <v>1268</v>
      </c>
      <c r="F823" s="124"/>
      <c r="G823" s="128">
        <v>560000</v>
      </c>
      <c r="H823" s="91">
        <v>1234820.8999999999</v>
      </c>
      <c r="I823" s="69" t="s">
        <v>2192</v>
      </c>
      <c r="J823" s="69" t="s">
        <v>1272</v>
      </c>
    </row>
    <row r="824" spans="1:19" s="69" customFormat="1" ht="25.5" customHeight="1">
      <c r="A824" s="40">
        <v>820</v>
      </c>
      <c r="B824" s="110" t="s">
        <v>1269</v>
      </c>
      <c r="C824" s="89" t="s">
        <v>1270</v>
      </c>
      <c r="D824" s="90" t="s">
        <v>900</v>
      </c>
      <c r="E824" s="90" t="s">
        <v>1271</v>
      </c>
      <c r="F824" s="129">
        <v>500000</v>
      </c>
      <c r="G824" s="151"/>
      <c r="H824" s="113">
        <v>734820.9</v>
      </c>
      <c r="I824" s="69" t="s">
        <v>2193</v>
      </c>
    </row>
    <row r="825" spans="1:19" ht="25.5" customHeight="1">
      <c r="A825" s="40">
        <v>821</v>
      </c>
      <c r="B825" s="96" t="s">
        <v>1278</v>
      </c>
      <c r="C825" s="84" t="s">
        <v>1279</v>
      </c>
      <c r="D825" s="85" t="s">
        <v>900</v>
      </c>
      <c r="E825" s="85" t="s">
        <v>1280</v>
      </c>
      <c r="F825" s="127">
        <v>29700</v>
      </c>
      <c r="G825" s="152"/>
      <c r="H825" s="182">
        <v>705120.9</v>
      </c>
      <c r="I825" s="34" t="s">
        <v>149</v>
      </c>
      <c r="J825" s="34" t="s">
        <v>603</v>
      </c>
      <c r="K825" s="34"/>
    </row>
    <row r="826" spans="1:19" ht="25.5" customHeight="1">
      <c r="A826" s="40">
        <v>822</v>
      </c>
      <c r="B826" s="96" t="s">
        <v>1278</v>
      </c>
      <c r="C826" s="84" t="s">
        <v>1281</v>
      </c>
      <c r="D826" s="85" t="s">
        <v>900</v>
      </c>
      <c r="E826" s="85" t="s">
        <v>1282</v>
      </c>
      <c r="F826" s="127">
        <v>59400</v>
      </c>
      <c r="G826" s="152"/>
      <c r="H826" s="98">
        <v>645720.9</v>
      </c>
      <c r="I826" s="35" t="s">
        <v>2194</v>
      </c>
      <c r="J826" s="35" t="s">
        <v>603</v>
      </c>
    </row>
    <row r="827" spans="1:19" ht="25.5" customHeight="1">
      <c r="A827" s="40">
        <v>823</v>
      </c>
      <c r="B827" s="96" t="s">
        <v>2182</v>
      </c>
      <c r="C827" s="84" t="s">
        <v>1289</v>
      </c>
      <c r="D827" s="85" t="s">
        <v>900</v>
      </c>
      <c r="E827" s="85" t="s">
        <v>1290</v>
      </c>
      <c r="F827" s="131"/>
      <c r="G827" s="130">
        <v>400000</v>
      </c>
      <c r="H827" s="87">
        <v>1045720.9</v>
      </c>
      <c r="I827" s="35" t="s">
        <v>875</v>
      </c>
      <c r="J827" s="35" t="s">
        <v>3139</v>
      </c>
    </row>
    <row r="828" spans="1:19" s="69" customFormat="1" ht="25.5" customHeight="1">
      <c r="A828" s="40">
        <v>824</v>
      </c>
      <c r="B828" s="110" t="s">
        <v>1291</v>
      </c>
      <c r="C828" s="89" t="s">
        <v>1292</v>
      </c>
      <c r="D828" s="90" t="s">
        <v>900</v>
      </c>
      <c r="E828" s="90" t="s">
        <v>1293</v>
      </c>
      <c r="F828" s="124"/>
      <c r="G828" s="124">
        <v>560000</v>
      </c>
      <c r="H828" s="91">
        <v>1605720.9</v>
      </c>
      <c r="I828" s="69" t="s">
        <v>1317</v>
      </c>
      <c r="J828" s="69" t="s">
        <v>1322</v>
      </c>
      <c r="M828" s="88"/>
      <c r="N828" s="89"/>
      <c r="O828" s="90"/>
      <c r="P828" s="90"/>
      <c r="Q828" s="89"/>
      <c r="R828" s="91"/>
      <c r="S828" s="91"/>
    </row>
    <row r="829" spans="1:19" ht="25.5" customHeight="1">
      <c r="A829" s="40">
        <v>825</v>
      </c>
      <c r="B829" s="96" t="s">
        <v>1294</v>
      </c>
      <c r="C829" s="84" t="s">
        <v>1295</v>
      </c>
      <c r="D829" s="85" t="s">
        <v>900</v>
      </c>
      <c r="E829" s="85" t="s">
        <v>1296</v>
      </c>
      <c r="F829" s="131">
        <v>1000000</v>
      </c>
      <c r="H829" s="87">
        <v>605720.9</v>
      </c>
      <c r="I829" s="35" t="s">
        <v>870</v>
      </c>
      <c r="J829" s="35" t="s">
        <v>794</v>
      </c>
      <c r="M829" s="83"/>
      <c r="N829" s="84"/>
      <c r="O829" s="85"/>
      <c r="P829" s="85"/>
      <c r="Q829" s="86"/>
      <c r="R829" s="99"/>
      <c r="S829" s="87"/>
    </row>
    <row r="830" spans="1:19" s="69" customFormat="1" ht="25.5" customHeight="1">
      <c r="A830" s="40">
        <v>826</v>
      </c>
      <c r="B830" s="110" t="s">
        <v>1297</v>
      </c>
      <c r="C830" s="89" t="s">
        <v>1298</v>
      </c>
      <c r="D830" s="90" t="s">
        <v>900</v>
      </c>
      <c r="E830" s="90" t="s">
        <v>1299</v>
      </c>
      <c r="F830" s="124"/>
      <c r="G830" s="124">
        <v>240000</v>
      </c>
      <c r="H830" s="91">
        <v>845720.9</v>
      </c>
      <c r="I830" s="69" t="s">
        <v>890</v>
      </c>
      <c r="J830" s="69" t="s">
        <v>1321</v>
      </c>
      <c r="M830" s="88"/>
      <c r="N830" s="89"/>
      <c r="O830" s="90"/>
      <c r="P830" s="90"/>
      <c r="Q830" s="89"/>
      <c r="R830" s="91"/>
      <c r="S830" s="91"/>
    </row>
    <row r="831" spans="1:19" s="69" customFormat="1" ht="25.5" customHeight="1">
      <c r="A831" s="40">
        <v>827</v>
      </c>
      <c r="B831" s="110" t="s">
        <v>1300</v>
      </c>
      <c r="C831" s="89" t="s">
        <v>1301</v>
      </c>
      <c r="D831" s="90" t="s">
        <v>900</v>
      </c>
      <c r="E831" s="90" t="s">
        <v>1302</v>
      </c>
      <c r="F831" s="124"/>
      <c r="G831" s="124">
        <v>560000</v>
      </c>
      <c r="H831" s="91">
        <v>1405720.9</v>
      </c>
      <c r="I831" s="69" t="s">
        <v>1318</v>
      </c>
      <c r="J831" s="69" t="s">
        <v>1210</v>
      </c>
      <c r="M831" s="88"/>
      <c r="N831" s="89"/>
      <c r="O831" s="90"/>
      <c r="P831" s="90"/>
      <c r="Q831" s="89"/>
      <c r="R831" s="91"/>
      <c r="S831" s="91"/>
    </row>
    <row r="832" spans="1:19" s="69" customFormat="1" ht="25.5" customHeight="1">
      <c r="A832" s="40">
        <v>828</v>
      </c>
      <c r="B832" s="110" t="s">
        <v>1300</v>
      </c>
      <c r="C832" s="89" t="s">
        <v>1303</v>
      </c>
      <c r="D832" s="90" t="s">
        <v>900</v>
      </c>
      <c r="E832" s="90" t="s">
        <v>1304</v>
      </c>
      <c r="F832" s="124"/>
      <c r="G832" s="124">
        <v>560000</v>
      </c>
      <c r="H832" s="91">
        <v>1965720.9</v>
      </c>
      <c r="I832" s="69" t="s">
        <v>1341</v>
      </c>
      <c r="J832" s="69" t="s">
        <v>1320</v>
      </c>
      <c r="M832" s="88"/>
      <c r="N832" s="89"/>
      <c r="O832" s="90"/>
      <c r="P832" s="90"/>
      <c r="Q832" s="89"/>
      <c r="R832" s="91"/>
      <c r="S832" s="91"/>
    </row>
    <row r="833" spans="1:19" s="69" customFormat="1" ht="25.5" customHeight="1">
      <c r="A833" s="40">
        <v>829</v>
      </c>
      <c r="B833" s="110" t="s">
        <v>1300</v>
      </c>
      <c r="C833" s="89" t="s">
        <v>1303</v>
      </c>
      <c r="D833" s="90" t="s">
        <v>900</v>
      </c>
      <c r="E833" s="90" t="s">
        <v>1305</v>
      </c>
      <c r="F833" s="124"/>
      <c r="G833" s="132">
        <v>560000</v>
      </c>
      <c r="H833" s="91">
        <v>2525720.9</v>
      </c>
      <c r="I833" s="69" t="s">
        <v>1318</v>
      </c>
      <c r="J833" s="69" t="s">
        <v>1210</v>
      </c>
      <c r="M833" s="88"/>
      <c r="N833" s="89"/>
      <c r="O833" s="90"/>
      <c r="P833" s="90"/>
      <c r="Q833" s="89"/>
      <c r="R833" s="114"/>
      <c r="S833" s="91"/>
    </row>
    <row r="834" spans="1:19" s="69" customFormat="1" ht="25.5" customHeight="1">
      <c r="A834" s="40">
        <v>830</v>
      </c>
      <c r="B834" s="110" t="s">
        <v>1300</v>
      </c>
      <c r="C834" s="89" t="s">
        <v>1306</v>
      </c>
      <c r="D834" s="90" t="s">
        <v>900</v>
      </c>
      <c r="E834" s="90" t="s">
        <v>1307</v>
      </c>
      <c r="F834" s="129">
        <v>560000</v>
      </c>
      <c r="G834" s="151"/>
      <c r="H834" s="113">
        <v>1965720.9</v>
      </c>
      <c r="I834" s="69" t="s">
        <v>1318</v>
      </c>
      <c r="J834" s="69" t="s">
        <v>1056</v>
      </c>
      <c r="M834" s="88"/>
      <c r="N834" s="89"/>
      <c r="O834" s="90"/>
      <c r="P834" s="90"/>
      <c r="Q834" s="111"/>
      <c r="R834" s="112"/>
      <c r="S834" s="113"/>
    </row>
    <row r="835" spans="1:19" s="69" customFormat="1" ht="25.5" customHeight="1">
      <c r="A835" s="40">
        <v>831</v>
      </c>
      <c r="B835" s="110" t="s">
        <v>1308</v>
      </c>
      <c r="C835" s="89" t="s">
        <v>1309</v>
      </c>
      <c r="D835" s="90" t="s">
        <v>900</v>
      </c>
      <c r="E835" s="90" t="s">
        <v>1310</v>
      </c>
      <c r="F835" s="129">
        <v>794000</v>
      </c>
      <c r="G835" s="151"/>
      <c r="H835" s="113">
        <v>1171720.8999999999</v>
      </c>
      <c r="I835" s="69" t="s">
        <v>377</v>
      </c>
      <c r="J835" s="69" t="s">
        <v>1133</v>
      </c>
      <c r="M835" s="88"/>
      <c r="N835" s="89"/>
      <c r="O835" s="90"/>
      <c r="P835" s="90"/>
      <c r="Q835" s="111"/>
      <c r="R835" s="112"/>
      <c r="S835" s="113"/>
    </row>
    <row r="836" spans="1:19" s="69" customFormat="1" ht="25.5" customHeight="1">
      <c r="A836" s="40">
        <v>832</v>
      </c>
      <c r="B836" s="110" t="s">
        <v>1311</v>
      </c>
      <c r="C836" s="89" t="s">
        <v>1312</v>
      </c>
      <c r="D836" s="90" t="s">
        <v>900</v>
      </c>
      <c r="E836" s="90" t="s">
        <v>1313</v>
      </c>
      <c r="F836" s="129">
        <v>100000</v>
      </c>
      <c r="G836" s="151"/>
      <c r="H836" s="113">
        <v>1071720.8999999999</v>
      </c>
      <c r="I836" s="69" t="s">
        <v>327</v>
      </c>
      <c r="J836" s="69" t="s">
        <v>1319</v>
      </c>
      <c r="M836" s="88"/>
      <c r="N836" s="89"/>
      <c r="O836" s="90"/>
      <c r="P836" s="90"/>
      <c r="Q836" s="111"/>
      <c r="R836" s="112"/>
      <c r="S836" s="113"/>
    </row>
    <row r="837" spans="1:19" s="69" customFormat="1" ht="25.5" customHeight="1">
      <c r="A837" s="40">
        <v>833</v>
      </c>
      <c r="B837" s="110" t="s">
        <v>1314</v>
      </c>
      <c r="C837" s="89" t="s">
        <v>1315</v>
      </c>
      <c r="D837" s="90" t="s">
        <v>900</v>
      </c>
      <c r="E837" s="90" t="s">
        <v>1316</v>
      </c>
      <c r="F837" s="129">
        <v>600000</v>
      </c>
      <c r="G837" s="151"/>
      <c r="H837" s="113">
        <v>471720.9</v>
      </c>
      <c r="I837" s="69" t="s">
        <v>125</v>
      </c>
      <c r="J837" s="69" t="s">
        <v>760</v>
      </c>
      <c r="M837" s="88"/>
      <c r="N837" s="89"/>
      <c r="O837" s="90"/>
      <c r="P837" s="90"/>
      <c r="Q837" s="111"/>
      <c r="R837" s="112"/>
      <c r="S837" s="113"/>
    </row>
    <row r="838" spans="1:19" ht="25.5" customHeight="1">
      <c r="A838" s="40">
        <v>834</v>
      </c>
      <c r="B838" s="96" t="s">
        <v>1323</v>
      </c>
      <c r="C838" s="84" t="s">
        <v>1324</v>
      </c>
      <c r="D838" s="85" t="s">
        <v>900</v>
      </c>
      <c r="E838" s="85" t="s">
        <v>1325</v>
      </c>
      <c r="F838" s="131"/>
      <c r="G838" s="133">
        <v>423000</v>
      </c>
      <c r="H838" s="87">
        <v>894720.9</v>
      </c>
      <c r="I838" s="35" t="s">
        <v>349</v>
      </c>
      <c r="J838" s="35" t="s">
        <v>1342</v>
      </c>
      <c r="M838" s="83"/>
      <c r="N838" s="84"/>
      <c r="O838" s="85"/>
      <c r="P838" s="85"/>
      <c r="Q838" s="92"/>
      <c r="R838" s="101"/>
      <c r="S838" s="87"/>
    </row>
    <row r="839" spans="1:19" ht="25.5" customHeight="1">
      <c r="A839" s="40">
        <v>835</v>
      </c>
      <c r="B839" s="96" t="s">
        <v>1326</v>
      </c>
      <c r="C839" s="84" t="s">
        <v>1327</v>
      </c>
      <c r="D839" s="85" t="s">
        <v>900</v>
      </c>
      <c r="E839" s="85" t="s">
        <v>1328</v>
      </c>
      <c r="F839" s="127">
        <v>19800</v>
      </c>
      <c r="G839" s="152"/>
      <c r="H839" s="98">
        <v>874920.9</v>
      </c>
      <c r="I839" s="35" t="s">
        <v>744</v>
      </c>
      <c r="J839" s="35" t="s">
        <v>603</v>
      </c>
      <c r="M839" s="83"/>
      <c r="N839" s="84"/>
      <c r="O839" s="85"/>
      <c r="P839" s="85"/>
      <c r="Q839" s="100"/>
      <c r="R839" s="97"/>
      <c r="S839" s="98"/>
    </row>
    <row r="840" spans="1:19" ht="25.5" customHeight="1">
      <c r="A840" s="40">
        <v>836</v>
      </c>
      <c r="B840" s="96" t="s">
        <v>1326</v>
      </c>
      <c r="C840" s="84" t="s">
        <v>1329</v>
      </c>
      <c r="D840" s="85" t="s">
        <v>900</v>
      </c>
      <c r="E840" s="85" t="s">
        <v>1330</v>
      </c>
      <c r="F840" s="127">
        <v>29700</v>
      </c>
      <c r="G840" s="152"/>
      <c r="H840" s="98">
        <v>845220.9</v>
      </c>
      <c r="I840" s="35" t="s">
        <v>715</v>
      </c>
      <c r="J840" s="35" t="s">
        <v>603</v>
      </c>
      <c r="M840" s="83"/>
      <c r="N840" s="84"/>
      <c r="O840" s="85"/>
      <c r="P840" s="85"/>
      <c r="Q840" s="100"/>
      <c r="R840" s="97"/>
      <c r="S840" s="98"/>
    </row>
    <row r="841" spans="1:19" ht="25.5" customHeight="1">
      <c r="A841" s="40">
        <v>837</v>
      </c>
      <c r="B841" s="96" t="s">
        <v>1326</v>
      </c>
      <c r="C841" s="84" t="s">
        <v>1331</v>
      </c>
      <c r="D841" s="85" t="s">
        <v>900</v>
      </c>
      <c r="E841" s="85" t="s">
        <v>1332</v>
      </c>
      <c r="F841" s="131"/>
      <c r="G841" s="159">
        <v>2000000</v>
      </c>
      <c r="H841" s="87">
        <v>2845220.9</v>
      </c>
      <c r="I841" s="35" t="s">
        <v>1343</v>
      </c>
      <c r="J841" s="35" t="s">
        <v>1344</v>
      </c>
      <c r="M841" s="83"/>
      <c r="N841" s="84"/>
      <c r="O841" s="85"/>
      <c r="P841" s="85"/>
      <c r="Q841" s="92"/>
      <c r="R841" s="101"/>
      <c r="S841" s="87"/>
    </row>
    <row r="842" spans="1:19" ht="25.5" customHeight="1">
      <c r="A842" s="40">
        <v>838</v>
      </c>
      <c r="B842" s="96" t="s">
        <v>1326</v>
      </c>
      <c r="C842" s="84" t="s">
        <v>1333</v>
      </c>
      <c r="D842" s="85" t="s">
        <v>900</v>
      </c>
      <c r="E842" s="85" t="s">
        <v>1334</v>
      </c>
      <c r="F842" s="127">
        <v>1000000</v>
      </c>
      <c r="G842" s="152"/>
      <c r="H842" s="98">
        <v>1845220.9</v>
      </c>
      <c r="I842" s="35" t="s">
        <v>352</v>
      </c>
      <c r="J842" s="35" t="s">
        <v>1345</v>
      </c>
      <c r="M842" s="83"/>
      <c r="N842" s="84"/>
      <c r="O842" s="85"/>
      <c r="P842" s="85"/>
      <c r="Q842" s="100"/>
      <c r="R842" s="97"/>
      <c r="S842" s="98"/>
    </row>
    <row r="843" spans="1:19" ht="25.5" customHeight="1">
      <c r="A843" s="40">
        <v>839</v>
      </c>
      <c r="B843" s="96" t="s">
        <v>1326</v>
      </c>
      <c r="C843" s="84" t="s">
        <v>1335</v>
      </c>
      <c r="D843" s="85" t="s">
        <v>900</v>
      </c>
      <c r="E843" s="85" t="s">
        <v>1336</v>
      </c>
      <c r="F843" s="127">
        <v>500000</v>
      </c>
      <c r="G843" s="152"/>
      <c r="H843" s="98">
        <v>1345220.9</v>
      </c>
      <c r="I843" s="35" t="s">
        <v>352</v>
      </c>
      <c r="J843" s="35" t="s">
        <v>1345</v>
      </c>
      <c r="M843" s="83"/>
      <c r="N843" s="84"/>
      <c r="O843" s="85"/>
      <c r="P843" s="85"/>
      <c r="Q843" s="100"/>
      <c r="R843" s="97"/>
      <c r="S843" s="98"/>
    </row>
    <row r="844" spans="1:19" s="69" customFormat="1" ht="25.5" customHeight="1">
      <c r="A844" s="40">
        <v>840</v>
      </c>
      <c r="B844" s="110" t="s">
        <v>3145</v>
      </c>
      <c r="C844" s="89" t="s">
        <v>1337</v>
      </c>
      <c r="D844" s="90" t="s">
        <v>900</v>
      </c>
      <c r="E844" s="90" t="s">
        <v>1338</v>
      </c>
      <c r="F844" s="129">
        <v>455001</v>
      </c>
      <c r="G844" s="151"/>
      <c r="H844" s="113">
        <v>890219.9</v>
      </c>
      <c r="I844" s="69" t="s">
        <v>378</v>
      </c>
      <c r="J844" s="69" t="s">
        <v>1346</v>
      </c>
      <c r="M844" s="88"/>
      <c r="N844" s="89"/>
      <c r="O844" s="90"/>
      <c r="P844" s="90"/>
      <c r="Q844" s="111"/>
      <c r="R844" s="112"/>
      <c r="S844" s="113"/>
    </row>
    <row r="845" spans="1:19" s="69" customFormat="1" ht="25.5" customHeight="1">
      <c r="A845" s="40">
        <v>841</v>
      </c>
      <c r="B845" s="110" t="s">
        <v>1326</v>
      </c>
      <c r="C845" s="89" t="s">
        <v>1339</v>
      </c>
      <c r="D845" s="90" t="s">
        <v>900</v>
      </c>
      <c r="E845" s="90" t="s">
        <v>1340</v>
      </c>
      <c r="F845" s="129">
        <v>200000</v>
      </c>
      <c r="G845" s="151"/>
      <c r="H845" s="113">
        <v>690219.9</v>
      </c>
      <c r="I845" s="69" t="s">
        <v>764</v>
      </c>
      <c r="J845" s="69" t="s">
        <v>1346</v>
      </c>
      <c r="M845" s="88"/>
      <c r="N845" s="89"/>
      <c r="O845" s="90"/>
      <c r="P845" s="90"/>
      <c r="Q845" s="111"/>
      <c r="R845" s="112"/>
      <c r="S845" s="113"/>
    </row>
    <row r="846" spans="1:19" s="164" customFormat="1" ht="25.5" customHeight="1">
      <c r="A846" s="162">
        <v>842</v>
      </c>
      <c r="B846" s="172" t="s">
        <v>2183</v>
      </c>
      <c r="C846" s="173" t="s">
        <v>2184</v>
      </c>
      <c r="D846" s="174" t="s">
        <v>900</v>
      </c>
      <c r="E846" s="174" t="s">
        <v>2185</v>
      </c>
      <c r="F846" s="175">
        <v>29700</v>
      </c>
      <c r="G846" s="176"/>
      <c r="H846" s="183">
        <v>660519.9</v>
      </c>
      <c r="I846" s="163" t="s">
        <v>149</v>
      </c>
      <c r="J846" s="163" t="s">
        <v>603</v>
      </c>
      <c r="K846" s="163"/>
    </row>
    <row r="847" spans="1:19" ht="25.5" customHeight="1">
      <c r="A847" s="40">
        <v>843</v>
      </c>
      <c r="B847" s="96" t="s">
        <v>2183</v>
      </c>
      <c r="C847" s="84" t="s">
        <v>2186</v>
      </c>
      <c r="D847" s="85" t="s">
        <v>900</v>
      </c>
      <c r="E847" s="85" t="s">
        <v>2187</v>
      </c>
      <c r="F847" s="127">
        <v>29700</v>
      </c>
      <c r="G847" s="152"/>
      <c r="H847" s="98">
        <v>630819.9</v>
      </c>
      <c r="I847" s="35" t="s">
        <v>2191</v>
      </c>
      <c r="J847" s="35" t="s">
        <v>603</v>
      </c>
    </row>
    <row r="848" spans="1:19" ht="25.5" customHeight="1">
      <c r="A848" s="40">
        <v>844</v>
      </c>
      <c r="B848" s="96" t="s">
        <v>2188</v>
      </c>
      <c r="C848" s="84" t="s">
        <v>2189</v>
      </c>
      <c r="D848" s="85" t="s">
        <v>900</v>
      </c>
      <c r="E848" s="85" t="s">
        <v>2190</v>
      </c>
      <c r="F848" s="131"/>
      <c r="G848" s="130">
        <v>174000</v>
      </c>
      <c r="H848" s="87">
        <v>804819.9</v>
      </c>
      <c r="I848" s="35" t="s">
        <v>351</v>
      </c>
      <c r="J848" s="35" t="s">
        <v>1342</v>
      </c>
    </row>
    <row r="849" spans="1:10" ht="25.5" customHeight="1">
      <c r="A849" s="40">
        <v>845</v>
      </c>
      <c r="B849" s="23" t="s">
        <v>3142</v>
      </c>
      <c r="C849" s="23" t="s">
        <v>3143</v>
      </c>
      <c r="D849" s="24" t="s">
        <v>900</v>
      </c>
      <c r="E849" s="24" t="s">
        <v>3144</v>
      </c>
      <c r="F849" s="157">
        <v>250000</v>
      </c>
      <c r="G849" s="158"/>
      <c r="H849" s="27">
        <v>554819.9</v>
      </c>
      <c r="I849" s="35" t="s">
        <v>82</v>
      </c>
      <c r="J849" s="35" t="s">
        <v>81</v>
      </c>
    </row>
    <row r="850" spans="1:10" ht="25.5" customHeight="1">
      <c r="F850" s="153">
        <f>SUBTOTAL(9,F327:F849)</f>
        <v>52522877</v>
      </c>
    </row>
  </sheetData>
  <autoFilter ref="A4:K849"/>
  <mergeCells count="2">
    <mergeCell ref="A1:I1"/>
    <mergeCell ref="A2:I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Sheet3</vt:lpstr>
      <vt:lpstr>Sheet2</vt:lpstr>
      <vt:lpstr>Table 1</vt:lpstr>
      <vt:lpstr>Sheet1</vt:lpstr>
      <vt:lpstr>'Table 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TOMAR</dc:creator>
  <cp:lastModifiedBy>hp</cp:lastModifiedBy>
  <cp:lastPrinted>2026-04-23T07:17:07Z</cp:lastPrinted>
  <dcterms:created xsi:type="dcterms:W3CDTF">2021-09-19T09:26:56Z</dcterms:created>
  <dcterms:modified xsi:type="dcterms:W3CDTF">2026-07-15T12:01:18Z</dcterms:modified>
</cp:coreProperties>
</file>